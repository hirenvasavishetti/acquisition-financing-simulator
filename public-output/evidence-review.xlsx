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4c0b0c9c1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s" sheetId="1" r:id="R62607803a08848ea"/>
    <x:sheet xmlns:r="http://schemas.openxmlformats.org/officeDocument/2006/relationships" name="Summary" sheetId="2" r:id="R5bba8fefad9e4881"/>
    <x:sheet xmlns:r="http://schemas.openxmlformats.org/officeDocument/2006/relationships" name="Itemised funding" sheetId="3" r:id="R09a0849272d04551"/>
    <x:sheet xmlns:r="http://schemas.openxmlformats.org/officeDocument/2006/relationships" name="Timing and capacity" sheetId="4" r:id="R6d3522c4b9eb41ed"/>
    <x:sheet xmlns:r="http://schemas.openxmlformats.org/officeDocument/2006/relationships" name="Model checks" sheetId="5" r:id="R048ca14e8bfa40d9"/>
    <x:sheet xmlns:r="http://schemas.openxmlformats.org/officeDocument/2006/relationships" name="Closing working capital" sheetId="6" r:id="R64b67b544aec4507"/>
    <x:sheet xmlns:r="http://schemas.openxmlformats.org/officeDocument/2006/relationships" name="CFO bridge" sheetId="7" r:id="R6edc25e93d3941d0"/>
    <x:sheet xmlns:r="http://schemas.openxmlformats.org/officeDocument/2006/relationships" name="Cost reconciliation" sheetId="8" r:id="Rb2087686a8fc4bf0"/>
    <x:sheet xmlns:r="http://schemas.openxmlformats.org/officeDocument/2006/relationships" name="Investment assumptions" sheetId="9" r:id="R29551faaa2474176"/>
    <x:sheet xmlns:r="http://schemas.openxmlformats.org/officeDocument/2006/relationships" name="Public output policy" sheetId="10" r:id="R23f496263ff141cd"/>
    <x:sheet xmlns:r="http://schemas.openxmlformats.org/officeDocument/2006/relationships" name="Public assumptions" sheetId="11" r:id="Rab8779ae465a46ba"/>
    <x:sheet xmlns:r="http://schemas.openxmlformats.org/officeDocument/2006/relationships" name="Projected closing bridge" sheetId="12" r:id="R73b5727d7a284045"/>
    <x:sheet xmlns:r="http://schemas.openxmlformats.org/officeDocument/2006/relationships" name="Public sources and uses" sheetId="13" r:id="Rf23a02ad44234dc7"/>
    <x:sheet xmlns:r="http://schemas.openxmlformats.org/officeDocument/2006/relationships" name="Public operations" sheetId="14" r:id="R1122a0eb6dc041cb"/>
    <x:sheet xmlns:r="http://schemas.openxmlformats.org/officeDocument/2006/relationships" name="Public cash and debt" sheetId="15" r:id="R834761431cb14e8e"/>
    <x:sheet xmlns:r="http://schemas.openxmlformats.org/officeDocument/2006/relationships" name="Public instruments" sheetId="16" r:id="R5b5a18818b5a45dc"/>
    <x:sheet xmlns:r="http://schemas.openxmlformats.org/officeDocument/2006/relationships" name="Public capacity and stress" sheetId="17" r:id="R4c869a092fd04918"/>
    <x:sheet xmlns:r="http://schemas.openxmlformats.org/officeDocument/2006/relationships" name="Public comparisons" sheetId="18" r:id="Rff3728f653b84a4e"/>
    <x:sheet xmlns:r="http://schemas.openxmlformats.org/officeDocument/2006/relationships" name="Public gap assessment" sheetId="19" r:id="R73d9bd4e11c24839"/>
    <x:sheet xmlns:r="http://schemas.openxmlformats.org/officeDocument/2006/relationships" name="Public conventions" sheetId="20" r:id="R57f74752e1144afa"/>
    <x:sheet xmlns:r="http://schemas.openxmlformats.org/officeDocument/2006/relationships" name="Scenarios" sheetId="21" r:id="R20dafc0d427b4676"/>
    <x:sheet xmlns:r="http://schemas.openxmlformats.org/officeDocument/2006/relationships" name="Evidence" sheetId="22" r:id="R525aaf8649194f0c"/>
    <x:sheet xmlns:r="http://schemas.openxmlformats.org/officeDocument/2006/relationships" name="Sources" sheetId="23" r:id="R4e6b5b2d3b2142b3"/>
    <x:sheet xmlns:r="http://schemas.openxmlformats.org/officeDocument/2006/relationships" name="Historical calculations" sheetId="24" r:id="Reef87fa8965d40f2"/>
    <x:sheet xmlns:r="http://schemas.openxmlformats.org/officeDocument/2006/relationships" name="Historical gap review" sheetId="25" r:id="R1fecf2356f7f4239"/>
    <x:sheet xmlns:r="http://schemas.openxmlformats.org/officeDocument/2006/relationships" name="Historical sensitivities" sheetId="26" r:id="Rc57374cfadc1414d"/>
    <x:sheet xmlns:r="http://schemas.openxmlformats.org/officeDocument/2006/relationships" name="Historical assumptions" sheetId="27" r:id="R295d9e69d5a44f8e"/>
    <x:sheet xmlns:r="http://schemas.openxmlformats.org/officeDocument/2006/relationships" name="Funding unit sensitivities" sheetId="28" r:id="R49a69a0e1038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(#,##0.0);&quot;-&quot;"/>
    <x:numFmt numFmtId="201" formatCode="0.0%"/>
    <x:numFmt numFmtId="202" formatCode="0.0000"/>
    <x:numFmt numFmtId="203" formatCode="0.00%"/>
    <x:numFmt numFmtId="204" formatCode="0"/>
    <x:numFmt numFmtId="205" formatCode="0.00"/>
    <x:numFmt numFmtId="206" formatCode="#,##0.000000"/>
  </x:numFmts>
  <x:fonts count="7">
    <x:font>
      <x:sz val="11"/>
      <x:name val="Carlito"/>
    </x:font>
    <x:font>
      <x:sz val="11"/>
      <x:name val="Arial"/>
    </x:font>
    <x:font>
      <x:sz val="11"/>
      <x:color rgb="FF172C43"/>
      <x:name val="Arial"/>
    </x:font>
    <x:font>
      <x:b/>
      <x:sz val="11"/>
      <x:color rgb="FF172C43"/>
      <x:name val="Arial"/>
    </x:font>
    <x:font>
      <x:sz val="11"/>
      <x:color rgb="FFFFFFFF"/>
      <x:name val="Arial"/>
    </x:font>
    <x:font>
      <x:sz val="11"/>
      <x:color rgb="FF08754E"/>
      <x:name val="Arial"/>
    </x:font>
    <x:font>
      <x:sz val="11"/>
      <x:color rgb="FF1768A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D5B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0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vertical="center" wrapText="1"/>
    </x:xf>
    <x:xf numFmtId="205" fontId="2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206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FF1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399fd01a24c8f" /><Relationship Type="http://schemas.openxmlformats.org/officeDocument/2006/relationships/theme" Target="/xl/theme/theme1.xml" Id="R99d57cfbda0347de" /><Relationship Type="http://schemas.microsoft.com/office/2022/11/relationships/FeaturePropertyBag" Target="/xl/featurePropertyBag/featurePropertyBag.xml" Id="Re030314420804bee" /><Relationship Type="http://schemas.openxmlformats.org/officeDocument/2006/relationships/sharedStrings" Target="/xl/sharedStrings.xml" Id="Rb8904a87b8464ab6" /><Relationship Type="http://schemas.openxmlformats.org/officeDocument/2006/relationships/worksheet" Target="/xl/worksheets/sheet1.xml" Id="R62607803a08848ea" /><Relationship Type="http://schemas.openxmlformats.org/officeDocument/2006/relationships/worksheet" Target="/xl/worksheets/sheet2.xml" Id="R5bba8fefad9e4881" /><Relationship Type="http://schemas.openxmlformats.org/officeDocument/2006/relationships/worksheet" Target="/xl/worksheets/sheet3.xml" Id="R09a0849272d04551" /><Relationship Type="http://schemas.openxmlformats.org/officeDocument/2006/relationships/worksheet" Target="/xl/worksheets/sheet4.xml" Id="R6d3522c4b9eb41ed" /><Relationship Type="http://schemas.openxmlformats.org/officeDocument/2006/relationships/worksheet" Target="/xl/worksheets/sheet5.xml" Id="R048ca14e8bfa40d9" /><Relationship Type="http://schemas.openxmlformats.org/officeDocument/2006/relationships/worksheet" Target="/xl/worksheets/sheet6.xml" Id="R64b67b544aec4507" /><Relationship Type="http://schemas.openxmlformats.org/officeDocument/2006/relationships/worksheet" Target="/xl/worksheets/sheet7.xml" Id="R6edc25e93d3941d0" /><Relationship Type="http://schemas.openxmlformats.org/officeDocument/2006/relationships/worksheet" Target="/xl/worksheets/sheet8.xml" Id="Rb2087686a8fc4bf0" /><Relationship Type="http://schemas.openxmlformats.org/officeDocument/2006/relationships/worksheet" Target="/xl/worksheets/sheet9.xml" Id="R29551faaa2474176" /><Relationship Type="http://schemas.openxmlformats.org/officeDocument/2006/relationships/worksheet" Target="/xl/worksheets/sheet10.xml" Id="R23f496263ff141cd" /><Relationship Type="http://schemas.openxmlformats.org/officeDocument/2006/relationships/worksheet" Target="/xl/worksheets/sheet11.xml" Id="Rab8779ae465a46ba" /><Relationship Type="http://schemas.openxmlformats.org/officeDocument/2006/relationships/worksheet" Target="/xl/worksheets/sheet12.xml" Id="R73b5727d7a284045" /><Relationship Type="http://schemas.openxmlformats.org/officeDocument/2006/relationships/worksheet" Target="/xl/worksheets/sheet13.xml" Id="Rf23a02ad44234dc7" /><Relationship Type="http://schemas.openxmlformats.org/officeDocument/2006/relationships/worksheet" Target="/xl/worksheets/sheet14.xml" Id="R1122a0eb6dc041cb" /><Relationship Type="http://schemas.openxmlformats.org/officeDocument/2006/relationships/worksheet" Target="/xl/worksheets/sheet15.xml" Id="R834761431cb14e8e" /><Relationship Type="http://schemas.openxmlformats.org/officeDocument/2006/relationships/worksheet" Target="/xl/worksheets/sheet16.xml" Id="R5b5a18818b5a45dc" /><Relationship Type="http://schemas.openxmlformats.org/officeDocument/2006/relationships/worksheet" Target="/xl/worksheets/sheet17.xml" Id="R4c869a092fd04918" /><Relationship Type="http://schemas.openxmlformats.org/officeDocument/2006/relationships/worksheet" Target="/xl/worksheets/sheet18.xml" Id="Rff3728f653b84a4e" /><Relationship Type="http://schemas.openxmlformats.org/officeDocument/2006/relationships/worksheet" Target="/xl/worksheets/sheet19.xml" Id="R73d9bd4e11c24839" /><Relationship Type="http://schemas.openxmlformats.org/officeDocument/2006/relationships/worksheet" Target="/xl/worksheets/sheet20.xml" Id="R57f74752e1144afa" /><Relationship Type="http://schemas.openxmlformats.org/officeDocument/2006/relationships/worksheet" Target="/xl/worksheets/sheet21.xml" Id="R20dafc0d427b4676" /><Relationship Type="http://schemas.openxmlformats.org/officeDocument/2006/relationships/worksheet" Target="/xl/worksheets/sheet22.xml" Id="R525aaf8649194f0c" /><Relationship Type="http://schemas.openxmlformats.org/officeDocument/2006/relationships/worksheet" Target="/xl/worksheets/sheet23.xml" Id="R4e6b5b2d3b2142b3" /><Relationship Type="http://schemas.openxmlformats.org/officeDocument/2006/relationships/worksheet" Target="/xl/worksheets/sheet24.xml" Id="Reef87fa8965d40f2" /><Relationship Type="http://schemas.openxmlformats.org/officeDocument/2006/relationships/worksheet" Target="/xl/worksheets/sheet25.xml" Id="R1fecf2356f7f4239" /><Relationship Type="http://schemas.openxmlformats.org/officeDocument/2006/relationships/worksheet" Target="/xl/worksheets/sheet26.xml" Id="Rc57374cfadc1414d" /><Relationship Type="http://schemas.openxmlformats.org/officeDocument/2006/relationships/worksheet" Target="/xl/worksheets/sheet27.xml" Id="R295d9e69d5a44f8e" /><Relationship Type="http://schemas.openxmlformats.org/officeDocument/2006/relationships/worksheet" Target="/xl/worksheets/sheet28.xml" Id="R49a69a0e10384d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05" hidden="0" customWidth="1"/>
  </x:cols>
  <x:sheetData>
    <x:row r="2" ht="42" customHeight="1">
      <x:c r="A2" s="5" t="str">
        <x:v>Acquisition financing research | Public conditional analysis</x:v>
      </x:c>
      <x:c r="B2" s="5"/>
    </x:row>
    <x:row r="3" ht="42" customHeight="1">
      <x:c r="A3" s="4" t="str">
        <x:v>Python snapshots: edit assumptions with the CLI or live dashboard.</x:v>
      </x:c>
      <x:c r="B3" s="4"/>
    </x:row>
    <x:row r="4" ht="48" customHeight="1">
      <x:c r="A4" s="4" t="str">
        <x:v>Refresh</x:v>
      </x:c>
      <x:c r="B4" s="4" t="str">
        <x:v>Only displayed formulas recalculate. All forecasts, scenarios and capacity are Python snapshots.</x:v>
      </x:c>
    </x:row>
    <x:row r="5" ht="42" customHeight="1">
      <x:c r="A5" s="7" t="str">
        <x:v>Worksheet</x:v>
      </x:c>
      <x:c r="B5" s="7" t="str">
        <x:v>Purpose / navigation</x:v>
      </x:c>
    </x:row>
    <x:row r="6" ht="48" customHeight="1">
      <x:c r="A6" s="8" t="str">
        <x:v>Summary</x:v>
      </x:c>
      <x:c r="B6" s="8" t="str">
        <x:v>Open the named worksheet tab. Primary result and status</x:v>
      </x:c>
    </x:row>
    <x:row r="7" ht="48" customHeight="1">
      <x:c r="A7" s="8" t="str">
        <x:v>Itemised funding</x:v>
      </x:c>
      <x:c r="B7" s="8" t="str">
        <x:v>Open the named worksheet tab. Supporting schedule / evidence</x:v>
      </x:c>
    </x:row>
    <x:row r="8" ht="48" customHeight="1">
      <x:c r="A8" s="8" t="str">
        <x:v>Timing and capacity</x:v>
      </x:c>
      <x:c r="B8" s="8" t="str">
        <x:v>Open the named worksheet tab. Supporting schedule / evidence</x:v>
      </x:c>
    </x:row>
    <x:row r="9" ht="48" customHeight="1">
      <x:c r="A9" s="8" t="str">
        <x:v>Model checks</x:v>
      </x:c>
      <x:c r="B9" s="8" t="str">
        <x:v>Open the named worksheet tab. Supporting schedule / evidence</x:v>
      </x:c>
    </x:row>
    <x:row r="10" ht="48" customHeight="1">
      <x:c r="A10" s="8" t="str">
        <x:v>Closing working capital</x:v>
      </x:c>
      <x:c r="B10" s="8" t="str">
        <x:v>Open the named worksheet tab. Supporting schedule / evidence</x:v>
      </x:c>
    </x:row>
    <x:row r="11" ht="48" customHeight="1">
      <x:c r="A11" s="8" t="str">
        <x:v>CFO bridge</x:v>
      </x:c>
      <x:c r="B11" s="8" t="str">
        <x:v>Open the named worksheet tab. Supporting schedule / evidence</x:v>
      </x:c>
    </x:row>
    <x:row r="12" ht="48" customHeight="1">
      <x:c r="A12" s="8" t="str">
        <x:v>Cost reconciliation</x:v>
      </x:c>
      <x:c r="B12" s="8" t="str">
        <x:v>Open the named worksheet tab. Supporting schedule / evidence</x:v>
      </x:c>
    </x:row>
    <x:row r="13" ht="48" customHeight="1">
      <x:c r="A13" s="8" t="str">
        <x:v>Investment assumptions</x:v>
      </x:c>
      <x:c r="B13" s="8" t="str">
        <x:v>Open the named worksheet tab. Supporting schedule / evidence</x:v>
      </x:c>
    </x:row>
    <x:row r="14" ht="48" customHeight="1">
      <x:c r="A14" s="8" t="str">
        <x:v>Public output policy</x:v>
      </x:c>
      <x:c r="B14" s="8" t="str">
        <x:v>Open the named worksheet tab. Supporting schedule / evidence</x:v>
      </x:c>
    </x:row>
    <x:row r="15" ht="48" customHeight="1">
      <x:c r="A15" s="8" t="str">
        <x:v>Public assumptions</x:v>
      </x:c>
      <x:c r="B15" s="8" t="str">
        <x:v>Open the named worksheet tab. Supporting schedule / evidence</x:v>
      </x:c>
    </x:row>
    <x:row r="16" ht="48" customHeight="1">
      <x:c r="A16" s="8" t="str">
        <x:v>Projected closing bridge</x:v>
      </x:c>
      <x:c r="B16" s="8" t="str">
        <x:v>Open the named worksheet tab. Supporting schedule / evidence</x:v>
      </x:c>
    </x:row>
    <x:row r="17" ht="48" customHeight="1">
      <x:c r="A17" s="8" t="str">
        <x:v>Public sources and uses</x:v>
      </x:c>
      <x:c r="B17" s="8" t="str">
        <x:v>Open the named worksheet tab. Supporting schedule / evidence</x:v>
      </x:c>
    </x:row>
    <x:row r="18" ht="48" customHeight="1">
      <x:c r="A18" s="8" t="str">
        <x:v>Public operations</x:v>
      </x:c>
      <x:c r="B18" s="8" t="str">
        <x:v>Open the named worksheet tab. Supporting schedule / evidence</x:v>
      </x:c>
    </x:row>
    <x:row r="19" ht="48" customHeight="1">
      <x:c r="A19" s="8" t="str">
        <x:v>Public cash and debt</x:v>
      </x:c>
      <x:c r="B19" s="8" t="str">
        <x:v>Open the named worksheet tab. Supporting schedule / evidence</x:v>
      </x:c>
    </x:row>
    <x:row r="20" ht="48" customHeight="1">
      <x:c r="A20" s="8" t="str">
        <x:v>Public instruments</x:v>
      </x:c>
      <x:c r="B20" s="8" t="str">
        <x:v>Open the named worksheet tab. Supporting schedule / evidence</x:v>
      </x:c>
    </x:row>
    <x:row r="21" ht="48" customHeight="1">
      <x:c r="A21" s="8" t="str">
        <x:v>Public capacity and stress</x:v>
      </x:c>
      <x:c r="B21" s="8" t="str">
        <x:v>Open the named worksheet tab. Supporting schedule / evidence</x:v>
      </x:c>
    </x:row>
    <x:row r="22" ht="48" customHeight="1">
      <x:c r="A22" s="8" t="str">
        <x:v>Public comparisons</x:v>
      </x:c>
      <x:c r="B22" s="8" t="str">
        <x:v>Open the named worksheet tab. Supporting schedule / evidence</x:v>
      </x:c>
    </x:row>
    <x:row r="23" ht="48" customHeight="1">
      <x:c r="A23" s="8" t="str">
        <x:v>Public gap assessment</x:v>
      </x:c>
      <x:c r="B23" s="8" t="str">
        <x:v>Open the named worksheet tab. Supporting schedule / evidence</x:v>
      </x:c>
    </x:row>
    <x:row r="24" ht="48" customHeight="1">
      <x:c r="A24" s="8" t="str">
        <x:v>Public conventions</x:v>
      </x:c>
      <x:c r="B24" s="8" t="str">
        <x:v>Open the named worksheet tab. Supporting schedule / evidence</x:v>
      </x:c>
    </x:row>
    <x:row r="25" ht="48" customHeight="1">
      <x:c r="A25" s="8" t="str">
        <x:v>Scenarios</x:v>
      </x:c>
      <x:c r="B25" s="8" t="str">
        <x:v>Open the named worksheet tab. Supporting schedule / evidence</x:v>
      </x:c>
    </x:row>
    <x:row r="26" ht="48" customHeight="1">
      <x:c r="A26" s="8" t="str">
        <x:v>Evidence</x:v>
      </x:c>
      <x:c r="B26" s="8" t="str">
        <x:v>Open the named worksheet tab. Supporting schedule / evidence</x:v>
      </x:c>
    </x:row>
    <x:row r="27" ht="48" customHeight="1">
      <x:c r="A27" s="8" t="str">
        <x:v>Sources</x:v>
      </x:c>
      <x:c r="B27" s="8" t="str">
        <x:v>Open the named worksheet tab. Supporting schedule / evidence</x:v>
      </x:c>
    </x:row>
    <x:row r="28" ht="48" customHeight="1">
      <x:c r="A28" s="8" t="str">
        <x:v>Historical calculations</x:v>
      </x:c>
      <x:c r="B28" s="8" t="str">
        <x:v>Open the named worksheet tab. Supporting schedule / evidence</x:v>
      </x:c>
    </x:row>
    <x:row r="29" ht="48" customHeight="1">
      <x:c r="A29" s="8" t="str">
        <x:v>Historical gap review</x:v>
      </x:c>
      <x:c r="B29" s="8" t="str">
        <x:v>Open the named worksheet tab. Supporting schedule / evidence</x:v>
      </x:c>
    </x:row>
    <x:row r="30" ht="48" customHeight="1">
      <x:c r="A30" s="8" t="str">
        <x:v>Historical sensitivities</x:v>
      </x:c>
      <x:c r="B30" s="8" t="str">
        <x:v>Open the named worksheet tab. Supporting schedule / evidence</x:v>
      </x:c>
    </x:row>
    <x:row r="31" ht="48" customHeight="1">
      <x:c r="A31" s="8" t="str">
        <x:v>Historical assumptions</x:v>
      </x:c>
      <x:c r="B31" s="8" t="str">
        <x:v>Open the named worksheet tab. Supporting schedule / evidence</x:v>
      </x:c>
    </x:row>
    <x:row r="32" ht="48" customHeight="1">
      <x:c r="A32" s="8" t="str">
        <x:v>Funding unit sensitivities</x:v>
      </x:c>
      <x:c r="B32" s="8" t="str">
        <x:v>Open the named worksheet tab. Supporting schedule / evidence</x:v>
      </x:c>
    </x:row>
  </x:sheetData>
  <x:mergeCells>
    <x:mergeCell ref="A2:B2"/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00" hidden="0" customWidth="1"/>
  </x:cols>
  <x:sheetData>
    <x:row r="2" ht="50" customHeight="1">
      <x:c r="A2" s="5" t="str">
        <x:v>Acquisition financing simulator</x:v>
      </x:c>
      <x:c r="B2" s="5" t="str"/>
    </x:row>
    <x:row r="3" ht="50" customHeight="1">
      <x:c r="A3" s="4" t="str">
        <x:v>Recommendation status</x:v>
      </x:c>
      <x:c r="B3" s="4" t="str">
        <x:v>Blocked — insufficient verified evidence.</x:v>
      </x:c>
    </x:row>
    <x:row r="4" ht="50" customHeight="1">
      <x:c r="A4" s="4" t="str">
        <x:v>Preferred actual-company structure</x:v>
      </x:c>
      <x:c r="B4" s="4" t="str">
        <x:v>None</x:v>
      </x:c>
    </x:row>
    <x:row r="5" ht="50" customHeight="1">
      <x:c r="A5" s="4" t="str">
        <x:v>Historical-analysis completion</x:v>
      </x:c>
      <x:c r="B5" s="4" t="str">
        <x:v>Incomplete</x:v>
      </x:c>
    </x:row>
    <x:row r="6" ht="50" customHeight="1">
      <x:c r="A6" s="4" t="str">
        <x:v>Numerical results</x:v>
      </x:c>
      <x:c r="B6" s="4" t="str">
        <x:v>Verified historical calculations and dependency-gated conditional public projections; no synthetic company inputs.</x:v>
      </x:c>
    </x:row>
    <x:row r="7" ht="50" customHeight="1">
      <x:c r="A7" s="4" t="str">
        <x:v>Refresh</x:v>
      </x:c>
      <x:c r="B7" s="4" t="str">
        <x:v>Model snapshots. Rerun Python after input/source changes; only displayed formulas recalculate in Excel.</x:v>
      </x:c>
    </x:row>
    <x:row r="8" ht="50" customHeight="1">
      <x:c r="A8" s="4" t="str">
        <x:v>Analysis limitation</x:v>
      </x:c>
      <x:c r="B8" s="4" t="str">
        <x:v>The strict assessment remains blocked. Public-information projections use verified starting values, relevant public contracts and explicit forecasts; each output has its own dependency status. No execution, covenant-compliance or overall financing preference is asserted.</x:v>
      </x:c>
    </x:row>
    <x:row r="9" ht="50" customHeight="1">
      <x:c r="A9" s="4" t="str">
        <x:v>Historical results</x:v>
      </x:c>
      <x:c r="B9" s="4" t="str">
        <x:v>Supported historical calculations and separate conditional public projections; strict recommendation blocked.</x:v>
      </x:c>
    </x:row>
    <x:row r="10" ht="50" customHeight="1">
      <x:c r="A10" s="4" t="str">
        <x:v>Information cutoff</x:v>
      </x:c>
      <x:c r="B10" s="4" t="str">
        <x:v>2025-05-15</x:v>
      </x:c>
    </x:row>
    <x:row r="11" ht="50" customHeight="1">
      <x:c r="A11" s="4" t="str">
        <x:v>Input ID</x:v>
      </x:c>
      <x:c r="B11" s="4" t="str">
        <x:v>6a663fbc3a96a7c0e875d0d9092e2dd1b3c66255f9ac872499f54bac6d7ea7f8</x:v>
      </x:c>
    </x:row>
    <x:row r="12" ht="50" customHeight="1">
      <x:c r="A12" s="4" t="str">
        <x:v>Public-information case</x:v>
      </x:c>
      <x:c r="B12" s="4" t="str">
        <x:v>Public-information conditional analysis; strict gate unchanged</x:v>
      </x:c>
    </x:row>
    <x:row r="13" ht="50" customHeight="1">
      <x:c r="A13" s="4" t="str">
        <x:v>Conditional conclusion</x:v>
      </x:c>
      <x:c r="B13" s="4" t="str">
        <x:v>Under the stated public-information assumptions and analytical thresholds, the model indicates only scoped scenario results; no overall financing preference is issued because material omitted private obligations are not bounded.</x:v>
      </x:c>
    </x:row>
    <x:row r="14" ht="50" customHeight="1">
      <x:c r="A14" s="4" t="str">
        <x:v>Public-case refresh</x:v>
      </x:c>
      <x:c r="B14" s="4" t="str">
        <x:v>Python snapshots connected to evaluated source dependencies. Rerun with --public-information; Excel formulas explain rollforwards but do not rerun scenarios or solver.</x:v>
      </x:c>
    </x:row>
    <x:row r="15" ht="50" customHeight="1">
      <x:c r="A15" s="4" t="str">
        <x:v>Calculation status</x:v>
      </x:c>
      <x:c r="B15" s="4" t="str">
        <x:v>Conditional public case available</x:v>
      </x:c>
    </x:row>
    <x:row r="16" ht="50" customHeight="1">
      <x:c r="A16" s="4" t="str">
        <x:v>Selected timing</x:v>
      </x:c>
      <x:c r="B16" s="4" t="str">
        <x:v>Annual; quarterly historical liquidity unsupported</x:v>
      </x:c>
    </x:row>
  </x:sheetData>
  <x:conditionalFormatting sqref="B3:B3">
    <x:cfRule type="containsText" dxfId="0" priority="1" operator="containsText" text="Block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52" hidden="0" customWidth="1"/>
    <x:col min="3" max="3" width="25" hidden="0" customWidth="1"/>
  </x:cols>
  <x:sheetData>
    <x:row r="2" ht="42" customHeight="1">
      <x:c r="A2" s="5" t="str">
        <x:v>Itemised funding</x:v>
      </x:c>
      <x:c r="B2" s="5"/>
      <x:c r="C2" s="5"/>
    </x:row>
    <x:row r="3" ht="42" customHeight="1">
      <x:c r="A3" s="4" t="str">
        <x:v>USD millions. Python snapshots; rerun Python to change assumptions.</x:v>
      </x:c>
      <x:c r="B3" s="4"/>
      <x:c r="C3" s="4"/>
    </x:row>
    <x:row r="4" ht="42" customHeight="1">
      <x:c r="A4" s="7" t="str">
        <x:v>Structure</x:v>
      </x:c>
      <x:c r="B4" s="7" t="str">
        <x:v>Use / source</x:v>
      </x:c>
      <x:c r="C4" s="7" t="str">
        <x:v>USD millions</x:v>
      </x:c>
    </x:row>
    <x:row r="5" ht="36" customHeight="1">
      <x:c r="A5" s="8" t="str">
        <x:v>Cash-first</x:v>
      </x:c>
      <x:c r="B5" s="8" t="str">
        <x:v>Cash consideration</x:v>
      </x:c>
      <x:c r="C5" s="8" t="n">
        <x:v>2293.453968</x:v>
      </x:c>
    </x:row>
    <x:row r="6" ht="36" customHeight="1">
      <x:c r="A6" s="8" t="str">
        <x:v>Cash-first</x:v>
      </x:c>
      <x:c r="B6" s="8" t="str">
        <x:v>Debt principal repaid</x:v>
      </x:c>
      <x:c r="C6" s="8" t="n">
        <x:v>400</x:v>
      </x:c>
    </x:row>
    <x:row r="7" ht="36" customHeight="1">
      <x:c r="A7" s="8" t="str">
        <x:v>Cash-first</x:v>
      </x:c>
      <x:c r="B7" s="8" t="str">
        <x:v>Transaction expenses</x:v>
      </x:c>
      <x:c r="C7" s="8" t="n">
        <x:v>75</x:v>
      </x:c>
    </x:row>
    <x:row r="8" ht="36" customHeight="1">
      <x:c r="A8" s="8" t="str">
        <x:v>Cash-first</x:v>
      </x:c>
      <x:c r="B8" s="8" t="str">
        <x:v>Award settlement reserve</x:v>
      </x:c>
      <x:c r="C8" s="8" t="n">
        <x:v>109.07406292799999</x:v>
      </x:c>
    </x:row>
    <x:row r="9" ht="36" customHeight="1">
      <x:c r="A9" s="8" t="str">
        <x:v>Cash-first</x:v>
      </x:c>
      <x:c r="B9" s="8" t="str">
        <x:v>Redemption premium</x:v>
      </x:c>
      <x:c r="C9" s="8" t="n">
        <x:v>4.0000000000000036</x:v>
      </x:c>
    </x:row>
    <x:row r="10" ht="36" customHeight="1">
      <x:c r="A10" s="8" t="str">
        <x:v>Cash-first</x:v>
      </x:c>
      <x:c r="B10" s="8" t="str">
        <x:v>Accrued interest</x:v>
      </x:c>
      <x:c r="C10" s="8" t="n">
        <x:v>1.3333333333333333</x:v>
      </x:c>
    </x:row>
    <x:row r="11" ht="36" customHeight="1">
      <x:c r="A11" s="8" t="str">
        <x:v>Cash-first</x:v>
      </x:c>
      <x:c r="B11" s="8" t="str">
        <x:v>Lc collateral reserve</x:v>
      </x:c>
      <x:c r="C11" s="8" t="n">
        <x:v>7.3500000000000005</x:v>
      </x:c>
    </x:row>
    <x:row r="12" ht="36" customHeight="1">
      <x:c r="A12" s="8" t="str">
        <x:v>Cash-first</x:v>
      </x:c>
      <x:c r="B12" s="8" t="str">
        <x:v>Other closing uses</x:v>
      </x:c>
      <x:c r="C12" s="8" t="n">
        <x:v>0</x:v>
      </x:c>
    </x:row>
    <x:row r="13" ht="36" customHeight="1">
      <x:c r="A13" s="8" t="str">
        <x:v>Cash-first</x:v>
      </x:c>
      <x:c r="B13" s="8" t="str">
        <x:v>Financing fees</x:v>
      </x:c>
      <x:c r="C13" s="8" t="n">
        <x:v>53.82724174264292</x:v>
      </x:c>
    </x:row>
    <x:row r="14" ht="36" customHeight="1">
      <x:c r="A14" s="8" t="str">
        <x:v>Liquidity-first</x:v>
      </x:c>
      <x:c r="B14" s="8" t="str">
        <x:v>Cash consideration</x:v>
      </x:c>
      <x:c r="C14" s="8" t="n">
        <x:v>2293.453968</x:v>
      </x:c>
    </x:row>
    <x:row r="15" ht="36" customHeight="1">
      <x:c r="A15" s="8" t="str">
        <x:v>Liquidity-first</x:v>
      </x:c>
      <x:c r="B15" s="8" t="str">
        <x:v>Debt principal repaid</x:v>
      </x:c>
      <x:c r="C15" s="8" t="n">
        <x:v>400</x:v>
      </x:c>
    </x:row>
    <x:row r="16" ht="36" customHeight="1">
      <x:c r="A16" s="8" t="str">
        <x:v>Liquidity-first</x:v>
      </x:c>
      <x:c r="B16" s="8" t="str">
        <x:v>Transaction expenses</x:v>
      </x:c>
      <x:c r="C16" s="8" t="n">
        <x:v>75</x:v>
      </x:c>
    </x:row>
    <x:row r="17" ht="36" customHeight="1">
      <x:c r="A17" s="8" t="str">
        <x:v>Liquidity-first</x:v>
      </x:c>
      <x:c r="B17" s="8" t="str">
        <x:v>Award settlement reserve</x:v>
      </x:c>
      <x:c r="C17" s="8" t="n">
        <x:v>109.07406292799999</x:v>
      </x:c>
    </x:row>
    <x:row r="18" ht="36" customHeight="1">
      <x:c r="A18" s="8" t="str">
        <x:v>Liquidity-first</x:v>
      </x:c>
      <x:c r="B18" s="8" t="str">
        <x:v>Redemption premium</x:v>
      </x:c>
      <x:c r="C18" s="8" t="n">
        <x:v>4.0000000000000036</x:v>
      </x:c>
    </x:row>
    <x:row r="19" ht="36" customHeight="1">
      <x:c r="A19" s="8" t="str">
        <x:v>Liquidity-first</x:v>
      </x:c>
      <x:c r="B19" s="8" t="str">
        <x:v>Accrued interest</x:v>
      </x:c>
      <x:c r="C19" s="8" t="n">
        <x:v>1.3333333333333333</x:v>
      </x:c>
    </x:row>
    <x:row r="20" ht="36" customHeight="1">
      <x:c r="A20" s="8" t="str">
        <x:v>Liquidity-first</x:v>
      </x:c>
      <x:c r="B20" s="8" t="str">
        <x:v>Lc collateral reserve</x:v>
      </x:c>
      <x:c r="C20" s="8" t="n">
        <x:v>7.3500000000000005</x:v>
      </x:c>
    </x:row>
    <x:row r="21" ht="36" customHeight="1">
      <x:c r="A21" s="8" t="str">
        <x:v>Liquidity-first</x:v>
      </x:c>
      <x:c r="B21" s="8" t="str">
        <x:v>Other closing uses</x:v>
      </x:c>
      <x:c r="C21" s="8" t="n">
        <x:v>0</x:v>
      </x:c>
    </x:row>
    <x:row r="22" ht="36" customHeight="1">
      <x:c r="A22" s="8" t="str">
        <x:v>Liquidity-first</x:v>
      </x:c>
      <x:c r="B22" s="8" t="str">
        <x:v>Financing fees</x:v>
      </x:c>
      <x:c r="C22" s="8" t="n">
        <x:v>58.983905393088435</x:v>
      </x:c>
    </x:row>
    <x:row r="23" ht="36" customHeight="1">
      <x:c r="A23" s="8" t="str">
        <x:v>Mixed consideration</x:v>
      </x:c>
      <x:c r="B23" s="8" t="str">
        <x:v>Cash consideration</x:v>
      </x:c>
      <x:c r="C23" s="8" t="n">
        <x:v>1146.726984</x:v>
      </x:c>
    </x:row>
    <x:row r="24" ht="36" customHeight="1">
      <x:c r="A24" s="8" t="str">
        <x:v>Mixed consideration</x:v>
      </x:c>
      <x:c r="B24" s="8" t="str">
        <x:v>Debt principal repaid</x:v>
      </x:c>
      <x:c r="C24" s="8" t="n">
        <x:v>400</x:v>
      </x:c>
    </x:row>
    <x:row r="25" ht="36" customHeight="1">
      <x:c r="A25" s="8" t="str">
        <x:v>Mixed consideration</x:v>
      </x:c>
      <x:c r="B25" s="8" t="str">
        <x:v>Transaction expenses</x:v>
      </x:c>
      <x:c r="C25" s="8" t="n">
        <x:v>75</x:v>
      </x:c>
    </x:row>
    <x:row r="26" ht="36" customHeight="1">
      <x:c r="A26" s="8" t="str">
        <x:v>Mixed consideration</x:v>
      </x:c>
      <x:c r="B26" s="8" t="str">
        <x:v>Award settlement reserve</x:v>
      </x:c>
      <x:c r="C26" s="8" t="n">
        <x:v>109.07406292799999</x:v>
      </x:c>
    </x:row>
    <x:row r="27" ht="36" customHeight="1">
      <x:c r="A27" s="8" t="str">
        <x:v>Mixed consideration</x:v>
      </x:c>
      <x:c r="B27" s="8" t="str">
        <x:v>Redemption premium</x:v>
      </x:c>
      <x:c r="C27" s="8" t="n">
        <x:v>4.0000000000000036</x:v>
      </x:c>
    </x:row>
    <x:row r="28" ht="36" customHeight="1">
      <x:c r="A28" s="8" t="str">
        <x:v>Mixed consideration</x:v>
      </x:c>
      <x:c r="B28" s="8" t="str">
        <x:v>Accrued interest</x:v>
      </x:c>
      <x:c r="C28" s="8" t="n">
        <x:v>1.3333333333333333</x:v>
      </x:c>
    </x:row>
    <x:row r="29" ht="36" customHeight="1">
      <x:c r="A29" s="8" t="str">
        <x:v>Mixed consideration</x:v>
      </x:c>
      <x:c r="B29" s="8" t="str">
        <x:v>Lc collateral reserve</x:v>
      </x:c>
      <x:c r="C29" s="8" t="n">
        <x:v>7.3500000000000005</x:v>
      </x:c>
    </x:row>
    <x:row r="30" ht="36" customHeight="1">
      <x:c r="A30" s="8" t="str">
        <x:v>Mixed consideration</x:v>
      </x:c>
      <x:c r="B30" s="8" t="str">
        <x:v>Other closing uses</x:v>
      </x:c>
      <x:c r="C30" s="8" t="n">
        <x:v>0</x:v>
      </x:c>
    </x:row>
    <x:row r="31" ht="36" customHeight="1">
      <x:c r="A31" s="8" t="str">
        <x:v>Mixed consideration</x:v>
      </x:c>
      <x:c r="B31" s="8" t="str">
        <x:v>Financing fees</x:v>
      </x:c>
      <x:c r="C31" s="8" t="n">
        <x:v>30.424650232438843</x:v>
      </x:c>
    </x:row>
    <x:row r="32" ht="36" customHeight="1">
      <x:c r="A32" s="8" t="str">
        <x:v>Cash-first</x:v>
      </x:c>
      <x:c r="B32" s="8" t="str">
        <x:v>Cash uses</x:v>
      </x:c>
      <x:c r="C32" s="8" t="n">
        <x:v>2944.038606003976</x:v>
      </x:c>
    </x:row>
    <x:row r="33" ht="36" customHeight="1">
      <x:c r="A33" s="8" t="str">
        <x:v>Cash-first</x:v>
      </x:c>
      <x:c r="B33" s="8" t="str">
        <x:v>Cash contribution</x:v>
      </x:c>
      <x:c r="C33" s="8" t="n">
        <x:v>252.67651887182978</x:v>
      </x:c>
    </x:row>
    <x:row r="34" ht="36" customHeight="1">
      <x:c r="A34" s="8" t="str">
        <x:v>Cash-first</x:v>
      </x:c>
      <x:c r="B34" s="8" t="str">
        <x:v>Total new borrowing</x:v>
      </x:c>
      <x:c r="C34" s="8" t="n">
        <x:v>2691.362087132146</x:v>
      </x:c>
    </x:row>
    <x:row r="35" ht="36" customHeight="1">
      <x:c r="A35" s="8" t="str">
        <x:v>Cash-first</x:v>
      </x:c>
      <x:c r="B35" s="8" t="str">
        <x:v>Analytical equity</x:v>
      </x:c>
      <x:c r="C35" s="8" t="n">
        <x:v>0</x:v>
      </x:c>
    </x:row>
    <x:row r="36" ht="36" customHeight="1">
      <x:c r="A36" s="8" t="str">
        <x:v>Cash-first</x:v>
      </x:c>
      <x:c r="B36" s="8" t="str">
        <x:v>Sources uses difference</x:v>
      </x:c>
      <x:c r="C36" s="8" t="n">
        <x:v>-4.547473508864641e-13</x:v>
      </x:c>
    </x:row>
    <x:row r="37" ht="36" customHeight="1">
      <x:c r="A37" s="8" t="str">
        <x:v>Liquidity-first</x:v>
      </x:c>
      <x:c r="B37" s="8" t="str">
        <x:v>Cash uses</x:v>
      </x:c>
      <x:c r="C37" s="8" t="n">
        <x:v>2949.1952696544213</x:v>
      </x:c>
    </x:row>
    <x:row r="38" ht="36" customHeight="1">
      <x:c r="A38" s="8" t="str">
        <x:v>Liquidity-first</x:v>
      </x:c>
      <x:c r="B38" s="8" t="str">
        <x:v>Cash contribution</x:v>
      </x:c>
      <x:c r="C38" s="8" t="n">
        <x:v>0</x:v>
      </x:c>
    </x:row>
    <x:row r="39" ht="36" customHeight="1">
      <x:c r="A39" s="8" t="str">
        <x:v>Liquidity-first</x:v>
      </x:c>
      <x:c r="B39" s="8" t="str">
        <x:v>Total new borrowing</x:v>
      </x:c>
      <x:c r="C39" s="8" t="n">
        <x:v>2949.1952696544217</x:v>
      </x:c>
    </x:row>
    <x:row r="40" ht="36" customHeight="1">
      <x:c r="A40" s="8" t="str">
        <x:v>Liquidity-first</x:v>
      </x:c>
      <x:c r="B40" s="8" t="str">
        <x:v>Analytical equity</x:v>
      </x:c>
      <x:c r="C40" s="8" t="n">
        <x:v>0</x:v>
      </x:c>
    </x:row>
    <x:row r="41" ht="36" customHeight="1">
      <x:c r="A41" s="8" t="str">
        <x:v>Liquidity-first</x:v>
      </x:c>
      <x:c r="B41" s="8" t="str">
        <x:v>Sources uses difference</x:v>
      </x:c>
      <x:c r="C41" s="8" t="n">
        <x:v>4.547473508864641e-13</x:v>
      </x:c>
    </x:row>
    <x:row r="42" ht="36" customHeight="1">
      <x:c r="A42" s="8" t="str">
        <x:v>Mixed consideration</x:v>
      </x:c>
      <x:c r="B42" s="8" t="str">
        <x:v>Cash uses</x:v>
      </x:c>
      <x:c r="C42" s="8" t="n">
        <x:v>1773.909030493772</x:v>
      </x:c>
    </x:row>
    <x:row r="43" ht="36" customHeight="1">
      <x:c r="A43" s="8" t="str">
        <x:v>Mixed consideration</x:v>
      </x:c>
      <x:c r="B43" s="8" t="str">
        <x:v>Cash contribution</x:v>
      </x:c>
      <x:c r="C43" s="8" t="n">
        <x:v>252.67651887182978</x:v>
      </x:c>
    </x:row>
    <x:row r="44" ht="36" customHeight="1">
      <x:c r="A44" s="8" t="str">
        <x:v>Mixed consideration</x:v>
      </x:c>
      <x:c r="B44" s="8" t="str">
        <x:v>Total new borrowing</x:v>
      </x:c>
      <x:c r="C44" s="8" t="n">
        <x:v>1521.2325116219422</x:v>
      </x:c>
    </x:row>
    <x:row r="45" ht="36" customHeight="1">
      <x:c r="A45" s="8" t="str">
        <x:v>Mixed consideration</x:v>
      </x:c>
      <x:c r="B45" s="8" t="str">
        <x:v>Analytical equity</x:v>
      </x:c>
      <x:c r="C45" s="8" t="n">
        <x:v>0</x:v>
      </x:c>
    </x:row>
    <x:row r="46" ht="36" customHeight="1">
      <x:c r="A46" s="8" t="str">
        <x:v>Mixed consideration</x:v>
      </x:c>
      <x:c r="B46" s="8" t="str">
        <x:v>Sources uses difference</x:v>
      </x:c>
      <x:c r="C46" s="8" t="n">
        <x:v>0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8" hidden="0" customWidth="1"/>
    <x:col min="4" max="4" width="24" hidden="0" customWidth="1"/>
    <x:col min="5" max="5" width="25" hidden="0" customWidth="1"/>
    <x:col min="6" max="6" width="65" hidden="0" customWidth="1"/>
  </x:cols>
  <x:sheetData>
    <x:row r="2" ht="42" customHeight="1">
      <x:c r="A2" s="5" t="str">
        <x:v>Timing and capacity</x:v>
      </x:c>
      <x:c r="B2" s="5"/>
      <x:c r="C2" s="5"/>
      <x:c r="D2" s="5"/>
      <x:c r="E2" s="5"/>
      <x:c r="F2" s="5"/>
    </x:row>
    <x:row r="3" ht="42" customHeight="1">
      <x:c r="A3" s="4" t="str">
        <x:v>USD millions. Python snapshots; rerun Python to change assumptions.</x:v>
      </x:c>
      <x:c r="B3" s="4"/>
      <x:c r="C3" s="4"/>
      <x:c r="D3" s="4"/>
      <x:c r="E3" s="4"/>
      <x:c r="F3" s="4"/>
    </x:row>
    <x:row r="4" ht="42" customHeight="1">
      <x:c r="A4" s="7" t="str">
        <x:v>Timing</x:v>
      </x:c>
      <x:c r="B4" s="7" t="str">
        <x:v>Structure</x:v>
      </x:c>
      <x:c r="C4" s="7" t="str">
        <x:v>Acquisition debt</x:v>
      </x:c>
      <x:c r="D4" s="7" t="str">
        <x:v>Residual equity</x:v>
      </x:c>
      <x:c r="E4" s="7" t="str">
        <x:v>Fee convention</x:v>
      </x:c>
      <x:c r="F4" s="7" t="str">
        <x:v>Constraint</x:v>
      </x:c>
    </x:row>
    <x:row r="5" ht="36" customHeight="1">
      <x:c r="A5" s="8" t="str">
        <x:v>Annual</x:v>
      </x:c>
      <x:c r="B5" s="8" t="str">
        <x:v>Cash-first</x:v>
      </x:c>
      <x:c r="C5" s="8" t="str">
        <x:v>No feasible solution</x:v>
      </x:c>
      <x:c r="D5" s="8"/>
      <x:c r="E5" s="8" t="str">
        <x:v>issued_debt</x:v>
      </x:c>
      <x:c r="F5" s="8" t="str">
        <x:v>Cash at year 1, period 1</x:v>
      </x:c>
    </x:row>
    <x:row r="6" ht="36" customHeight="1">
      <x:c r="A6" s="8" t="str">
        <x:v>Annual</x:v>
      </x:c>
      <x:c r="B6" s="8" t="str">
        <x:v>Liquidity-first</x:v>
      </x:c>
      <x:c r="C6" s="8" t="str">
        <x:v>No feasible solution</x:v>
      </x:c>
      <x:c r="D6" s="8"/>
      <x:c r="E6" s="8" t="str">
        <x:v>issued_debt</x:v>
      </x:c>
      <x:c r="F6" s="8" t="str">
        <x:v>Cash at year 2, period 2</x:v>
      </x:c>
    </x:row>
    <x:row r="7" ht="36" customHeight="1">
      <x:c r="A7" s="8" t="str">
        <x:v>Annual</x:v>
      </x:c>
      <x:c r="B7" s="8" t="str">
        <x:v>Mixed consideration</x:v>
      </x:c>
      <x:c r="C7" s="8" t="str">
        <x:v>No feasible solution</x:v>
      </x:c>
      <x:c r="D7" s="8"/>
      <x:c r="E7" s="8" t="str">
        <x:v>issued_debt</x:v>
      </x:c>
      <x:c r="F7" s="8" t="str">
        <x:v>Cash at year 1, period 1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2" ht="42" customHeight="1">
      <x:c r="A2" s="5" t="str">
        <x:v>Model checks</x:v>
      </x:c>
      <x:c r="B2" s="5"/>
      <x:c r="C2" s="5"/>
      <x:c r="D2" s="5"/>
      <x:c r="E2" s="5"/>
      <x:c r="F2" s="5"/>
    </x:row>
    <x:row r="3" ht="42" customHeight="1">
      <x:c r="A3" s="4" t="str">
        <x:v>USD millions. Python snapshots; rerun Python to change assumptions.</x:v>
      </x:c>
      <x:c r="B3" s="4"/>
      <x:c r="C3" s="4"/>
      <x:c r="D3" s="4"/>
      <x:c r="E3" s="4"/>
      <x:c r="F3" s="4"/>
    </x:row>
    <x:row r="4" ht="42" customHeight="1">
      <x:c r="A4" s="7" t="str">
        <x:v>Structure</x:v>
      </x:c>
      <x:c r="B4" s="7" t="str">
        <x:v>Period end</x:v>
      </x:c>
      <x:c r="C4" s="7" t="str">
        <x:v>Sources less uses</x:v>
      </x:c>
      <x:c r="D4" s="7" t="str">
        <x:v>Cash rollforward</x:v>
      </x:c>
      <x:c r="E4" s="7" t="str">
        <x:v>Debt rollforward</x:v>
      </x:c>
      <x:c r="F4" s="7" t="str">
        <x:v>Timing</x:v>
      </x:c>
    </x:row>
    <x:row r="5" ht="36" customHeight="1">
      <x:c r="A5" s="8" t="str">
        <x:v>Cash-first</x:v>
      </x:c>
      <x:c r="B5" s="8" t="str">
        <x:v>2026-11-01</x:v>
      </x:c>
      <x:c r="C5" s="8" t="n">
        <x:v>-4.547473508864641e-13</x:v>
      </x:c>
      <x:c r="D5" s="8" t="n">
        <x:v>0</x:v>
      </x:c>
      <x:c r="E5" s="8" t="n">
        <x:v>0</x:v>
      </x:c>
      <x:c r="F5" s="8" t="str">
        <x:v>Annual</x:v>
      </x:c>
    </x:row>
    <x:row r="6" ht="36" customHeight="1">
      <x:c r="A6" s="8" t="str">
        <x:v>Cash-first</x:v>
      </x:c>
      <x:c r="B6" s="8" t="str">
        <x:v>2027-11-01</x:v>
      </x:c>
      <x:c r="C6" s="8" t="n">
        <x:v>-4.547473508864641e-13</x:v>
      </x:c>
      <x:c r="D6" s="8" t="n">
        <x:v>5.684341886080802e-14</x:v>
      </x:c>
      <x:c r="E6" s="8" t="n">
        <x:v>0</x:v>
      </x:c>
      <x:c r="F6" s="8" t="str">
        <x:v>Annual</x:v>
      </x:c>
    </x:row>
    <x:row r="7" ht="36" customHeight="1">
      <x:c r="A7" s="8" t="str">
        <x:v>Cash-first</x:v>
      </x:c>
      <x:c r="B7" s="8" t="str">
        <x:v>2028-11-01</x:v>
      </x:c>
      <x:c r="C7" s="8" t="n">
        <x:v>-4.547473508864641e-13</x:v>
      </x:c>
      <x:c r="D7" s="8" t="n">
        <x:v>0</x:v>
      </x:c>
      <x:c r="E7" s="8" t="n">
        <x:v>0</x:v>
      </x:c>
      <x:c r="F7" s="8" t="str">
        <x:v>Annual</x:v>
      </x:c>
    </x:row>
    <x:row r="8" ht="36" customHeight="1">
      <x:c r="A8" s="8" t="str">
        <x:v>Cash-first</x:v>
      </x:c>
      <x:c r="B8" s="8" t="str">
        <x:v>2029-11-01</x:v>
      </x:c>
      <x:c r="C8" s="8" t="n">
        <x:v>-4.547473508864641e-13</x:v>
      </x:c>
      <x:c r="D8" s="8" t="n">
        <x:v>2.2737367544323206e-13</x:v>
      </x:c>
      <x:c r="E8" s="8" t="n">
        <x:v>0</x:v>
      </x:c>
      <x:c r="F8" s="8" t="str">
        <x:v>Annual</x:v>
      </x:c>
    </x:row>
    <x:row r="9" ht="36" customHeight="1">
      <x:c r="A9" s="8" t="str">
        <x:v>Cash-first</x:v>
      </x:c>
      <x:c r="B9" s="8" t="str">
        <x:v>2030-11-01</x:v>
      </x:c>
      <x:c r="C9" s="8" t="n">
        <x:v>-4.547473508864641e-13</x:v>
      </x:c>
      <x:c r="D9" s="8" t="n">
        <x:v>0</x:v>
      </x:c>
      <x:c r="E9" s="8" t="n">
        <x:v>0</x:v>
      </x:c>
      <x:c r="F9" s="8" t="str">
        <x:v>Annual</x:v>
      </x:c>
    </x:row>
    <x:row r="10" ht="36" customHeight="1">
      <x:c r="A10" s="8" t="str">
        <x:v>Liquidity-first</x:v>
      </x:c>
      <x:c r="B10" s="8" t="str">
        <x:v>2026-11-01</x:v>
      </x:c>
      <x:c r="C10" s="8" t="n">
        <x:v>4.547473508864641e-13</x:v>
      </x:c>
      <x:c r="D10" s="8" t="n">
        <x:v>-1.1368683772161603e-13</x:v>
      </x:c>
      <x:c r="E10" s="8" t="n">
        <x:v>-9.094947017729282e-13</x:v>
      </x:c>
      <x:c r="F10" s="8" t="str">
        <x:v>Annual</x:v>
      </x:c>
    </x:row>
    <x:row r="11" ht="36" customHeight="1">
      <x:c r="A11" s="8" t="str">
        <x:v>Liquidity-first</x:v>
      </x:c>
      <x:c r="B11" s="8" t="str">
        <x:v>2027-11-01</x:v>
      </x:c>
      <x:c r="C11" s="8" t="n">
        <x:v>4.547473508864641e-13</x:v>
      </x:c>
      <x:c r="D11" s="8" t="n">
        <x:v>-2.3447910280083306e-13</x:v>
      </x:c>
      <x:c r="E11" s="8" t="n">
        <x:v>0</x:v>
      </x:c>
      <x:c r="F11" s="8" t="str">
        <x:v>Annual</x:v>
      </x:c>
    </x:row>
    <x:row r="12" ht="36" customHeight="1">
      <x:c r="A12" s="8" t="str">
        <x:v>Liquidity-first</x:v>
      </x:c>
      <x:c r="B12" s="8" t="str">
        <x:v>2028-11-01</x:v>
      </x:c>
      <x:c r="C12" s="8" t="n">
        <x:v>4.547473508864641e-13</x:v>
      </x:c>
      <x:c r="D12" s="8" t="n">
        <x:v>0</x:v>
      </x:c>
      <x:c r="E12" s="8" t="n">
        <x:v>0</x:v>
      </x:c>
      <x:c r="F12" s="8" t="str">
        <x:v>Annual</x:v>
      </x:c>
    </x:row>
    <x:row r="13" ht="36" customHeight="1">
      <x:c r="A13" s="8" t="str">
        <x:v>Liquidity-first</x:v>
      </x:c>
      <x:c r="B13" s="8" t="str">
        <x:v>2029-11-01</x:v>
      </x:c>
      <x:c r="C13" s="8" t="n">
        <x:v>4.547473508864641e-13</x:v>
      </x:c>
      <x:c r="D13" s="8" t="n">
        <x:v>0</x:v>
      </x:c>
      <x:c r="E13" s="8" t="n">
        <x:v>0</x:v>
      </x:c>
      <x:c r="F13" s="8" t="str">
        <x:v>Annual</x:v>
      </x:c>
    </x:row>
    <x:row r="14" ht="36" customHeight="1">
      <x:c r="A14" s="8" t="str">
        <x:v>Liquidity-first</x:v>
      </x:c>
      <x:c r="B14" s="8" t="str">
        <x:v>2030-11-01</x:v>
      </x:c>
      <x:c r="C14" s="8" t="n">
        <x:v>4.547473508864641e-13</x:v>
      </x:c>
      <x:c r="D14" s="8" t="n">
        <x:v>0</x:v>
      </x:c>
      <x:c r="E14" s="8" t="n">
        <x:v>0</x:v>
      </x:c>
      <x:c r="F14" s="8" t="str">
        <x:v>Annual</x:v>
      </x:c>
    </x:row>
    <x:row r="15" ht="36" customHeight="1">
      <x:c r="A15" s="8" t="str">
        <x:v>Mixed consideration</x:v>
      </x:c>
      <x:c r="B15" s="8" t="str">
        <x:v>2026-11-01</x:v>
      </x:c>
      <x:c r="C15" s="8" t="n">
        <x:v>0</x:v>
      </x:c>
      <x:c r="D15" s="8" t="n">
        <x:v>-2.2737367544323206e-13</x:v>
      </x:c>
      <x:c r="E15" s="8" t="n">
        <x:v>0</x:v>
      </x:c>
      <x:c r="F15" s="8" t="str">
        <x:v>Annual</x:v>
      </x:c>
    </x:row>
    <x:row r="16" ht="36" customHeight="1">
      <x:c r="A16" s="8" t="str">
        <x:v>Mixed consideration</x:v>
      </x:c>
      <x:c r="B16" s="8" t="str">
        <x:v>2027-11-01</x:v>
      </x:c>
      <x:c r="C16" s="8" t="n">
        <x:v>0</x:v>
      </x:c>
      <x:c r="D16" s="8" t="n">
        <x:v>-1.2079226507921703e-13</x:v>
      </x:c>
      <x:c r="E16" s="8" t="n">
        <x:v>0</x:v>
      </x:c>
      <x:c r="F16" s="8" t="str">
        <x:v>Annual</x:v>
      </x:c>
    </x:row>
    <x:row r="17" ht="36" customHeight="1">
      <x:c r="A17" s="8" t="str">
        <x:v>Mixed consideration</x:v>
      </x:c>
      <x:c r="B17" s="8" t="str">
        <x:v>2028-11-01</x:v>
      </x:c>
      <x:c r="C17" s="8" t="n">
        <x:v>0</x:v>
      </x:c>
      <x:c r="D17" s="8" t="n">
        <x:v>0</x:v>
      </x:c>
      <x:c r="E17" s="8" t="n">
        <x:v>0</x:v>
      </x:c>
      <x:c r="F17" s="8" t="str">
        <x:v>Annual</x:v>
      </x:c>
    </x:row>
    <x:row r="18" ht="36" customHeight="1">
      <x:c r="A18" s="8" t="str">
        <x:v>Mixed consideration</x:v>
      </x:c>
      <x:c r="B18" s="8" t="str">
        <x:v>2029-11-01</x:v>
      </x:c>
      <x:c r="C18" s="8" t="n">
        <x:v>0</x:v>
      </x:c>
      <x:c r="D18" s="8" t="n">
        <x:v>2.2737367544323206e-13</x:v>
      </x:c>
      <x:c r="E18" s="8" t="n">
        <x:v>0</x:v>
      </x:c>
      <x:c r="F18" s="8" t="str">
        <x:v>Annual</x:v>
      </x:c>
    </x:row>
    <x:row r="19" ht="36" customHeight="1">
      <x:c r="A19" s="8" t="str">
        <x:v>Mixed consideration</x:v>
      </x:c>
      <x:c r="B19" s="8" t="str">
        <x:v>2030-11-01</x:v>
      </x:c>
      <x:c r="C19" s="8" t="n">
        <x:v>0</x:v>
      </x:c>
      <x:c r="D19" s="8" t="n">
        <x:v>2.2737367544323206e-13</x:v>
      </x:c>
      <x:c r="E19" s="8" t="n">
        <x:v>0</x:v>
      </x:c>
      <x:c r="F19" s="8" t="str">
        <x:v>Annual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2" ht="42" customHeight="1">
      <x:c r="A2" s="5" t="str">
        <x:v>Closing working capital</x:v>
      </x:c>
      <x:c r="B2" s="5"/>
      <x:c r="C2" s="5"/>
      <x:c r="D2" s="5"/>
      <x:c r="E2" s="5"/>
    </x:row>
    <x:row r="3" ht="42" customHeight="1">
      <x:c r="A3" s="4" t="str">
        <x:v>USD millions. Python snapshots; rerun Python to change assumptions.</x:v>
      </x:c>
      <x:c r="B3" s="4"/>
      <x:c r="C3" s="4"/>
      <x:c r="D3" s="4"/>
      <x:c r="E3" s="4"/>
    </x:row>
    <x:row r="4" ht="42" customHeight="1">
      <x:c r="A4" s="7" t="str">
        <x:v>Company</x:v>
      </x:c>
      <x:c r="B4" s="7" t="str">
        <x:v>Balance</x:v>
      </x:c>
      <x:c r="C4" s="7" t="str">
        <x:v>Reported</x:v>
      </x:c>
      <x:c r="D4" s="7" t="str">
        <x:v>Projected closing</x:v>
      </x:c>
      <x:c r="E4" s="7" t="str">
        <x:v>Movement</x:v>
      </x:c>
    </x:row>
    <x:row r="5" ht="36" customHeight="1">
      <x:c r="A5" s="8" t="str">
        <x:v>acquirer</x:v>
      </x:c>
      <x:c r="B5" s="8" t="str">
        <x:v>inventory</x:v>
      </x:c>
      <x:c r="C5" s="8" t="n">
        <x:v>3349.83</x:v>
      </x:c>
      <x:c r="D5" s="8" t="n">
        <x:v>3952.7994</x:v>
      </x:c>
      <x:c r="E5" s="9" t="n">
        <x:f>D5-C5</x:f>
        <x:v>602.9694</x:v>
      </x:c>
    </x:row>
    <x:row r="6" ht="36" customHeight="1">
      <x:c r="A6" s="8" t="str">
        <x:v>acquirer</x:v>
      </x:c>
      <x:c r="B6" s="8" t="str">
        <x:v>receivables</x:v>
      </x:c>
      <x:c r="C6" s="8" t="n">
        <x:v>214.25</x:v>
      </x:c>
      <x:c r="D6" s="8" t="n">
        <x:v>224.9625</x:v>
      </x:c>
      <x:c r="E6" s="9" t="n">
        <x:f>D6-C6</x:f>
        <x:v>10.712500000000006</x:v>
      </x:c>
    </x:row>
    <x:row r="7" ht="36" customHeight="1">
      <x:c r="A7" s="8" t="str">
        <x:v>acquirer</x:v>
      </x:c>
      <x:c r="B7" s="8" t="str">
        <x:v>payables</x:v>
      </x:c>
      <x:c r="C7" s="8" t="n">
        <x:v>1497.743</x:v>
      </x:c>
      <x:c r="D7" s="8" t="n">
        <x:v>1722.4044499999998</x:v>
      </x:c>
      <x:c r="E7" s="9" t="n">
        <x:f>D7-C7</x:f>
        <x:v>224.66144999999983</x:v>
      </x:c>
    </x:row>
    <x:row r="8" ht="36" customHeight="1">
      <x:c r="A8" s="8" t="str">
        <x:v>target</x:v>
      </x:c>
      <x:c r="B8" s="8" t="str">
        <x:v>inventory</x:v>
      </x:c>
      <x:c r="C8" s="8" t="n">
        <x:v>1525</x:v>
      </x:c>
      <x:c r="D8" s="8" t="n">
        <x:v>1753.7499999999998</x:v>
      </x:c>
      <x:c r="E8" s="9" t="n">
        <x:f>D8-C8</x:f>
        <x:v>228.74999999999977</x:v>
      </x:c>
    </x:row>
    <x:row r="9" ht="36" customHeight="1">
      <x:c r="A9" s="8" t="str">
        <x:v>target</x:v>
      </x:c>
      <x:c r="B9" s="8" t="str">
        <x:v>receivables</x:v>
      </x:c>
      <x:c r="C9" s="8" t="n">
        <x:v>156</x:v>
      </x:c>
      <x:c r="D9" s="8" t="n">
        <x:v>156</x:v>
      </x:c>
      <x:c r="E9" s="9" t="n">
        <x:f>D9-C9</x:f>
        <x:v>0</x:v>
      </x:c>
    </x:row>
    <x:row r="10" ht="36" customHeight="1">
      <x:c r="A10" s="8" t="str">
        <x:v>target</x:v>
      </x:c>
      <x:c r="B10" s="8" t="str">
        <x:v>payables</x:v>
      </x:c>
      <x:c r="C10" s="8" t="n">
        <x:v>378</x:v>
      </x:c>
      <x:c r="D10" s="8" t="n">
        <x:v>434.7</x:v>
      </x:c>
      <x:c r="E10" s="9" t="n">
        <x:f>D10-C10</x:f>
        <x:v>56.69999999999999</x:v>
      </x:c>
    </x:row>
  </x:sheetData>
  <x:mergeCells>
    <x:mergeCell ref="A2:E2"/>
    <x:mergeCell ref="A3:E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2" ht="42" customHeight="1">
      <x:c r="A2" s="5" t="str">
        <x:v>CFO bridge</x:v>
      </x:c>
      <x:c r="B2" s="5"/>
      <x:c r="C2" s="5"/>
      <x:c r="D2" s="5"/>
      <x:c r="E2" s="5"/>
      <x:c r="F2" s="5"/>
      <x:c r="G2" s="5"/>
      <x:c r="H2" s="5"/>
    </x:row>
    <x:row r="3" ht="42" customHeight="1">
      <x:c r="A3" s="4" t="str">
        <x:v>USD millions. Python snapshots; rerun Python to change assumptions.</x:v>
      </x:c>
      <x:c r="B3" s="4"/>
      <x:c r="C3" s="4"/>
      <x:c r="D3" s="4"/>
      <x:c r="E3" s="4"/>
      <x:c r="F3" s="4"/>
      <x:c r="G3" s="4"/>
      <x:c r="H3" s="4"/>
    </x:row>
    <x:row r="4" ht="42" customHeight="1">
      <x:c r="A4" s="7" t="str">
        <x:v>Company</x:v>
      </x:c>
      <x:c r="B4" s="7" t="str">
        <x:v>Prior WC cash contribution</x:v>
      </x:c>
      <x:c r="C4" s="7" t="str">
        <x:v>Projected pre-WC CFO</x:v>
      </x:c>
      <x:c r="D4" s="7" t="str">
        <x:v>Projected change NWC</x:v>
      </x:c>
      <x:c r="E4" s="7" t="str">
        <x:v>Projected CFO</x:v>
      </x:c>
      <x:c r="F4" s="7" t="str">
        <x:v>Projected cash</x:v>
      </x:c>
      <x:c r="G4" s="7" t="str">
        <x:v>Accessible cash</x:v>
      </x:c>
      <x:c r="H4" s="7" t="str">
        <x:v>Excluded accounting cash</x:v>
      </x:c>
    </x:row>
    <x:row r="5" ht="36" customHeight="1">
      <x:c r="A5" s="8" t="str">
        <x:v>acquirer</x:v>
      </x:c>
      <x:c r="B5" s="8" t="n">
        <x:v>-497.485</x:v>
      </x:c>
      <x:c r="C5" s="8" t="n">
        <x:v>1177.792</x:v>
      </x:c>
      <x:c r="D5" s="8" t="n">
        <x:v>389.0204499999995</x:v>
      </x:c>
      <x:c r="E5" s="9" t="n">
        <x:f>C5-D5</x:f>
        <x:v>788.7715500000004</x:v>
      </x:c>
      <x:c r="F5" s="8" t="n">
        <x:v>1336.9020251624397</x:v>
      </x:c>
      <x:c r="G5" s="8" t="n">
        <x:v>1002.6765188718298</x:v>
      </x:c>
      <x:c r="H5" s="8" t="n">
        <x:v>334.2255062906099</x:v>
      </x:c>
    </x:row>
    <x:row r="6" ht="36" customHeight="1">
      <x:c r="A6" s="8" t="str">
        <x:v>target</x:v>
      </x:c>
      <x:c r="B6" s="8" t="n">
        <x:v>-106</x:v>
      </x:c>
      <x:c r="C6" s="8" t="n">
        <x:v>102</x:v>
      </x:c>
      <x:c r="D6" s="8" t="n">
        <x:v>172.04999999999973</x:v>
      </x:c>
      <x:c r="E6" s="9" t="n">
        <x:f>C6-D6</x:f>
        <x:v>-70.04999999999973</x:v>
      </x:c>
      <x:c r="F6" s="8" t="n">
        <x:v>96.10000000000028</x:v>
      </x:c>
      <x:c r="G6" s="8" t="n">
        <x:v>0</x:v>
      </x:c>
      <x:c r="H6" s="8" t="n">
        <x:v>96.10000000000028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2" ht="42" customHeight="1">
      <x:c r="A2" s="5" t="str">
        <x:v>Cost reconciliation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42" customHeight="1">
      <x:c r="A3" s="4" t="str">
        <x:v>USD millions. Python snapshots; rerun Python to change assumptions.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42" customHeight="1">
      <x:c r="A4" s="7" t="str">
        <x:v>Company</x:v>
      </x:c>
      <x:c r="B4" s="7" t="str">
        <x:v>Reported revenue</x:v>
      </x:c>
      <x:c r="C4" s="7" t="str">
        <x:v>Reported COS</x:v>
      </x:c>
      <x:c r="D4" s="7" t="str">
        <x:v>Reported SG&amp;A</x:v>
      </x:c>
      <x:c r="E4" s="7" t="str">
        <x:v>Other operating cost</x:v>
      </x:c>
      <x:c r="F4" s="7" t="str">
        <x:v>Separately presented D&amp;A</x:v>
      </x:c>
      <x:c r="G4" s="7" t="str">
        <x:v>Operating profit</x:v>
      </x:c>
      <x:c r="H4" s="7" t="str">
        <x:v>D&amp;A add-back</x:v>
      </x:c>
      <x:c r="I4" s="7" t="str">
        <x:v>Starting EBITDA</x:v>
      </x:c>
      <x:c r="J4" s="7" t="str">
        <x:v>Separate lease cost</x:v>
      </x:c>
      <x:c r="K4" s="7" t="str">
        <x:v>Nonrent cost pool</x:v>
      </x:c>
      <x:c r="L4" s="7" t="str">
        <x:v>Assumed variable share</x:v>
      </x:c>
    </x:row>
    <x:row r="5" ht="36" customHeight="1">
      <x:c r="A5" s="8" t="str">
        <x:v>DICK'S Sporting Goods</x:v>
      </x:c>
      <x:c r="B5" s="8" t="n">
        <x:v>13442.849</x:v>
      </x:c>
      <x:c r="C5" s="8" t="n">
        <x:v>8617.153</x:v>
      </x:c>
      <x:c r="D5" s="8" t="n">
        <x:v>3294.272</x:v>
      </x:c>
      <x:c r="E5" s="8" t="n">
        <x:v>57.492</x:v>
      </x:c>
      <x:c r="F5" s="8" t="n">
        <x:v>0</x:v>
      </x:c>
      <x:c r="G5" s="8" t="n">
        <x:v>1473.932</x:v>
      </x:c>
      <x:c r="H5" s="8" t="n">
        <x:v>400.409</x:v>
      </x:c>
      <x:c r="I5" s="8" t="n">
        <x:v>1874.341</x:v>
      </x:c>
      <x:c r="J5" s="8" t="n">
        <x:v>782.9200000000001</x:v>
      </x:c>
      <x:c r="K5" s="8" t="n">
        <x:v>10785.588</x:v>
      </x:c>
      <x:c r="L5" s="10" t="n">
        <x:v>0.8</x:v>
      </x:c>
    </x:row>
    <x:row r="6" ht="36" customHeight="1">
      <x:c r="A6" s="8" t="str">
        <x:v>Foot Locker</x:v>
      </x:c>
      <x:c r="B6" s="8" t="n">
        <x:v>7988</x:v>
      </x:c>
      <x:c r="C6" s="8" t="n">
        <x:v>5666</x:v>
      </x:c>
      <x:c r="D6" s="8" t="n">
        <x:v>1920</x:v>
      </x:c>
      <x:c r="E6" s="8" t="n">
        <x:v>97</x:v>
      </x:c>
      <x:c r="F6" s="8" t="n">
        <x:v>202</x:v>
      </x:c>
      <x:c r="G6" s="8" t="n">
        <x:v>103</x:v>
      </x:c>
      <x:c r="H6" s="8" t="n">
        <x:v>202</x:v>
      </x:c>
      <x:c r="I6" s="8" t="n">
        <x:v>305</x:v>
      </x:c>
      <x:c r="J6" s="8" t="n">
        <x:v>931</x:v>
      </x:c>
      <x:c r="K6" s="8" t="n">
        <x:v>6752</x:v>
      </x:c>
      <x:c r="L6" s="10" t="n">
        <x:v>0.8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3" hidden="0" customWidth="1"/>
    <x:col min="3" max="3" width="23" hidden="0" customWidth="1"/>
    <x:col min="4" max="4" width="23" hidden="0" customWidth="1"/>
  </x:cols>
  <x:sheetData>
    <x:row r="2" ht="42" customHeight="1">
      <x:c r="A2" s="5" t="str">
        <x:v>Investment assumptions</x:v>
      </x:c>
      <x:c r="B2" s="5"/>
      <x:c r="C2" s="5"/>
      <x:c r="D2" s="5"/>
    </x:row>
    <x:row r="3" ht="42" customHeight="1">
      <x:c r="A3" s="4" t="str">
        <x:v>USD millions. Python snapshots; rerun Python to change assumptions.</x:v>
      </x:c>
      <x:c r="B3" s="4"/>
      <x:c r="C3" s="4"/>
      <x:c r="D3" s="4"/>
    </x:row>
    <x:row r="4" ht="42" customHeight="1">
      <x:c r="A4" s="7" t="str">
        <x:v>Company</x:v>
      </x:c>
      <x:c r="B4" s="7" t="str">
        <x:v>Initial gross budget</x:v>
      </x:c>
      <x:c r="C4" s="7" t="str">
        <x:v>Assumed maintenance</x:v>
      </x:c>
      <x:c r="D4" s="7" t="str">
        <x:v>Residual growth budget</x:v>
      </x:c>
    </x:row>
    <x:row r="5" ht="36" customHeight="1">
      <x:c r="A5" s="11" t="str">
        <x:v>DICK'S Sporting Goods</x:v>
      </x:c>
      <x:c r="B5" s="11" t="n">
        <x:v>1200</x:v>
      </x:c>
      <x:c r="C5" s="11" t="n">
        <x:v>800</x:v>
      </x:c>
      <x:c r="D5" s="11" t="n">
        <x:v>400</x:v>
      </x:c>
    </x:row>
    <x:row r="6" ht="36" customHeight="1">
      <x:c r="A6" s="11" t="str">
        <x:v>Foot Locker</x:v>
      </x:c>
      <x:c r="B6" s="11" t="n">
        <x:v>300</x:v>
      </x:c>
      <x:c r="C6" s="11" t="n">
        <x:v>240</x:v>
      </x:c>
      <x:c r="D6" s="11" t="n">
        <x:v>60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2" hidden="0" customWidth="1"/>
    <x:col min="2" max="2" width="36" hidden="0" customWidth="1"/>
    <x:col min="3" max="3" width="95" hidden="0" customWidth="1"/>
    <x:col min="4" max="4" width="90" hidden="0" customWidth="1"/>
  </x:cols>
  <x:sheetData>
    <x:row r="2" ht="42" customHeight="1">
      <x:c r="A2" s="5" t="str">
        <x:v>PUBLIC INFORMATION | Public output policy</x:v>
      </x:c>
      <x:c r="B2" s="5"/>
      <x:c r="C2" s="5"/>
      <x:c r="D2" s="5"/>
    </x:row>
    <x:row r="3" ht="42" customHeight="1">
      <x:c r="A3" s="4" t="str">
        <x:v>Conditional model snapshots; strict recommendation remains blocked. USD millions unless stated.</x:v>
      </x:c>
      <x:c r="B3" s="4"/>
      <x:c r="C3" s="4"/>
      <x:c r="D3" s="4"/>
    </x:row>
    <x:row r="4" ht="42" customHeight="1">
      <x:c r="A4" s="7" t="str">
        <x:v>Output</x:v>
      </x:c>
      <x:c r="B4" s="7" t="str">
        <x:v>Status</x:v>
      </x:c>
      <x:c r="C4" s="7" t="str">
        <x:v>Limitation</x:v>
      </x:c>
      <x:c r="D4" s="7" t="str">
        <x:v>Missing dependencies</x:v>
      </x:c>
    </x:row>
    <x:row r="5" ht="100" customHeight="1">
      <x:c r="A5" s="8" t="str">
        <x:v>Projected closing bridge</x:v>
      </x:c>
      <x:c r="B5" s="8" t="str">
        <x:v>Conditional projection</x:v>
      </x:c>
      <x:c r="C5" s="8" t="str">
        <x:v>Conditional on scope and assumptions; excludes unbounded consent/exceptional costs. No actual covenants or facility availability asserted.</x:v>
      </x:c>
      <x:c r="D5" s="8" t="str">
        <x:v>[]</x:v>
      </x:c>
    </x:row>
    <x:row r="6" ht="100" customHeight="1">
      <x:c r="A6" s="8" t="str">
        <x:v>Connected financing schedules</x:v>
      </x:c>
      <x:c r="B6" s="8" t="str">
        <x:v>Conditional projection</x:v>
      </x:c>
      <x:c r="C6" s="8" t="str">
        <x:v>Conditional on scope and assumptions; excludes unbounded consent/exceptional costs. No actual covenants or facility availability asserted.</x:v>
      </x:c>
      <x:c r="D6" s="8" t="str">
        <x:v>[]</x:v>
      </x:c>
    </x:row>
    <x:row r="7" ht="100" customHeight="1">
      <x:c r="A7" s="8" t="str">
        <x:v>Analytical debt capacity</x:v>
      </x:c>
      <x:c r="B7" s="8" t="str">
        <x:v>Conditional projection</x:v>
      </x:c>
      <x:c r="C7" s="8" t="str">
        <x:v>Conditional on scope and assumptions; excludes unbounded consent/exceptional costs. No actual covenants or facility availability asserted.</x:v>
      </x:c>
      <x:c r="D7" s="8" t="str">
        <x:v>[]</x:v>
      </x:c>
    </x:row>
    <x:row r="8" ht="100" customHeight="1">
      <x:c r="A8" s="8" t="str">
        <x:v>Actual covenant compliance</x:v>
      </x:c>
      <x:c r="B8" s="8" t="str">
        <x:v>Blocked</x:v>
      </x:c>
      <x:c r="C8" s="8" t="str">
        <x:v>Outside analytical scope or unbounded material obligations; numerical feasibility cannot establish this claim.</x:v>
      </x:c>
      <x:c r="D8" s="8" t="str">
        <x:v>[]</x:v>
      </x:c>
    </x:row>
    <x:row r="9" ht="100" customHeight="1">
      <x:c r="A9" s="8" t="str">
        <x:v>Confirmed borrowing availability / lender appetite</x:v>
      </x:c>
      <x:c r="B9" s="8" t="str">
        <x:v>Blocked</x:v>
      </x:c>
      <x:c r="C9" s="8" t="str">
        <x:v>Outside analytical scope or unbounded material obligations; numerical feasibility cannot establish this claim.</x:v>
      </x:c>
      <x:c r="D9" s="8" t="str">
        <x:v>[]</x:v>
      </x:c>
    </x:row>
    <x:row r="10" ht="100" customHeight="1">
      <x:c r="A10" s="8" t="str">
        <x:v>Executable financing / complete actual transaction uses</x:v>
      </x:c>
      <x:c r="B10" s="8" t="str">
        <x:v>Blocked</x:v>
      </x:c>
      <x:c r="C10" s="8" t="str">
        <x:v>Outside analytical scope or unbounded material obligations; numerical feasibility cannot establish this claim.</x:v>
      </x:c>
      <x:c r="D10" s="8" t="str">
        <x:v>[]</x:v>
      </x:c>
    </x:row>
    <x:row r="11" ht="100" customHeight="1">
      <x:c r="A11" s="8" t="str">
        <x:v>Overall company-specific financing preference</x:v>
      </x:c>
      <x:c r="B11" s="8" t="str">
        <x:v>Blocked</x:v>
      </x:c>
      <x:c r="C11" s="8" t="str">
        <x:v>Outside analytical scope or unbounded material obligations; numerical feasibility cannot establish this claim.</x:v>
      </x:c>
      <x:c r="D11" s="8" t="str">
        <x:v>[]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80" hidden="0" customWidth="1"/>
  </x:cols>
  <x:sheetData>
    <x:row r="2" ht="42" customHeight="1">
      <x:c r="A2" s="5" t="str">
        <x:v>PUBLIC INFORMATION | Public assumptions</x:v>
      </x:c>
      <x:c r="B2" s="5"/>
    </x:row>
    <x:row r="3" ht="42" customHeight="1">
      <x:c r="A3" s="4" t="str">
        <x:v>Conditional model snapshots; strict recommendation remains blocked. USD millions unless stated.</x:v>
      </x:c>
      <x:c r="B3" s="4"/>
    </x:row>
    <x:row r="4" ht="42" customHeight="1">
      <x:c r="A4" s="7" t="str">
        <x:v>Future assumption</x:v>
      </x:c>
      <x:c r="B4" s="7" t="str">
        <x:v>Value</x:v>
      </x:c>
    </x:row>
    <x:row r="5" ht="60" customHeight="1">
      <x:c r="A5" s="11" t="str">
        <x:v>closing_date</x:v>
      </x:c>
      <x:c r="B5" s="20" t="str">
        <x:v>2025-11-01</x:v>
      </x:c>
    </x:row>
    <x:row r="6" ht="60" customHeight="1">
      <x:c r="A6" s="11" t="str">
        <x:v>cash_access</x:v>
      </x:c>
      <x:c r="B6" s="20" t="n">
        <x:v>0.75</x:v>
      </x:c>
    </x:row>
    <x:row r="7" ht="60" customHeight="1">
      <x:c r="A7" s="11" t="str">
        <x:v>operating_cash_access</x:v>
      </x:c>
      <x:c r="B7" s="20" t="n">
        <x:v>1</x:v>
      </x:c>
    </x:row>
    <x:row r="8" ht="60" customHeight="1">
      <x:c r="A8" s="11" t="str">
        <x:v>bridge_cfo_factors</x:v>
      </x:c>
      <x:c r="B8" s="20" t="str">
        <x:v>[1.0, 0.5]</x:v>
      </x:c>
    </x:row>
    <x:row r="9" ht="60" customHeight="1">
      <x:c r="A9" s="11" t="str">
        <x:v>gross_annual_capex</x:v>
      </x:c>
      <x:c r="B9" s="20" t="str">
        <x:v>[1200.0, 300.0]</x:v>
      </x:c>
    </x:row>
    <x:row r="10" ht="60" customHeight="1">
      <x:c r="A10" s="11" t="str">
        <x:v>cash_floor</x:v>
      </x:c>
      <x:c r="B10" s="20" t="n">
        <x:v>750</x:v>
      </x:c>
    </x:row>
    <x:row r="11" ht="60" customHeight="1">
      <x:c r="A11" s="11" t="str">
        <x:v>max_leverage</x:v>
      </x:c>
      <x:c r="B11" s="20" t="n">
        <x:v>3</x:v>
      </x:c>
    </x:row>
    <x:row r="12" ht="60" customHeight="1">
      <x:c r="A12" s="11" t="str">
        <x:v>min_coverage</x:v>
      </x:c>
      <x:c r="B12" s="20" t="n">
        <x:v>4</x:v>
      </x:c>
    </x:row>
    <x:row r="13" ht="60" customHeight="1">
      <x:c r="A13" s="11" t="str">
        <x:v>tax_rate</x:v>
      </x:c>
      <x:c r="B13" s="20" t="n">
        <x:v>0.27</x:v>
      </x:c>
    </x:row>
    <x:row r="14" ht="60" customHeight="1">
      <x:c r="A14" s="11" t="str">
        <x:v>benchmark</x:v>
      </x:c>
      <x:c r="B14" s="20" t="n">
        <x:v>0.045</x:v>
      </x:c>
    </x:row>
    <x:row r="15" ht="60" customHeight="1">
      <x:c r="A15" s="11" t="str">
        <x:v>spread</x:v>
      </x:c>
      <x:c r="B15" s="20" t="n">
        <x:v>0.025</x:v>
      </x:c>
    </x:row>
    <x:row r="16" ht="60" customHeight="1">
      <x:c r="A16" s="11" t="str">
        <x:v>fee</x:v>
      </x:c>
      <x:c r="B16" s="20" t="n">
        <x:v>0.02</x:v>
      </x:c>
    </x:row>
    <x:row r="17" ht="60" customHeight="1">
      <x:c r="A17" s="11" t="str">
        <x:v>transaction_fees</x:v>
      </x:c>
      <x:c r="B17" s="20" t="n">
        <x:v>75</x:v>
      </x:c>
    </x:row>
    <x:row r="18" ht="60" customHeight="1">
      <x:c r="A18" s="11" t="str">
        <x:v>award_fraction</x:v>
      </x:c>
      <x:c r="B18" s="20" t="n">
        <x:v>1</x:v>
      </x:c>
    </x:row>
    <x:row r="19" ht="60" customHeight="1">
      <x:c r="A19" s="11" t="str">
        <x:v>dividend_factor</x:v>
      </x:c>
      <x:c r="B19" s="20" t="n">
        <x:v>1</x:v>
      </x:c>
    </x:row>
    <x:row r="20" ht="60" customHeight="1">
      <x:c r="A20" s="11" t="str">
        <x:v>extra_abl_payoff</x:v>
      </x:c>
      <x:c r="B20" s="20" t="n">
        <x:v>0</x:v>
      </x:c>
    </x:row>
    <x:row r="21" ht="60" customHeight="1">
      <x:c r="A21" s="11" t="str">
        <x:v>other_liability_reserve</x:v>
      </x:c>
      <x:c r="B21" s="20" t="n">
        <x:v>0</x:v>
      </x:c>
    </x:row>
    <x:row r="22" ht="60" customHeight="1">
      <x:c r="A22" s="11" t="str">
        <x:v>purchase_commitment_reserve</x:v>
      </x:c>
      <x:c r="B22" s="20" t="n">
        <x:v>0</x:v>
      </x:c>
    </x:row>
    <x:row r="23" ht="60" customHeight="1">
      <x:c r="A23" s="11" t="str">
        <x:v>lease_rate</x:v>
      </x:c>
      <x:c r="B23" s="20" t="n">
        <x:v>0.044</x:v>
      </x:c>
    </x:row>
    <x:row r="24" ht="60" customHeight="1">
      <x:c r="A24" s="11" t="str">
        <x:v>lease_tail_cash</x:v>
      </x:c>
      <x:c r="B24" s="20" t="n">
        <x:v>4</x:v>
      </x:c>
    </x:row>
    <x:row r="25" ht="60" customHeight="1">
      <x:c r="A25" s="11" t="str">
        <x:v>growth</x:v>
      </x:c>
      <x:c r="B25" s="20" t="str">
        <x:v>[[0.02, 0.02, 0.02, 0.02, 0.02], [-0.05, 0.0, 0.02, 0.02, 0.02]]</x:v>
      </x:c>
    </x:row>
    <x:row r="26" ht="60" customHeight="1">
      <x:c r="A26" s="11" t="str">
        <x:v>margin_shock</x:v>
      </x:c>
      <x:c r="B26" s="20" t="n">
        <x:v>0</x:v>
      </x:c>
    </x:row>
    <x:row r="27" ht="60" customHeight="1">
      <x:c r="A27" s="11" t="str">
        <x:v>synergy</x:v>
      </x:c>
      <x:c r="B27" s="20" t="n">
        <x:v>100</x:v>
      </x:c>
    </x:row>
    <x:row r="28" ht="60" customHeight="1">
      <x:c r="A28" s="11" t="str">
        <x:v>integration_multiplier</x:v>
      </x:c>
      <x:c r="B28" s="20" t="n">
        <x:v>1</x:v>
      </x:c>
    </x:row>
    <x:row r="29" ht="60" customHeight="1">
      <x:c r="A29" s="11" t="str">
        <x:v>refinance</x:v>
      </x:c>
      <x:c r="B29" s="21" t="b">
        <x:v>0</x:v>
      </x:c>
    </x:row>
    <x:row r="30" ht="60" customHeight="1">
      <x:c r="A30" s="11" t="str">
        <x:v>variable_cost_share</x:v>
      </x:c>
      <x:c r="B30" s="20" t="str">
        <x:v>[0.8, 0.8]</x:v>
      </x:c>
    </x:row>
    <x:row r="31" ht="60" customHeight="1">
      <x:c r="A31" s="11" t="str">
        <x:v>closing_inventory_multiplier</x:v>
      </x:c>
      <x:c r="B31" s="20" t="str">
        <x:v>[1.18, 1.15]</x:v>
      </x:c>
    </x:row>
    <x:row r="32" ht="60" customHeight="1">
      <x:c r="A32" s="11" t="str">
        <x:v>closing_receivables_multiplier</x:v>
      </x:c>
      <x:c r="B32" s="20" t="str">
        <x:v>[1.05, 1.0]</x:v>
      </x:c>
    </x:row>
    <x:row r="33" ht="60" customHeight="1">
      <x:c r="A33" s="11" t="str">
        <x:v>closing_payables_multiplier</x:v>
      </x:c>
      <x:c r="B33" s="20" t="str">
        <x:v>[1.15, 1.15]</x:v>
      </x:c>
    </x:row>
    <x:row r="34" ht="60" customHeight="1">
      <x:c r="A34" s="11" t="str">
        <x:v>fee_convention</x:v>
      </x:c>
      <x:c r="B34" s="20" t="str">
        <x:v>issued_debt</x:v>
      </x:c>
    </x:row>
    <x:row r="35" ht="60" customHeight="1">
      <x:c r="A35" s="11" t="str">
        <x:v>maintenance_capex</x:v>
      </x:c>
      <x:c r="B35" s="20" t="str">
        <x:v>[800.0, 240.0]</x:v>
      </x:c>
    </x:row>
    <x:row r="36" ht="60" customHeight="1">
      <x:c r="A36" s="11" t="str">
        <x:v>linked_growth_penalty</x:v>
      </x:c>
      <x:c r="B36" s="20" t="str">
        <x:v>[0.01, 0.02]</x:v>
      </x:c>
    </x:row>
    <x:row r="37" ht="60" customHeight="1">
      <x:c r="A37" s="11" t="str">
        <x:v>lc_collateral_factor</x:v>
      </x:c>
      <x:c r="B37" s="20" t="n">
        <x:v>1.05</x:v>
      </x:c>
    </x:row>
    <x:row r="38" ht="60" customHeight="1">
      <x:c r="A38" s="11" t="str">
        <x:v>fixed_cost_growth</x:v>
      </x:c>
      <x:c r="B38" s="20" t="n">
        <x:v>0.02</x:v>
      </x:c>
    </x:row>
    <x:row r="39" ht="60" customHeight="1">
      <x:c r="A39" s="11" t="str">
        <x:v>new_debt_maturity</x:v>
      </x:c>
      <x:c r="B39" s="20" t="n">
        <x:v>5</x:v>
      </x:c>
    </x:row>
    <x:row r="40" ht="60" customHeight="1">
      <x:c r="A40" s="11" t="str">
        <x:v>new_debt_amortisation</x:v>
      </x:c>
      <x:c r="B40" s="20" t="n">
        <x:v>0.02</x:v>
      </x:c>
    </x:row>
    <x:row r="41" ht="60" customHeight="1">
      <x:c r="A41" s="11" t="str">
        <x:v>refinance_limit</x:v>
      </x:c>
      <x:c r="B41" s="20" t="n">
        <x:v>2000</x:v>
      </x:c>
    </x:row>
    <x:row r="42" ht="60" customHeight="1">
      <x:c r="A42" s="11" t="str">
        <x:v>refinance_tenor</x:v>
      </x:c>
      <x:c r="B42" s="20" t="n">
        <x:v>5</x:v>
      </x:c>
    </x:row>
    <x:row r="43" ht="60" customHeight="1">
      <x:c r="A43" s="11" t="str">
        <x:v>synergy_ramp</x:v>
      </x:c>
      <x:c r="B43" s="20" t="str">
        <x:v>[0, 0.5, 1, 1, 1]</x:v>
      </x:c>
    </x:row>
    <x:row r="44" ht="60" customHeight="1">
      <x:c r="A44" s="11" t="str">
        <x:v>integration_costs</x:v>
      </x:c>
      <x:c r="B44" s="20" t="str">
        <x:v>[100, 50, 25, 0, 0]</x:v>
      </x:c>
    </x:row>
    <x:row r="45" ht="60" customHeight="1">
      <x:c r="A45" s="11" t="str">
        <x:v>reference_share_price</x:v>
      </x:c>
      <x:c r="B45" s="20" t="n">
        <x:v>200</x:v>
      </x:c>
    </x:row>
    <x:row r="46" ht="60" customHeight="1">
      <x:c r="A46" s="11" t="str">
        <x:v>mixed_stock_fraction</x:v>
      </x:c>
      <x:c r="B46" s="20" t="n">
        <x:v>0.5</x:v>
      </x:c>
    </x:row>
  </x:sheetData>
  <x:mergeCells>
    <x:mergeCell ref="A2:B2"/>
    <x:mergeCell ref="A3:B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2" ht="42" customHeight="1">
      <x:c r="A2" s="5" t="str">
        <x:v>PUBLIC INFORMATION | Projected closing bridge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42" customHeight="1">
      <x:c r="A3" s="4" t="str">
        <x:v>Conditional model snapshots; strict recommendation remains blocked. USD millions unless stated.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42" customHeight="1">
      <x:c r="A4" s="7" t="str">
        <x:v>Company</x:v>
      </x:c>
      <x:c r="B4" s="7" t="str">
        <x:v>Reported cash</x:v>
      </x:c>
      <x:c r="C4" s="7" t="str">
        <x:v>Projected CFO</x:v>
      </x:c>
      <x:c r="D4" s="7" t="str">
        <x:v>Projected capex</x:v>
      </x:c>
      <x:c r="E4" s="7" t="str">
        <x:v>Projected dividends</x:v>
      </x:c>
      <x:c r="F4" s="7" t="str">
        <x:v>Accrued buybacks paid</x:v>
      </x:c>
      <x:c r="G4" s="7" t="str">
        <x:v>Projected lease principal</x:v>
      </x:c>
      <x:c r="H4" s="7" t="str">
        <x:v>Projected cash</x:v>
      </x:c>
      <x:c r="I4" s="7" t="str">
        <x:v>Usable cash</x:v>
      </x:c>
      <x:c r="J4" s="7" t="str">
        <x:v>Cash access fraction</x:v>
      </x:c>
    </x:row>
    <x:row r="5" ht="36" customHeight="1">
      <x:c r="A5" s="8" t="str">
        <x:v>acquirer</x:v>
      </x:c>
      <x:c r="B5" s="8" t="n">
        <x:v>1689.94</x:v>
      </x:c>
      <x:c r="C5" s="8" t="n">
        <x:v>788.7715500000004</x:v>
      </x:c>
      <x:c r="D5" s="8" t="n">
        <x:v>845.6421598250608</x:v>
      </x:c>
      <x:c r="E5" s="8" t="n">
        <x:v>291.1673650125</x:v>
      </x:c>
      <x:c r="F5" s="8" t="n">
        <x:v>5</x:v>
      </x:c>
      <x:c r="G5" s="8" t="n">
        <x:v>0</x:v>
      </x:c>
      <x:c r="H5" s="9" t="n">
        <x:f>B5+C5-D5-E5-F5-G5</x:f>
        <x:v>1336.9020251624397</x:v>
      </x:c>
      <x:c r="I5" s="9" t="n">
        <x:f>MAX(0,H5)*J5</x:f>
        <x:v>1002.6765188718298</x:v>
      </x:c>
      <x:c r="J5" s="22" t="n">
        <x:v>0.75</x:v>
      </x:c>
    </x:row>
    <x:row r="6" ht="36" customHeight="1">
      <x:c r="A6" s="8" t="str">
        <x:v>target</x:v>
      </x:c>
      <x:c r="B6" s="8" t="n">
        <x:v>401</x:v>
      </x:c>
      <x:c r="C6" s="8" t="n">
        <x:v>-70.04999999999973</x:v>
      </x:c>
      <x:c r="D6" s="8" t="n">
        <x:v>231.25</x:v>
      </x:c>
      <x:c r="E6" s="8" t="n">
        <x:v>0</x:v>
      </x:c>
      <x:c r="F6" s="8" t="n">
        <x:v>0</x:v>
      </x:c>
      <x:c r="G6" s="8" t="n">
        <x:v>3.6</x:v>
      </x:c>
      <x:c r="H6" s="9" t="n">
        <x:f>B6+C6-D6-E6-F6-G6</x:f>
        <x:v>96.10000000000028</x:v>
      </x:c>
      <x:c r="I6" s="9" t="n">
        <x:f>MAX(0,H6)*J6</x:f>
        <x:v>0</x:v>
      </x:c>
      <x:c r="J6" s="22" t="n">
        <x:v>0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55" hidden="0" customWidth="1"/>
    <x:col min="3" max="3" width="90" hidden="0" customWidth="1"/>
  </x:cols>
  <x:sheetData>
    <x:row r="2" ht="42" customHeight="1">
      <x:c r="A2" s="5" t="str">
        <x:v>PUBLIC INFORMATION | Public sources and uses</x:v>
      </x:c>
      <x:c r="B2" s="5"/>
      <x:c r="C2" s="5"/>
    </x:row>
    <x:row r="3" ht="42" customHeight="1">
      <x:c r="A3" s="4" t="str">
        <x:v>Conditional model snapshots; strict recommendation remains blocked. USD millions unless stated.</x:v>
      </x:c>
      <x:c r="B3" s="4"/>
      <x:c r="C3" s="4"/>
    </x:row>
    <x:row r="4" ht="42" customHeight="1">
      <x:c r="A4" s="7" t="str">
        <x:v>Structure / scope</x:v>
      </x:c>
      <x:c r="B4" s="7" t="str">
        <x:v>Item</x:v>
      </x:c>
      <x:c r="C4" s="7" t="str">
        <x:v>Value</x:v>
      </x:c>
    </x:row>
    <x:row r="5" ht="60" customHeight="1">
      <x:c r="A5" s="8" t="str">
        <x:v>Cash-first</x:v>
      </x:c>
      <x:c r="B5" s="8" t="str">
        <x:v>fee_convention</x:v>
      </x:c>
      <x:c r="C5" s="8" t="str">
        <x:v>issued_debt</x:v>
      </x:c>
    </x:row>
    <x:row r="6" ht="60" customHeight="1">
      <x:c r="A6" s="8" t="str">
        <x:v>Cash-first</x:v>
      </x:c>
      <x:c r="B6" s="8" t="str">
        <x:v>equity_consideration</x:v>
      </x:c>
      <x:c r="C6" s="8" t="n">
        <x:v>2293.453968</x:v>
      </x:c>
    </x:row>
    <x:row r="7" ht="60" customHeight="1">
      <x:c r="A7" s="8" t="str">
        <x:v>Cash-first</x:v>
      </x:c>
      <x:c r="B7" s="8" t="str">
        <x:v>enterprise_value</x:v>
      </x:c>
      <x:c r="C7" s="8"/>
    </x:row>
    <x:row r="8" ht="60" customHeight="1">
      <x:c r="A8" s="8" t="str">
        <x:v>Cash-first</x:v>
      </x:c>
      <x:c r="B8" s="8" t="str">
        <x:v>equity_headline_difference</x:v>
      </x:c>
      <x:c r="C8" s="8"/>
    </x:row>
    <x:row r="9" ht="60" customHeight="1">
      <x:c r="A9" s="8" t="str">
        <x:v>Cash-first</x:v>
      </x:c>
      <x:c r="B9" s="8" t="str">
        <x:v>ev_headline_difference</x:v>
      </x:c>
      <x:c r="C9" s="8"/>
    </x:row>
    <x:row r="10" ht="60" customHeight="1">
      <x:c r="A10" s="8" t="str">
        <x:v>Cash-first</x:v>
      </x:c>
      <x:c r="B10" s="8" t="str">
        <x:v>cash_purchase</x:v>
      </x:c>
      <x:c r="C10" s="8" t="n">
        <x:v>2293.453968</x:v>
      </x:c>
    </x:row>
    <x:row r="11" ht="60" customHeight="1">
      <x:c r="A11" s="8" t="str">
        <x:v>Cash-first</x:v>
      </x:c>
      <x:c r="B11" s="8" t="str">
        <x:v>noncash_consideration</x:v>
      </x:c>
      <x:c r="C11" s="8" t="n">
        <x:v>0</x:v>
      </x:c>
    </x:row>
    <x:row r="12" ht="60" customHeight="1">
      <x:c r="A12" s="8" t="str">
        <x:v>Cash-first</x:v>
      </x:c>
      <x:c r="B12" s="8" t="str">
        <x:v>stock_issued</x:v>
      </x:c>
      <x:c r="C12" s="8" t="n">
        <x:v>0</x:v>
      </x:c>
    </x:row>
    <x:row r="13" ht="60" customHeight="1">
      <x:c r="A13" s="8" t="str">
        <x:v>Cash-first</x:v>
      </x:c>
      <x:c r="B13" s="8" t="str">
        <x:v>ownership_dilution</x:v>
      </x:c>
      <x:c r="C13" s="8" t="n">
        <x:v>0</x:v>
      </x:c>
    </x:row>
    <x:row r="14" ht="60" customHeight="1">
      <x:c r="A14" s="8" t="str">
        <x:v>Cash-first</x:v>
      </x:c>
      <x:c r="B14" s="8" t="str">
        <x:v>required_debt_repayment</x:v>
      </x:c>
      <x:c r="C14" s="8" t="n">
        <x:v>400</x:v>
      </x:c>
    </x:row>
    <x:row r="15" ht="60" customHeight="1">
      <x:c r="A15" s="8" t="str">
        <x:v>Cash-first</x:v>
      </x:c>
      <x:c r="B15" s="8" t="str">
        <x:v>transaction_fees</x:v>
      </x:c>
      <x:c r="C15" s="8" t="n">
        <x:v>75</x:v>
      </x:c>
    </x:row>
    <x:row r="16" ht="60" customHeight="1">
      <x:c r="A16" s="8" t="str">
        <x:v>Cash-first</x:v>
      </x:c>
      <x:c r="B16" s="8" t="str">
        <x:v>financing_fees</x:v>
      </x:c>
      <x:c r="C16" s="8" t="n">
        <x:v>53.82724174264292</x:v>
      </x:c>
    </x:row>
    <x:row r="17" ht="60" customHeight="1">
      <x:c r="A17" s="8" t="str">
        <x:v>Cash-first</x:v>
      </x:c>
      <x:c r="B17" s="8" t="str">
        <x:v>cash_uses</x:v>
      </x:c>
      <x:c r="C17" s="8" t="n">
        <x:v>2944.038606003976</x:v>
      </x:c>
    </x:row>
    <x:row r="18" ht="60" customHeight="1">
      <x:c r="A18" s="8" t="str">
        <x:v>Cash-first</x:v>
      </x:c>
      <x:c r="B18" s="8" t="str">
        <x:v>cash_contribution</x:v>
      </x:c>
      <x:c r="C18" s="8" t="n">
        <x:v>252.67651887182978</x:v>
      </x:c>
    </x:row>
    <x:row r="19" ht="60" customHeight="1">
      <x:c r="A19" s="8" t="str">
        <x:v>Cash-first</x:v>
      </x:c>
      <x:c r="B19" s="8" t="str">
        <x:v>acquisition_borrowing</x:v>
      </x:c>
      <x:c r="C19" s="8" t="n">
        <x:v>2040.77744912817</x:v>
      </x:c>
    </x:row>
    <x:row r="20" ht="60" customHeight="1">
      <x:c r="A20" s="8" t="str">
        <x:v>Cash-first</x:v>
      </x:c>
      <x:c r="B20" s="8" t="str">
        <x:v>borrowing_for_refinancing_and_fees</x:v>
      </x:c>
      <x:c r="C20" s="8" t="n">
        <x:v>650.5846380039759</x:v>
      </x:c>
    </x:row>
    <x:row r="21" ht="60" customHeight="1">
      <x:c r="A21" s="8" t="str">
        <x:v>Cash-first</x:v>
      </x:c>
      <x:c r="B21" s="8" t="str">
        <x:v>total_new_borrowing</x:v>
      </x:c>
      <x:c r="C21" s="8" t="n">
        <x:v>2691.362087132146</x:v>
      </x:c>
    </x:row>
    <x:row r="22" ht="60" customHeight="1">
      <x:c r="A22" s="8" t="str">
        <x:v>Cash-first</x:v>
      </x:c>
      <x:c r="B22" s="8" t="str">
        <x:v>retained_debt</x:v>
      </x:c>
      <x:c r="C22" s="8" t="n">
        <x:v>1546.4</x:v>
      </x:c>
    </x:row>
    <x:row r="23" ht="60" customHeight="1">
      <x:c r="A23" s="8" t="str">
        <x:v>Cash-first</x:v>
      </x:c>
      <x:c r="B23" s="8" t="str">
        <x:v>opening_cash</x:v>
      </x:c>
      <x:c r="C23" s="8" t="n">
        <x:v>750</x:v>
      </x:c>
    </x:row>
    <x:row r="24" ht="60" customHeight="1">
      <x:c r="A24" s="8" t="str">
        <x:v>Cash-first</x:v>
      </x:c>
      <x:c r="B24" s="8" t="str">
        <x:v>unavailable_target_cash</x:v>
      </x:c>
      <x:c r="C24" s="8" t="n">
        <x:v>0</x:v>
      </x:c>
    </x:row>
    <x:row r="25" ht="60" customHeight="1">
      <x:c r="A25" s="8" t="str">
        <x:v>Cash-first</x:v>
      </x:c>
      <x:c r="B25" s="8" t="str">
        <x:v>opening_debt</x:v>
      </x:c>
      <x:c r="C25" s="8" t="n">
        <x:v>4237.762087132146</x:v>
      </x:c>
    </x:row>
    <x:row r="26" ht="60" customHeight="1">
      <x:c r="A26" s="8" t="str">
        <x:v>Cash-first</x:v>
      </x:c>
      <x:c r="B26" s="8" t="str">
        <x:v>analytical_equity</x:v>
      </x:c>
      <x:c r="C26" s="8" t="n">
        <x:v>0</x:v>
      </x:c>
    </x:row>
    <x:row r="27" ht="60" customHeight="1">
      <x:c r="A27" s="8" t="str">
        <x:v>Cash-first</x:v>
      </x:c>
      <x:c r="B27" s="8" t="str">
        <x:v>sources_uses_difference</x:v>
      </x:c>
      <x:c r="C27" s="8" t="n">
        <x:v>-4.547473508864641e-13</x:v>
      </x:c>
    </x:row>
    <x:row r="28" ht="60" customHeight="1">
      <x:c r="A28" s="8" t="str">
        <x:v>Cash-first</x:v>
      </x:c>
      <x:c r="B28" s="8" t="str">
        <x:v>unsupported_enterprise_value_reason</x:v>
      </x:c>
      <x:c r="C28" s="8" t="str">
        <x:v>Complete transaction EV reconciliation is outside the bounded common-share funding scope.</x:v>
      </x:c>
    </x:row>
    <x:row r="29" ht="60" customHeight="1">
      <x:c r="A29" s="8" t="str">
        <x:v>Liquidity-first</x:v>
      </x:c>
      <x:c r="B29" s="8" t="str">
        <x:v>fee_convention</x:v>
      </x:c>
      <x:c r="C29" s="8" t="str">
        <x:v>issued_debt</x:v>
      </x:c>
    </x:row>
    <x:row r="30" ht="60" customHeight="1">
      <x:c r="A30" s="8" t="str">
        <x:v>Liquidity-first</x:v>
      </x:c>
      <x:c r="B30" s="8" t="str">
        <x:v>equity_consideration</x:v>
      </x:c>
      <x:c r="C30" s="8" t="n">
        <x:v>2293.453968</x:v>
      </x:c>
    </x:row>
    <x:row r="31" ht="60" customHeight="1">
      <x:c r="A31" s="8" t="str">
        <x:v>Liquidity-first</x:v>
      </x:c>
      <x:c r="B31" s="8" t="str">
        <x:v>enterprise_value</x:v>
      </x:c>
      <x:c r="C31" s="8"/>
    </x:row>
    <x:row r="32" ht="60" customHeight="1">
      <x:c r="A32" s="8" t="str">
        <x:v>Liquidity-first</x:v>
      </x:c>
      <x:c r="B32" s="8" t="str">
        <x:v>equity_headline_difference</x:v>
      </x:c>
      <x:c r="C32" s="8"/>
    </x:row>
    <x:row r="33" ht="60" customHeight="1">
      <x:c r="A33" s="8" t="str">
        <x:v>Liquidity-first</x:v>
      </x:c>
      <x:c r="B33" s="8" t="str">
        <x:v>ev_headline_difference</x:v>
      </x:c>
      <x:c r="C33" s="8"/>
    </x:row>
    <x:row r="34" ht="60" customHeight="1">
      <x:c r="A34" s="8" t="str">
        <x:v>Liquidity-first</x:v>
      </x:c>
      <x:c r="B34" s="8" t="str">
        <x:v>cash_purchase</x:v>
      </x:c>
      <x:c r="C34" s="8" t="n">
        <x:v>2293.453968</x:v>
      </x:c>
    </x:row>
    <x:row r="35" ht="60" customHeight="1">
      <x:c r="A35" s="8" t="str">
        <x:v>Liquidity-first</x:v>
      </x:c>
      <x:c r="B35" s="8" t="str">
        <x:v>noncash_consideration</x:v>
      </x:c>
      <x:c r="C35" s="8" t="n">
        <x:v>0</x:v>
      </x:c>
    </x:row>
    <x:row r="36" ht="60" customHeight="1">
      <x:c r="A36" s="8" t="str">
        <x:v>Liquidity-first</x:v>
      </x:c>
      <x:c r="B36" s="8" t="str">
        <x:v>stock_issued</x:v>
      </x:c>
      <x:c r="C36" s="8" t="n">
        <x:v>0</x:v>
      </x:c>
    </x:row>
    <x:row r="37" ht="60" customHeight="1">
      <x:c r="A37" s="8" t="str">
        <x:v>Liquidity-first</x:v>
      </x:c>
      <x:c r="B37" s="8" t="str">
        <x:v>ownership_dilution</x:v>
      </x:c>
      <x:c r="C37" s="8" t="n">
        <x:v>0</x:v>
      </x:c>
    </x:row>
    <x:row r="38" ht="60" customHeight="1">
      <x:c r="A38" s="8" t="str">
        <x:v>Liquidity-first</x:v>
      </x:c>
      <x:c r="B38" s="8" t="str">
        <x:v>required_debt_repayment</x:v>
      </x:c>
      <x:c r="C38" s="8" t="n">
        <x:v>400</x:v>
      </x:c>
    </x:row>
    <x:row r="39" ht="60" customHeight="1">
      <x:c r="A39" s="8" t="str">
        <x:v>Liquidity-first</x:v>
      </x:c>
      <x:c r="B39" s="8" t="str">
        <x:v>transaction_fees</x:v>
      </x:c>
      <x:c r="C39" s="8" t="n">
        <x:v>75</x:v>
      </x:c>
    </x:row>
    <x:row r="40" ht="60" customHeight="1">
      <x:c r="A40" s="8" t="str">
        <x:v>Liquidity-first</x:v>
      </x:c>
      <x:c r="B40" s="8" t="str">
        <x:v>financing_fees</x:v>
      </x:c>
      <x:c r="C40" s="8" t="n">
        <x:v>58.983905393088435</x:v>
      </x:c>
    </x:row>
    <x:row r="41" ht="60" customHeight="1">
      <x:c r="A41" s="8" t="str">
        <x:v>Liquidity-first</x:v>
      </x:c>
      <x:c r="B41" s="8" t="str">
        <x:v>cash_uses</x:v>
      </x:c>
      <x:c r="C41" s="8" t="n">
        <x:v>2949.1952696544213</x:v>
      </x:c>
    </x:row>
    <x:row r="42" ht="60" customHeight="1">
      <x:c r="A42" s="8" t="str">
        <x:v>Liquidity-first</x:v>
      </x:c>
      <x:c r="B42" s="8" t="str">
        <x:v>cash_contribution</x:v>
      </x:c>
      <x:c r="C42" s="8" t="n">
        <x:v>0</x:v>
      </x:c>
    </x:row>
    <x:row r="43" ht="60" customHeight="1">
      <x:c r="A43" s="8" t="str">
        <x:v>Liquidity-first</x:v>
      </x:c>
      <x:c r="B43" s="8" t="str">
        <x:v>acquisition_borrowing</x:v>
      </x:c>
      <x:c r="C43" s="8" t="n">
        <x:v>2293.453968</x:v>
      </x:c>
    </x:row>
    <x:row r="44" ht="60" customHeight="1">
      <x:c r="A44" s="8" t="str">
        <x:v>Liquidity-first</x:v>
      </x:c>
      <x:c r="B44" s="8" t="str">
        <x:v>borrowing_for_refinancing_and_fees</x:v>
      </x:c>
      <x:c r="C44" s="8" t="n">
        <x:v>655.7413016544219</x:v>
      </x:c>
    </x:row>
    <x:row r="45" ht="60" customHeight="1">
      <x:c r="A45" s="8" t="str">
        <x:v>Liquidity-first</x:v>
      </x:c>
      <x:c r="B45" s="8" t="str">
        <x:v>total_new_borrowing</x:v>
      </x:c>
      <x:c r="C45" s="8" t="n">
        <x:v>2949.1952696544217</x:v>
      </x:c>
    </x:row>
    <x:row r="46" ht="60" customHeight="1">
      <x:c r="A46" s="8" t="str">
        <x:v>Liquidity-first</x:v>
      </x:c>
      <x:c r="B46" s="8" t="str">
        <x:v>retained_debt</x:v>
      </x:c>
      <x:c r="C46" s="8" t="n">
        <x:v>1546.4</x:v>
      </x:c>
    </x:row>
    <x:row r="47" ht="60" customHeight="1">
      <x:c r="A47" s="8" t="str">
        <x:v>Liquidity-first</x:v>
      </x:c>
      <x:c r="B47" s="8" t="str">
        <x:v>opening_cash</x:v>
      </x:c>
      <x:c r="C47" s="8" t="n">
        <x:v>1002.6765188718298</x:v>
      </x:c>
    </x:row>
    <x:row r="48" ht="60" customHeight="1">
      <x:c r="A48" s="8" t="str">
        <x:v>Liquidity-first</x:v>
      </x:c>
      <x:c r="B48" s="8" t="str">
        <x:v>unavailable_target_cash</x:v>
      </x:c>
      <x:c r="C48" s="8" t="n">
        <x:v>0</x:v>
      </x:c>
    </x:row>
    <x:row r="49" ht="60" customHeight="1">
      <x:c r="A49" s="8" t="str">
        <x:v>Liquidity-first</x:v>
      </x:c>
      <x:c r="B49" s="8" t="str">
        <x:v>opening_debt</x:v>
      </x:c>
      <x:c r="C49" s="8" t="n">
        <x:v>4495.595269654422</x:v>
      </x:c>
    </x:row>
    <x:row r="50" ht="60" customHeight="1">
      <x:c r="A50" s="8" t="str">
        <x:v>Liquidity-first</x:v>
      </x:c>
      <x:c r="B50" s="8" t="str">
        <x:v>analytical_equity</x:v>
      </x:c>
      <x:c r="C50" s="8" t="n">
        <x:v>0</x:v>
      </x:c>
    </x:row>
    <x:row r="51" ht="60" customHeight="1">
      <x:c r="A51" s="8" t="str">
        <x:v>Liquidity-first</x:v>
      </x:c>
      <x:c r="B51" s="8" t="str">
        <x:v>sources_uses_difference</x:v>
      </x:c>
      <x:c r="C51" s="8" t="n">
        <x:v>4.547473508864641e-13</x:v>
      </x:c>
    </x:row>
    <x:row r="52" ht="60" customHeight="1">
      <x:c r="A52" s="8" t="str">
        <x:v>Liquidity-first</x:v>
      </x:c>
      <x:c r="B52" s="8" t="str">
        <x:v>unsupported_enterprise_value_reason</x:v>
      </x:c>
      <x:c r="C52" s="8" t="str">
        <x:v>Complete transaction EV reconciliation is outside the bounded common-share funding scope.</x:v>
      </x:c>
    </x:row>
    <x:row r="53" ht="60" customHeight="1">
      <x:c r="A53" s="8" t="str">
        <x:v>Mixed consideration</x:v>
      </x:c>
      <x:c r="B53" s="8" t="str">
        <x:v>fee_convention</x:v>
      </x:c>
      <x:c r="C53" s="8" t="str">
        <x:v>issued_debt</x:v>
      </x:c>
    </x:row>
    <x:row r="54" ht="60" customHeight="1">
      <x:c r="A54" s="8" t="str">
        <x:v>Mixed consideration</x:v>
      </x:c>
      <x:c r="B54" s="8" t="str">
        <x:v>equity_consideration</x:v>
      </x:c>
      <x:c r="C54" s="8" t="n">
        <x:v>2293.453968</x:v>
      </x:c>
    </x:row>
    <x:row r="55" ht="60" customHeight="1">
      <x:c r="A55" s="8" t="str">
        <x:v>Mixed consideration</x:v>
      </x:c>
      <x:c r="B55" s="8" t="str">
        <x:v>enterprise_value</x:v>
      </x:c>
      <x:c r="C55" s="8"/>
    </x:row>
    <x:row r="56" ht="60" customHeight="1">
      <x:c r="A56" s="8" t="str">
        <x:v>Mixed consideration</x:v>
      </x:c>
      <x:c r="B56" s="8" t="str">
        <x:v>equity_headline_difference</x:v>
      </x:c>
      <x:c r="C56" s="8"/>
    </x:row>
    <x:row r="57" ht="60" customHeight="1">
      <x:c r="A57" s="8" t="str">
        <x:v>Mixed consideration</x:v>
      </x:c>
      <x:c r="B57" s="8" t="str">
        <x:v>ev_headline_difference</x:v>
      </x:c>
      <x:c r="C57" s="8"/>
    </x:row>
    <x:row r="58" ht="60" customHeight="1">
      <x:c r="A58" s="8" t="str">
        <x:v>Mixed consideration</x:v>
      </x:c>
      <x:c r="B58" s="8" t="str">
        <x:v>cash_purchase</x:v>
      </x:c>
      <x:c r="C58" s="8" t="n">
        <x:v>1146.726984</x:v>
      </x:c>
    </x:row>
    <x:row r="59" ht="60" customHeight="1">
      <x:c r="A59" s="8" t="str">
        <x:v>Mixed consideration</x:v>
      </x:c>
      <x:c r="B59" s="8" t="str">
        <x:v>noncash_consideration</x:v>
      </x:c>
      <x:c r="C59" s="8" t="n">
        <x:v>1116.14759776</x:v>
      </x:c>
    </x:row>
    <x:row r="60" ht="60" customHeight="1">
      <x:c r="A60" s="8" t="str">
        <x:v>Mixed consideration</x:v>
      </x:c>
      <x:c r="B60" s="8" t="str">
        <x:v>stock_issued</x:v>
      </x:c>
      <x:c r="C60" s="8" t="n">
        <x:v>5.5807379888</x:v>
      </x:c>
    </x:row>
    <x:row r="61" ht="60" customHeight="1">
      <x:c r="A61" s="8" t="str">
        <x:v>Mixed consideration</x:v>
      </x:c>
      <x:c r="B61" s="8" t="str">
        <x:v>ownership_dilution</x:v>
      </x:c>
      <x:c r="C61" s="8" t="n">
        <x:v>0.06517517078138706</x:v>
      </x:c>
    </x:row>
    <x:row r="62" ht="60" customHeight="1">
      <x:c r="A62" s="8" t="str">
        <x:v>Mixed consideration</x:v>
      </x:c>
      <x:c r="B62" s="8" t="str">
        <x:v>required_debt_repayment</x:v>
      </x:c>
      <x:c r="C62" s="8" t="n">
        <x:v>400</x:v>
      </x:c>
    </x:row>
    <x:row r="63" ht="60" customHeight="1">
      <x:c r="A63" s="8" t="str">
        <x:v>Mixed consideration</x:v>
      </x:c>
      <x:c r="B63" s="8" t="str">
        <x:v>transaction_fees</x:v>
      </x:c>
      <x:c r="C63" s="8" t="n">
        <x:v>75</x:v>
      </x:c>
    </x:row>
    <x:row r="64" ht="60" customHeight="1">
      <x:c r="A64" s="8" t="str">
        <x:v>Mixed consideration</x:v>
      </x:c>
      <x:c r="B64" s="8" t="str">
        <x:v>financing_fees</x:v>
      </x:c>
      <x:c r="C64" s="8" t="n">
        <x:v>30.424650232438843</x:v>
      </x:c>
    </x:row>
    <x:row r="65" ht="60" customHeight="1">
      <x:c r="A65" s="8" t="str">
        <x:v>Mixed consideration</x:v>
      </x:c>
      <x:c r="B65" s="8" t="str">
        <x:v>cash_uses</x:v>
      </x:c>
      <x:c r="C65" s="8" t="n">
        <x:v>1773.909030493772</x:v>
      </x:c>
    </x:row>
    <x:row r="66" ht="60" customHeight="1">
      <x:c r="A66" s="8" t="str">
        <x:v>Mixed consideration</x:v>
      </x:c>
      <x:c r="B66" s="8" t="str">
        <x:v>cash_contribution</x:v>
      </x:c>
      <x:c r="C66" s="8" t="n">
        <x:v>252.67651887182978</x:v>
      </x:c>
    </x:row>
    <x:row r="67" ht="60" customHeight="1">
      <x:c r="A67" s="8" t="str">
        <x:v>Mixed consideration</x:v>
      </x:c>
      <x:c r="B67" s="8" t="str">
        <x:v>acquisition_borrowing</x:v>
      </x:c>
      <x:c r="C67" s="8" t="n">
        <x:v>894.0504651281701</x:v>
      </x:c>
    </x:row>
    <x:row r="68" ht="60" customHeight="1">
      <x:c r="A68" s="8" t="str">
        <x:v>Mixed consideration</x:v>
      </x:c>
      <x:c r="B68" s="8" t="str">
        <x:v>borrowing_for_refinancing_and_fees</x:v>
      </x:c>
      <x:c r="C68" s="8" t="n">
        <x:v>627.1820464937721</x:v>
      </x:c>
    </x:row>
    <x:row r="69" ht="60" customHeight="1">
      <x:c r="A69" s="8" t="str">
        <x:v>Mixed consideration</x:v>
      </x:c>
      <x:c r="B69" s="8" t="str">
        <x:v>total_new_borrowing</x:v>
      </x:c>
      <x:c r="C69" s="8" t="n">
        <x:v>1521.2325116219422</x:v>
      </x:c>
    </x:row>
    <x:row r="70" ht="60" customHeight="1">
      <x:c r="A70" s="8" t="str">
        <x:v>Mixed consideration</x:v>
      </x:c>
      <x:c r="B70" s="8" t="str">
        <x:v>retained_debt</x:v>
      </x:c>
      <x:c r="C70" s="8" t="n">
        <x:v>1546.4</x:v>
      </x:c>
    </x:row>
    <x:row r="71" ht="60" customHeight="1">
      <x:c r="A71" s="8" t="str">
        <x:v>Mixed consideration</x:v>
      </x:c>
      <x:c r="B71" s="8" t="str">
        <x:v>opening_cash</x:v>
      </x:c>
      <x:c r="C71" s="8" t="n">
        <x:v>750</x:v>
      </x:c>
    </x:row>
    <x:row r="72" ht="60" customHeight="1">
      <x:c r="A72" s="8" t="str">
        <x:v>Mixed consideration</x:v>
      </x:c>
      <x:c r="B72" s="8" t="str">
        <x:v>unavailable_target_cash</x:v>
      </x:c>
      <x:c r="C72" s="8" t="n">
        <x:v>0</x:v>
      </x:c>
    </x:row>
    <x:row r="73" ht="60" customHeight="1">
      <x:c r="A73" s="8" t="str">
        <x:v>Mixed consideration</x:v>
      </x:c>
      <x:c r="B73" s="8" t="str">
        <x:v>opening_debt</x:v>
      </x:c>
      <x:c r="C73" s="8" t="n">
        <x:v>3067.6325116219423</x:v>
      </x:c>
    </x:row>
    <x:row r="74" ht="60" customHeight="1">
      <x:c r="A74" s="8" t="str">
        <x:v>Mixed consideration</x:v>
      </x:c>
      <x:c r="B74" s="8" t="str">
        <x:v>analytical_equity</x:v>
      </x:c>
      <x:c r="C74" s="8" t="n">
        <x:v>0</x:v>
      </x:c>
    </x:row>
    <x:row r="75" ht="60" customHeight="1">
      <x:c r="A75" s="8" t="str">
        <x:v>Mixed consideration</x:v>
      </x:c>
      <x:c r="B75" s="8" t="str">
        <x:v>sources_uses_difference</x:v>
      </x:c>
      <x:c r="C75" s="8" t="n">
        <x:v>0</x:v>
      </x:c>
    </x:row>
    <x:row r="76" ht="60" customHeight="1">
      <x:c r="A76" s="8" t="str">
        <x:v>Mixed consideration</x:v>
      </x:c>
      <x:c r="B76" s="8" t="str">
        <x:v>unsupported_enterprise_value_reason</x:v>
      </x:c>
      <x:c r="C76" s="8" t="str">
        <x:v>Complete transaction EV reconciliation is outside the bounded common-share funding scope.</x:v>
      </x:c>
    </x:row>
    <x:row r="77" ht="60" customHeight="1">
      <x:c r="A77" s="8" t="str">
        <x:v>All structures</x:v>
      </x:c>
      <x:c r="B77" s="8" t="str">
        <x:v>known_award_cash_lower</x:v>
      </x:c>
      <x:c r="C77" s="8" t="n">
        <x:v>4.264334928</x:v>
      </x:c>
    </x:row>
    <x:row r="78" ht="60" customHeight="1">
      <x:c r="A78" s="8" t="str">
        <x:v>All structures</x:v>
      </x:c>
      <x:c r="B78" s="8" t="str">
        <x:v>known_award_cash_upper</x:v>
      </x:c>
      <x:c r="C78" s="8" t="n">
        <x:v>109.07406292799999</x:v>
      </x:c>
    </x:row>
    <x:row r="79" ht="60" customHeight="1">
      <x:c r="A79" s="8" t="str">
        <x:v>All structures</x:v>
      </x:c>
      <x:c r="B79" s="8" t="str">
        <x:v>projected_award_cash_reserve</x:v>
      </x:c>
      <x:c r="C79" s="8" t="n">
        <x:v>109.07406292799999</x:v>
      </x:c>
    </x:row>
    <x:row r="80" ht="60" customHeight="1">
      <x:c r="A80" s="8" t="str">
        <x:v>All structures</x:v>
      </x:c>
      <x:c r="B80" s="8" t="str">
        <x:v>fl_note_principal</x:v>
      </x:c>
      <x:c r="C80" s="8" t="n">
        <x:v>400</x:v>
      </x:c>
    </x:row>
    <x:row r="81" ht="60" customHeight="1">
      <x:c r="A81" s="8" t="str">
        <x:v>All structures</x:v>
      </x:c>
      <x:c r="B81" s="8" t="str">
        <x:v>fl_note_premium</x:v>
      </x:c>
      <x:c r="C81" s="8" t="n">
        <x:v>4.0000000000000036</x:v>
      </x:c>
    </x:row>
    <x:row r="82" ht="60" customHeight="1">
      <x:c r="A82" s="8" t="str">
        <x:v>All structures</x:v>
      </x:c>
      <x:c r="B82" s="8" t="str">
        <x:v>fl_note_accrued_interest</x:v>
      </x:c>
      <x:c r="C82" s="8" t="n">
        <x:v>1.3333333333333333</x:v>
      </x:c>
    </x:row>
    <x:row r="83" ht="60" customHeight="1">
      <x:c r="A83" s="8" t="str">
        <x:v>All structures</x:v>
      </x:c>
      <x:c r="B83" s="8" t="str">
        <x:v>lc_cash_collateral_reserve</x:v>
      </x:c>
      <x:c r="C83" s="8" t="n">
        <x:v>7.3500000000000005</x:v>
      </x:c>
    </x:row>
    <x:row r="84" ht="60" customHeight="1">
      <x:c r="A84" s="8" t="str">
        <x:v>All structures</x:v>
      </x:c>
      <x:c r="B84" s="8" t="str">
        <x:v>transaction_fees</x:v>
      </x:c>
      <x:c r="C84" s="8" t="n">
        <x:v>75</x:v>
      </x:c>
    </x:row>
    <x:row r="85" ht="60" customHeight="1">
      <x:c r="A85" s="8" t="str">
        <x:v>All structures</x:v>
      </x:c>
      <x:c r="B85" s="8" t="str">
        <x:v>other_liability_reserve</x:v>
      </x:c>
      <x:c r="C85" s="8" t="n">
        <x:v>0</x:v>
      </x:c>
    </x:row>
    <x:row r="86" ht="60" customHeight="1">
      <x:c r="A86" s="8" t="str">
        <x:v>All structures</x:v>
      </x:c>
      <x:c r="B86" s="8" t="str">
        <x:v>purchase_commitment_reserve</x:v>
      </x:c>
      <x:c r="C86" s="8" t="n">
        <x:v>0</x:v>
      </x:c>
    </x:row>
    <x:row r="87" ht="60" customHeight="1">
      <x:c r="A87" s="8" t="str">
        <x:v>All structures</x:v>
      </x:c>
      <x:c r="B87" s="8" t="str">
        <x:v>projected_abl_payoff</x:v>
      </x:c>
      <x:c r="C87" s="8" t="n">
        <x:v>0</x:v>
      </x:c>
    </x:row>
    <x:row r="88" ht="60" customHeight="1">
      <x:c r="A88" s="8" t="str">
        <x:v>All structures</x:v>
      </x:c>
      <x:c r="B88" s="8" t="str">
        <x:v>projected_preclose_cash_deficit_funding</x:v>
      </x:c>
      <x:c r="C88" s="8" t="n">
        <x:v>0</x:v>
      </x:c>
    </x:row>
    <x:row r="89" ht="60" customHeight="1">
      <x:c r="A89" s="8" t="str">
        <x:v>All structures</x:v>
      </x:c>
      <x:c r="B89" s="8" t="str">
        <x:v>total_fixed_closing_uses</x:v>
      </x:c>
      <x:c r="C89" s="8" t="n">
        <x:v>196.75739626133333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2" ht="42" customHeight="1">
      <x:c r="A2" s="5" t="str">
        <x:v>PUBLIC INFORMATION | Public operations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</x:row>
    <x:row r="3" ht="42" customHeight="1">
      <x:c r="A3" s="4" t="str">
        <x:v>Conditional model snapshots; strict recommendation remains blocked. USD millions unless stated.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42" customHeight="1">
      <x:c r="A4" s="7" t="str">
        <x:v>Structure</x:v>
      </x:c>
      <x:c r="B4" s="7" t="str">
        <x:v>Company</x:v>
      </x:c>
      <x:c r="C4" s="7" t="str">
        <x:v>Year</x:v>
      </x:c>
      <x:c r="D4" s="7" t="str">
        <x:v>Revenue</x:v>
      </x:c>
      <x:c r="E4" s="7" t="str">
        <x:v>Model variable costs</x:v>
      </x:c>
      <x:c r="F4" s="7" t="str">
        <x:v>Other variable costs</x:v>
      </x:c>
      <x:c r="G4" s="7" t="str">
        <x:v>Fixed cost</x:v>
      </x:c>
      <x:c r="H4" s="7" t="str">
        <x:v>Rent</x:v>
      </x:c>
      <x:c r="I4" s="7" t="str">
        <x:v>EBITDA</x:v>
      </x:c>
      <x:c r="J4" s="7" t="str">
        <x:v>D&amp;A</x:v>
      </x:c>
      <x:c r="K4" s="7" t="str">
        <x:v>EBIT</x:v>
      </x:c>
      <x:c r="L4" s="7" t="str">
        <x:v>Capex</x:v>
      </x:c>
      <x:c r="M4" s="7" t="str">
        <x:v>Inventory</x:v>
      </x:c>
      <x:c r="N4" s="7" t="str">
        <x:v>Receivables</x:v>
      </x:c>
      <x:c r="O4" s="7" t="str">
        <x:v>Payables</x:v>
      </x:c>
      <x:c r="P4" s="7" t="str">
        <x:v>NWC</x:v>
      </x:c>
    </x:row>
    <x:row r="5" ht="60" customHeight="1">
      <x:c r="A5" s="8" t="str">
        <x:v>Cash-first</x:v>
      </x:c>
      <x:c r="B5" s="8" t="str">
        <x:v>DICK'S Sporting Goods</x:v>
      </x:c>
      <x:c r="C5" s="23" t="n">
        <x:v>1</x:v>
      </x:c>
      <x:c r="D5" s="8" t="n">
        <x:v>13711.70598</x:v>
      </x:c>
      <x:c r="E5" s="8" t="n">
        <x:v>8801.039808</x:v>
      </x:c>
      <x:c r="F5" s="8" t="n">
        <x:v>0</x:v>
      </x:c>
      <x:c r="G5" s="8" t="n">
        <x:v>2200.259952</x:v>
      </x:c>
      <x:c r="H5" s="8" t="n">
        <x:v>798.5784000000001</x:v>
      </x:c>
      <x:c r="I5" s="8" t="n">
        <x:v>1911.827820000001</x:v>
      </x:c>
      <x:c r="J5" s="8" t="n">
        <x:v>408.41718</x:v>
      </x:c>
      <x:c r="K5" s="8" t="n">
        <x:v>1503.4106400000012</x:v>
      </x:c>
      <x:c r="L5" s="8" t="n">
        <x:v>1224</x:v>
      </x:c>
      <x:c r="M5" s="8" t="n">
        <x:v>3416.8265999999994</x:v>
      </x:c>
      <x:c r="N5" s="8" t="n">
        <x:v>218.535</x:v>
      </x:c>
      <x:c r="O5" s="8" t="n">
        <x:v>1527.69786</x:v>
      </x:c>
      <x:c r="P5" s="8" t="n">
        <x:v>2107.663739999999</x:v>
      </x:c>
    </x:row>
    <x:row r="6" ht="60" customHeight="1">
      <x:c r="A6" s="8" t="str">
        <x:v>Cash-first</x:v>
      </x:c>
      <x:c r="B6" s="8" t="str">
        <x:v>DICK'S Sporting Goods</x:v>
      </x:c>
      <x:c r="C6" s="23" t="n">
        <x:v>2</x:v>
      </x:c>
      <x:c r="D6" s="8" t="n">
        <x:v>13985.9400996</x:v>
      </x:c>
      <x:c r="E6" s="8" t="n">
        <x:v>8977.06060416</x:v>
      </x:c>
      <x:c r="F6" s="8" t="n">
        <x:v>0</x:v>
      </x:c>
      <x:c r="G6" s="8" t="n">
        <x:v>2244.26515104</x:v>
      </x:c>
      <x:c r="H6" s="8" t="n">
        <x:v>814.549968</x:v>
      </x:c>
      <x:c r="I6" s="8" t="n">
        <x:v>1950.0643764</x:v>
      </x:c>
      <x:c r="J6" s="8" t="n">
        <x:v>416.5855236</x:v>
      </x:c>
      <x:c r="K6" s="8" t="n">
        <x:v>1533.4788528</x:v>
      </x:c>
      <x:c r="L6" s="8" t="n">
        <x:v>1248.48</x:v>
      </x:c>
      <x:c r="M6" s="8" t="n">
        <x:v>3485.163132</x:v>
      </x:c>
      <x:c r="N6" s="8" t="n">
        <x:v>222.9057</x:v>
      </x:c>
      <x:c r="O6" s="8" t="n">
        <x:v>1558.2518172</x:v>
      </x:c>
      <x:c r="P6" s="8" t="n">
        <x:v>2149.8170148</x:v>
      </x:c>
    </x:row>
    <x:row r="7" ht="60" customHeight="1">
      <x:c r="A7" s="8" t="str">
        <x:v>Cash-first</x:v>
      </x:c>
      <x:c r="B7" s="8" t="str">
        <x:v>DICK'S Sporting Goods</x:v>
      </x:c>
      <x:c r="C7" s="23" t="n">
        <x:v>3</x:v>
      </x:c>
      <x:c r="D7" s="8" t="n">
        <x:v>14265.658901592</x:v>
      </x:c>
      <x:c r="E7" s="8" t="n">
        <x:v>9156.6018162432</x:v>
      </x:c>
      <x:c r="F7" s="8" t="n">
        <x:v>0</x:v>
      </x:c>
      <x:c r="G7" s="8" t="n">
        <x:v>2289.1504540608003</x:v>
      </x:c>
      <x:c r="H7" s="8" t="n">
        <x:v>830.8409673600001</x:v>
      </x:c>
      <x:c r="I7" s="8" t="n">
        <x:v>1989.0656639280003</x:v>
      </x:c>
      <x:c r="J7" s="8" t="n">
        <x:v>424.917234072</x:v>
      </x:c>
      <x:c r="K7" s="8" t="n">
        <x:v>1564.1484298560003</x:v>
      </x:c>
      <x:c r="L7" s="8" t="n">
        <x:v>1273.4496</x:v>
      </x:c>
      <x:c r="M7" s="8" t="n">
        <x:v>3554.8663946399993</x:v>
      </x:c>
      <x:c r="N7" s="8" t="n">
        <x:v>227.36381399999993</x:v>
      </x:c>
      <x:c r="O7" s="8" t="n">
        <x:v>1589.4168535439999</x:v>
      </x:c>
      <x:c r="P7" s="8" t="n">
        <x:v>2192.813355095999</x:v>
      </x:c>
    </x:row>
    <x:row r="8" ht="60" customHeight="1">
      <x:c r="A8" s="8" t="str">
        <x:v>Cash-first</x:v>
      </x:c>
      <x:c r="B8" s="8" t="str">
        <x:v>DICK'S Sporting Goods</x:v>
      </x:c>
      <x:c r="C8" s="23" t="n">
        <x:v>4</x:v>
      </x:c>
      <x:c r="D8" s="8" t="n">
        <x:v>14550.97207962384</x:v>
      </x:c>
      <x:c r="E8" s="8" t="n">
        <x:v>9339.733852568064</x:v>
      </x:c>
      <x:c r="F8" s="8" t="n">
        <x:v>0</x:v>
      </x:c>
      <x:c r="G8" s="8" t="n">
        <x:v>2334.933463142016</x:v>
      </x:c>
      <x:c r="H8" s="8" t="n">
        <x:v>847.4577867072001</x:v>
      </x:c>
      <x:c r="I8" s="8" t="n">
        <x:v>2028.8469772065594</x:v>
      </x:c>
      <x:c r="J8" s="8" t="n">
        <x:v>433.41557875343995</x:v>
      </x:c>
      <x:c r="K8" s="8" t="n">
        <x:v>1595.4313984531195</x:v>
      </x:c>
      <x:c r="L8" s="8" t="n">
        <x:v>1298.918592</x:v>
      </x:c>
      <x:c r="M8" s="8" t="n">
        <x:v>3625.9637225327992</x:v>
      </x:c>
      <x:c r="N8" s="8" t="n">
        <x:v>231.91109027999994</x:v>
      </x:c>
      <x:c r="O8" s="8" t="n">
        <x:v>1621.2051906148797</x:v>
      </x:c>
      <x:c r="P8" s="8" t="n">
        <x:v>2236.669622197919</x:v>
      </x:c>
    </x:row>
    <x:row r="9" ht="60" customHeight="1">
      <x:c r="A9" s="8" t="str">
        <x:v>Cash-first</x:v>
      </x:c>
      <x:c r="B9" s="8" t="str">
        <x:v>DICK'S Sporting Goods</x:v>
      </x:c>
      <x:c r="C9" s="23" t="n">
        <x:v>5</x:v>
      </x:c>
      <x:c r="D9" s="8" t="n">
        <x:v>14841.991521216318</x:v>
      </x:c>
      <x:c r="E9" s="8" t="n">
        <x:v>9526.528529619425</x:v>
      </x:c>
      <x:c r="F9" s="8" t="n">
        <x:v>0</x:v>
      </x:c>
      <x:c r="G9" s="8" t="n">
        <x:v>2381.6321324048563</x:v>
      </x:c>
      <x:c r="H9" s="8" t="n">
        <x:v>864.4069424413441</x:v>
      </x:c>
      <x:c r="I9" s="8" t="n">
        <x:v>2069.423916750692</x:v>
      </x:c>
      <x:c r="J9" s="8" t="n">
        <x:v>442.0838903285088</x:v>
      </x:c>
      <x:c r="K9" s="8" t="n">
        <x:v>1627.3400264221832</x:v>
      </x:c>
      <x:c r="L9" s="8" t="n">
        <x:v>1324.89696384</x:v>
      </x:c>
      <x:c r="M9" s="8" t="n">
        <x:v>3698.4829969834555</x:v>
      </x:c>
      <x:c r="N9" s="8" t="n">
        <x:v>236.54931208559998</x:v>
      </x:c>
      <x:c r="O9" s="8" t="n">
        <x:v>1653.6292944271775</x:v>
      </x:c>
      <x:c r="P9" s="8" t="n">
        <x:v>2281.403014641878</x:v>
      </x:c>
    </x:row>
    <x:row r="10" ht="60" customHeight="1">
      <x:c r="A10" s="8" t="str">
        <x:v>Cash-first</x:v>
      </x:c>
      <x:c r="B10" s="8" t="str">
        <x:v>Foot Locker</x:v>
      </x:c>
      <x:c r="C10" s="23" t="n">
        <x:v>1</x:v>
      </x:c>
      <x:c r="D10" s="8" t="n">
        <x:v>7588.599999999999</x:v>
      </x:c>
      <x:c r="E10" s="8" t="n">
        <x:v>5131.5199999999995</x:v>
      </x:c>
      <x:c r="F10" s="8" t="n">
        <x:v>0</x:v>
      </x:c>
      <x:c r="G10" s="8" t="n">
        <x:v>1377.4079999999997</x:v>
      </x:c>
      <x:c r="H10" s="8" t="n">
        <x:v>949.62</x:v>
      </x:c>
      <x:c r="I10" s="8" t="n">
        <x:v>130.05200000000025</x:v>
      </x:c>
      <x:c r="J10" s="8" t="n">
        <x:v>191.89999999999998</x:v>
      </x:c>
      <x:c r="K10" s="8" t="n">
        <x:v>-61.84799999999973</x:v>
      </x:c>
      <x:c r="L10" s="8" t="n">
        <x:v>285</x:v>
      </x:c>
      <x:c r="M10" s="8" t="n">
        <x:v>1448.7500000000002</x:v>
      </x:c>
      <x:c r="N10" s="8" t="n">
        <x:v>148.2</x:v>
      </x:c>
      <x:c r="O10" s="8" t="n">
        <x:v>359.1</x:v>
      </x:c>
      <x:c r="P10" s="8" t="n">
        <x:v>1237.8500000000004</x:v>
      </x:c>
    </x:row>
    <x:row r="11" ht="60" customHeight="1">
      <x:c r="A11" s="8" t="str">
        <x:v>Cash-first</x:v>
      </x:c>
      <x:c r="B11" s="8" t="str">
        <x:v>Foot Locker</x:v>
      </x:c>
      <x:c r="C11" s="23" t="n">
        <x:v>2</x:v>
      </x:c>
      <x:c r="D11" s="8" t="n">
        <x:v>7588.599999999999</x:v>
      </x:c>
      <x:c r="E11" s="8" t="n">
        <x:v>5131.5199999999995</x:v>
      </x:c>
      <x:c r="F11" s="8" t="n">
        <x:v>0</x:v>
      </x:c>
      <x:c r="G11" s="8" t="n">
        <x:v>1404.9561599999995</x:v>
      </x:c>
      <x:c r="H11" s="8" t="n">
        <x:v>968.6124</x:v>
      </x:c>
      <x:c r="I11" s="8" t="n">
        <x:v>83.51144000000045</x:v>
      </x:c>
      <x:c r="J11" s="8" t="n">
        <x:v>191.89999999999998</x:v>
      </x:c>
      <x:c r="K11" s="8" t="n">
        <x:v>-108.38855999999953</x:v>
      </x:c>
      <x:c r="L11" s="8" t="n">
        <x:v>285</x:v>
      </x:c>
      <x:c r="M11" s="8" t="n">
        <x:v>1448.7500000000002</x:v>
      </x:c>
      <x:c r="N11" s="8" t="n">
        <x:v>148.2</x:v>
      </x:c>
      <x:c r="O11" s="8" t="n">
        <x:v>359.1</x:v>
      </x:c>
      <x:c r="P11" s="8" t="n">
        <x:v>1237.8500000000004</x:v>
      </x:c>
    </x:row>
    <x:row r="12" ht="60" customHeight="1">
      <x:c r="A12" s="8" t="str">
        <x:v>Cash-first</x:v>
      </x:c>
      <x:c r="B12" s="8" t="str">
        <x:v>Foot Locker</x:v>
      </x:c>
      <x:c r="C12" s="23" t="n">
        <x:v>3</x:v>
      </x:c>
      <x:c r="D12" s="8" t="n">
        <x:v>7740.371999999999</x:v>
      </x:c>
      <x:c r="E12" s="8" t="n">
        <x:v>5234.1503999999995</x:v>
      </x:c>
      <x:c r="F12" s="8" t="n">
        <x:v>0</x:v>
      </x:c>
      <x:c r="G12" s="8" t="n">
        <x:v>1433.0552831999998</x:v>
      </x:c>
      <x:c r="H12" s="8" t="n">
        <x:v>987.9846480000001</x:v>
      </x:c>
      <x:c r="I12" s="8" t="n">
        <x:v>85.1816687999999</x:v>
      </x:c>
      <x:c r="J12" s="8" t="n">
        <x:v>195.73799999999997</x:v>
      </x:c>
      <x:c r="K12" s="8" t="n">
        <x:v>-110.55633120000007</x:v>
      </x:c>
      <x:c r="L12" s="8" t="n">
        <x:v>290.7</x:v>
      </x:c>
      <x:c r="M12" s="8" t="n">
        <x:v>1477.725</x:v>
      </x:c>
      <x:c r="N12" s="8" t="n">
        <x:v>151.164</x:v>
      </x:c>
      <x:c r="O12" s="8" t="n">
        <x:v>366.282</x:v>
      </x:c>
      <x:c r="P12" s="8" t="n">
        <x:v>1262.607</x:v>
      </x:c>
    </x:row>
    <x:row r="13" ht="60" customHeight="1">
      <x:c r="A13" s="8" t="str">
        <x:v>Cash-first</x:v>
      </x:c>
      <x:c r="B13" s="8" t="str">
        <x:v>Foot Locker</x:v>
      </x:c>
      <x:c r="C13" s="23" t="n">
        <x:v>4</x:v>
      </x:c>
      <x:c r="D13" s="8" t="n">
        <x:v>7895.17944</x:v>
      </x:c>
      <x:c r="E13" s="8" t="n">
        <x:v>5338.833408</x:v>
      </x:c>
      <x:c r="F13" s="8" t="n">
        <x:v>0</x:v>
      </x:c>
      <x:c r="G13" s="8" t="n">
        <x:v>1461.7163888639996</x:v>
      </x:c>
      <x:c r="H13" s="8" t="n">
        <x:v>1007.7443409599999</x:v>
      </x:c>
      <x:c r="I13" s="8" t="n">
        <x:v>86.88530217599998</x:v>
      </x:c>
      <x:c r="J13" s="8" t="n">
        <x:v>199.65275999999997</x:v>
      </x:c>
      <x:c r="K13" s="8" t="n">
        <x:v>-112.76745782399999</x:v>
      </x:c>
      <x:c r="L13" s="8" t="n">
        <x:v>296.514</x:v>
      </x:c>
      <x:c r="M13" s="8" t="n">
        <x:v>1507.2795</x:v>
      </x:c>
      <x:c r="N13" s="8" t="n">
        <x:v>154.18728</x:v>
      </x:c>
      <x:c r="O13" s="8" t="n">
        <x:v>373.60764</x:v>
      </x:c>
      <x:c r="P13" s="8" t="n">
        <x:v>1287.8591400000003</x:v>
      </x:c>
    </x:row>
    <x:row r="14" ht="60" customHeight="1">
      <x:c r="A14" s="8" t="str">
        <x:v>Cash-first</x:v>
      </x:c>
      <x:c r="B14" s="8" t="str">
        <x:v>Foot Locker</x:v>
      </x:c>
      <x:c r="C14" s="23" t="n">
        <x:v>5</x:v>
      </x:c>
      <x:c r="D14" s="8" t="n">
        <x:v>8053.0830288</x:v>
      </x:c>
      <x:c r="E14" s="8" t="n">
        <x:v>5445.61007616</x:v>
      </x:c>
      <x:c r="F14" s="8" t="n">
        <x:v>0</x:v>
      </x:c>
      <x:c r="G14" s="8" t="n">
        <x:v>1490.9507166412795</x:v>
      </x:c>
      <x:c r="H14" s="8" t="n">
        <x:v>1027.8992277792</x:v>
      </x:c>
      <x:c r="I14" s="8" t="n">
        <x:v>88.62300821952022</x:v>
      </x:c>
      <x:c r="J14" s="8" t="n">
        <x:v>203.6458152</x:v>
      </x:c>
      <x:c r="K14" s="8" t="n">
        <x:v>-115.02280698047977</x:v>
      </x:c>
      <x:c r="L14" s="8" t="n">
        <x:v>302.44428</x:v>
      </x:c>
      <x:c r="M14" s="8" t="n">
        <x:v>1537.4250900000002</x:v>
      </x:c>
      <x:c r="N14" s="8" t="n">
        <x:v>157.2710256</x:v>
      </x:c>
      <x:c r="O14" s="8" t="n">
        <x:v>381.07979280000006</x:v>
      </x:c>
      <x:c r="P14" s="8" t="n">
        <x:v>1313.6163228</x:v>
      </x:c>
    </x:row>
    <x:row r="15" ht="60" customHeight="1">
      <x:c r="A15" s="8" t="str">
        <x:v>Liquidity-first</x:v>
      </x:c>
      <x:c r="B15" s="8" t="str">
        <x:v>DICK'S Sporting Goods</x:v>
      </x:c>
      <x:c r="C15" s="23" t="n">
        <x:v>1</x:v>
      </x:c>
      <x:c r="D15" s="8" t="n">
        <x:v>13711.70598</x:v>
      </x:c>
      <x:c r="E15" s="8" t="n">
        <x:v>8801.039808</x:v>
      </x:c>
      <x:c r="F15" s="8" t="n">
        <x:v>0</x:v>
      </x:c>
      <x:c r="G15" s="8" t="n">
        <x:v>2200.259952</x:v>
      </x:c>
      <x:c r="H15" s="8" t="n">
        <x:v>798.5784000000001</x:v>
      </x:c>
      <x:c r="I15" s="8" t="n">
        <x:v>1911.827820000001</x:v>
      </x:c>
      <x:c r="J15" s="8" t="n">
        <x:v>408.41718</x:v>
      </x:c>
      <x:c r="K15" s="8" t="n">
        <x:v>1503.4106400000012</x:v>
      </x:c>
      <x:c r="L15" s="8" t="n">
        <x:v>1224</x:v>
      </x:c>
      <x:c r="M15" s="8" t="n">
        <x:v>3416.8265999999994</x:v>
      </x:c>
      <x:c r="N15" s="8" t="n">
        <x:v>218.535</x:v>
      </x:c>
      <x:c r="O15" s="8" t="n">
        <x:v>1527.69786</x:v>
      </x:c>
      <x:c r="P15" s="8" t="n">
        <x:v>2107.663739999999</x:v>
      </x:c>
    </x:row>
    <x:row r="16" ht="60" customHeight="1">
      <x:c r="A16" s="8" t="str">
        <x:v>Liquidity-first</x:v>
      </x:c>
      <x:c r="B16" s="8" t="str">
        <x:v>DICK'S Sporting Goods</x:v>
      </x:c>
      <x:c r="C16" s="23" t="n">
        <x:v>2</x:v>
      </x:c>
      <x:c r="D16" s="8" t="n">
        <x:v>13985.9400996</x:v>
      </x:c>
      <x:c r="E16" s="8" t="n">
        <x:v>8977.06060416</x:v>
      </x:c>
      <x:c r="F16" s="8" t="n">
        <x:v>0</x:v>
      </x:c>
      <x:c r="G16" s="8" t="n">
        <x:v>2244.26515104</x:v>
      </x:c>
      <x:c r="H16" s="8" t="n">
        <x:v>814.549968</x:v>
      </x:c>
      <x:c r="I16" s="8" t="n">
        <x:v>1950.0643764</x:v>
      </x:c>
      <x:c r="J16" s="8" t="n">
        <x:v>416.5855236</x:v>
      </x:c>
      <x:c r="K16" s="8" t="n">
        <x:v>1533.4788528</x:v>
      </x:c>
      <x:c r="L16" s="8" t="n">
        <x:v>1248.48</x:v>
      </x:c>
      <x:c r="M16" s="8" t="n">
        <x:v>3485.163132</x:v>
      </x:c>
      <x:c r="N16" s="8" t="n">
        <x:v>222.9057</x:v>
      </x:c>
      <x:c r="O16" s="8" t="n">
        <x:v>1558.2518172</x:v>
      </x:c>
      <x:c r="P16" s="8" t="n">
        <x:v>2149.8170148</x:v>
      </x:c>
    </x:row>
    <x:row r="17" ht="60" customHeight="1">
      <x:c r="A17" s="8" t="str">
        <x:v>Liquidity-first</x:v>
      </x:c>
      <x:c r="B17" s="8" t="str">
        <x:v>DICK'S Sporting Goods</x:v>
      </x:c>
      <x:c r="C17" s="23" t="n">
        <x:v>3</x:v>
      </x:c>
      <x:c r="D17" s="8" t="n">
        <x:v>14265.658901592</x:v>
      </x:c>
      <x:c r="E17" s="8" t="n">
        <x:v>9156.6018162432</x:v>
      </x:c>
      <x:c r="F17" s="8" t="n">
        <x:v>0</x:v>
      </x:c>
      <x:c r="G17" s="8" t="n">
        <x:v>2289.1504540608003</x:v>
      </x:c>
      <x:c r="H17" s="8" t="n">
        <x:v>830.8409673600001</x:v>
      </x:c>
      <x:c r="I17" s="8" t="n">
        <x:v>1989.0656639280003</x:v>
      </x:c>
      <x:c r="J17" s="8" t="n">
        <x:v>424.917234072</x:v>
      </x:c>
      <x:c r="K17" s="8" t="n">
        <x:v>1564.1484298560003</x:v>
      </x:c>
      <x:c r="L17" s="8" t="n">
        <x:v>1273.4496</x:v>
      </x:c>
      <x:c r="M17" s="8" t="n">
        <x:v>3554.8663946399993</x:v>
      </x:c>
      <x:c r="N17" s="8" t="n">
        <x:v>227.36381399999993</x:v>
      </x:c>
      <x:c r="O17" s="8" t="n">
        <x:v>1589.4168535439999</x:v>
      </x:c>
      <x:c r="P17" s="8" t="n">
        <x:v>2192.813355095999</x:v>
      </x:c>
    </x:row>
    <x:row r="18" ht="60" customHeight="1">
      <x:c r="A18" s="8" t="str">
        <x:v>Liquidity-first</x:v>
      </x:c>
      <x:c r="B18" s="8" t="str">
        <x:v>DICK'S Sporting Goods</x:v>
      </x:c>
      <x:c r="C18" s="23" t="n">
        <x:v>4</x:v>
      </x:c>
      <x:c r="D18" s="8" t="n">
        <x:v>14550.97207962384</x:v>
      </x:c>
      <x:c r="E18" s="8" t="n">
        <x:v>9339.733852568064</x:v>
      </x:c>
      <x:c r="F18" s="8" t="n">
        <x:v>0</x:v>
      </x:c>
      <x:c r="G18" s="8" t="n">
        <x:v>2334.933463142016</x:v>
      </x:c>
      <x:c r="H18" s="8" t="n">
        <x:v>847.4577867072001</x:v>
      </x:c>
      <x:c r="I18" s="8" t="n">
        <x:v>2028.8469772065594</x:v>
      </x:c>
      <x:c r="J18" s="8" t="n">
        <x:v>433.41557875343995</x:v>
      </x:c>
      <x:c r="K18" s="8" t="n">
        <x:v>1595.4313984531195</x:v>
      </x:c>
      <x:c r="L18" s="8" t="n">
        <x:v>1298.918592</x:v>
      </x:c>
      <x:c r="M18" s="8" t="n">
        <x:v>3625.9637225327992</x:v>
      </x:c>
      <x:c r="N18" s="8" t="n">
        <x:v>231.91109027999994</x:v>
      </x:c>
      <x:c r="O18" s="8" t="n">
        <x:v>1621.2051906148797</x:v>
      </x:c>
      <x:c r="P18" s="8" t="n">
        <x:v>2236.669622197919</x:v>
      </x:c>
    </x:row>
    <x:row r="19" ht="60" customHeight="1">
      <x:c r="A19" s="8" t="str">
        <x:v>Liquidity-first</x:v>
      </x:c>
      <x:c r="B19" s="8" t="str">
        <x:v>DICK'S Sporting Goods</x:v>
      </x:c>
      <x:c r="C19" s="23" t="n">
        <x:v>5</x:v>
      </x:c>
      <x:c r="D19" s="8" t="n">
        <x:v>14841.991521216318</x:v>
      </x:c>
      <x:c r="E19" s="8" t="n">
        <x:v>9526.528529619425</x:v>
      </x:c>
      <x:c r="F19" s="8" t="n">
        <x:v>0</x:v>
      </x:c>
      <x:c r="G19" s="8" t="n">
        <x:v>2381.6321324048563</x:v>
      </x:c>
      <x:c r="H19" s="8" t="n">
        <x:v>864.4069424413441</x:v>
      </x:c>
      <x:c r="I19" s="8" t="n">
        <x:v>2069.423916750692</x:v>
      </x:c>
      <x:c r="J19" s="8" t="n">
        <x:v>442.0838903285088</x:v>
      </x:c>
      <x:c r="K19" s="8" t="n">
        <x:v>1627.3400264221832</x:v>
      </x:c>
      <x:c r="L19" s="8" t="n">
        <x:v>1324.89696384</x:v>
      </x:c>
      <x:c r="M19" s="8" t="n">
        <x:v>3698.4829969834555</x:v>
      </x:c>
      <x:c r="N19" s="8" t="n">
        <x:v>236.54931208559998</x:v>
      </x:c>
      <x:c r="O19" s="8" t="n">
        <x:v>1653.6292944271775</x:v>
      </x:c>
      <x:c r="P19" s="8" t="n">
        <x:v>2281.403014641878</x:v>
      </x:c>
    </x:row>
    <x:row r="20" ht="60" customHeight="1">
      <x:c r="A20" s="8" t="str">
        <x:v>Liquidity-first</x:v>
      </x:c>
      <x:c r="B20" s="8" t="str">
        <x:v>Foot Locker</x:v>
      </x:c>
      <x:c r="C20" s="23" t="n">
        <x:v>1</x:v>
      </x:c>
      <x:c r="D20" s="8" t="n">
        <x:v>7588.599999999999</x:v>
      </x:c>
      <x:c r="E20" s="8" t="n">
        <x:v>5131.5199999999995</x:v>
      </x:c>
      <x:c r="F20" s="8" t="n">
        <x:v>0</x:v>
      </x:c>
      <x:c r="G20" s="8" t="n">
        <x:v>1377.4079999999997</x:v>
      </x:c>
      <x:c r="H20" s="8" t="n">
        <x:v>949.62</x:v>
      </x:c>
      <x:c r="I20" s="8" t="n">
        <x:v>130.05200000000025</x:v>
      </x:c>
      <x:c r="J20" s="8" t="n">
        <x:v>191.89999999999998</x:v>
      </x:c>
      <x:c r="K20" s="8" t="n">
        <x:v>-61.84799999999973</x:v>
      </x:c>
      <x:c r="L20" s="8" t="n">
        <x:v>285</x:v>
      </x:c>
      <x:c r="M20" s="8" t="n">
        <x:v>1448.7500000000002</x:v>
      </x:c>
      <x:c r="N20" s="8" t="n">
        <x:v>148.2</x:v>
      </x:c>
      <x:c r="O20" s="8" t="n">
        <x:v>359.1</x:v>
      </x:c>
      <x:c r="P20" s="8" t="n">
        <x:v>1237.8500000000004</x:v>
      </x:c>
    </x:row>
    <x:row r="21" ht="60" customHeight="1">
      <x:c r="A21" s="8" t="str">
        <x:v>Liquidity-first</x:v>
      </x:c>
      <x:c r="B21" s="8" t="str">
        <x:v>Foot Locker</x:v>
      </x:c>
      <x:c r="C21" s="23" t="n">
        <x:v>2</x:v>
      </x:c>
      <x:c r="D21" s="8" t="n">
        <x:v>7588.599999999999</x:v>
      </x:c>
      <x:c r="E21" s="8" t="n">
        <x:v>5131.5199999999995</x:v>
      </x:c>
      <x:c r="F21" s="8" t="n">
        <x:v>0</x:v>
      </x:c>
      <x:c r="G21" s="8" t="n">
        <x:v>1404.9561599999995</x:v>
      </x:c>
      <x:c r="H21" s="8" t="n">
        <x:v>968.6124</x:v>
      </x:c>
      <x:c r="I21" s="8" t="n">
        <x:v>83.51144000000045</x:v>
      </x:c>
      <x:c r="J21" s="8" t="n">
        <x:v>191.89999999999998</x:v>
      </x:c>
      <x:c r="K21" s="8" t="n">
        <x:v>-108.38855999999953</x:v>
      </x:c>
      <x:c r="L21" s="8" t="n">
        <x:v>285</x:v>
      </x:c>
      <x:c r="M21" s="8" t="n">
        <x:v>1448.7500000000002</x:v>
      </x:c>
      <x:c r="N21" s="8" t="n">
        <x:v>148.2</x:v>
      </x:c>
      <x:c r="O21" s="8" t="n">
        <x:v>359.1</x:v>
      </x:c>
      <x:c r="P21" s="8" t="n">
        <x:v>1237.8500000000004</x:v>
      </x:c>
    </x:row>
    <x:row r="22" ht="60" customHeight="1">
      <x:c r="A22" s="8" t="str">
        <x:v>Liquidity-first</x:v>
      </x:c>
      <x:c r="B22" s="8" t="str">
        <x:v>Foot Locker</x:v>
      </x:c>
      <x:c r="C22" s="23" t="n">
        <x:v>3</x:v>
      </x:c>
      <x:c r="D22" s="8" t="n">
        <x:v>7740.371999999999</x:v>
      </x:c>
      <x:c r="E22" s="8" t="n">
        <x:v>5234.1503999999995</x:v>
      </x:c>
      <x:c r="F22" s="8" t="n">
        <x:v>0</x:v>
      </x:c>
      <x:c r="G22" s="8" t="n">
        <x:v>1433.0552831999998</x:v>
      </x:c>
      <x:c r="H22" s="8" t="n">
        <x:v>987.9846480000001</x:v>
      </x:c>
      <x:c r="I22" s="8" t="n">
        <x:v>85.1816687999999</x:v>
      </x:c>
      <x:c r="J22" s="8" t="n">
        <x:v>195.73799999999997</x:v>
      </x:c>
      <x:c r="K22" s="8" t="n">
        <x:v>-110.55633120000007</x:v>
      </x:c>
      <x:c r="L22" s="8" t="n">
        <x:v>290.7</x:v>
      </x:c>
      <x:c r="M22" s="8" t="n">
        <x:v>1477.725</x:v>
      </x:c>
      <x:c r="N22" s="8" t="n">
        <x:v>151.164</x:v>
      </x:c>
      <x:c r="O22" s="8" t="n">
        <x:v>366.282</x:v>
      </x:c>
      <x:c r="P22" s="8" t="n">
        <x:v>1262.607</x:v>
      </x:c>
    </x:row>
    <x:row r="23" ht="60" customHeight="1">
      <x:c r="A23" s="8" t="str">
        <x:v>Liquidity-first</x:v>
      </x:c>
      <x:c r="B23" s="8" t="str">
        <x:v>Foot Locker</x:v>
      </x:c>
      <x:c r="C23" s="23" t="n">
        <x:v>4</x:v>
      </x:c>
      <x:c r="D23" s="8" t="n">
        <x:v>7895.17944</x:v>
      </x:c>
      <x:c r="E23" s="8" t="n">
        <x:v>5338.833408</x:v>
      </x:c>
      <x:c r="F23" s="8" t="n">
        <x:v>0</x:v>
      </x:c>
      <x:c r="G23" s="8" t="n">
        <x:v>1461.7163888639996</x:v>
      </x:c>
      <x:c r="H23" s="8" t="n">
        <x:v>1007.7443409599999</x:v>
      </x:c>
      <x:c r="I23" s="8" t="n">
        <x:v>86.88530217599998</x:v>
      </x:c>
      <x:c r="J23" s="8" t="n">
        <x:v>199.65275999999997</x:v>
      </x:c>
      <x:c r="K23" s="8" t="n">
        <x:v>-112.76745782399999</x:v>
      </x:c>
      <x:c r="L23" s="8" t="n">
        <x:v>296.514</x:v>
      </x:c>
      <x:c r="M23" s="8" t="n">
        <x:v>1507.2795</x:v>
      </x:c>
      <x:c r="N23" s="8" t="n">
        <x:v>154.18728</x:v>
      </x:c>
      <x:c r="O23" s="8" t="n">
        <x:v>373.60764</x:v>
      </x:c>
      <x:c r="P23" s="8" t="n">
        <x:v>1287.8591400000003</x:v>
      </x:c>
    </x:row>
    <x:row r="24" ht="60" customHeight="1">
      <x:c r="A24" s="8" t="str">
        <x:v>Liquidity-first</x:v>
      </x:c>
      <x:c r="B24" s="8" t="str">
        <x:v>Foot Locker</x:v>
      </x:c>
      <x:c r="C24" s="23" t="n">
        <x:v>5</x:v>
      </x:c>
      <x:c r="D24" s="8" t="n">
        <x:v>8053.0830288</x:v>
      </x:c>
      <x:c r="E24" s="8" t="n">
        <x:v>5445.61007616</x:v>
      </x:c>
      <x:c r="F24" s="8" t="n">
        <x:v>0</x:v>
      </x:c>
      <x:c r="G24" s="8" t="n">
        <x:v>1490.9507166412795</x:v>
      </x:c>
      <x:c r="H24" s="8" t="n">
        <x:v>1027.8992277792</x:v>
      </x:c>
      <x:c r="I24" s="8" t="n">
        <x:v>88.62300821952022</x:v>
      </x:c>
      <x:c r="J24" s="8" t="n">
        <x:v>203.6458152</x:v>
      </x:c>
      <x:c r="K24" s="8" t="n">
        <x:v>-115.02280698047977</x:v>
      </x:c>
      <x:c r="L24" s="8" t="n">
        <x:v>302.44428</x:v>
      </x:c>
      <x:c r="M24" s="8" t="n">
        <x:v>1537.4250900000002</x:v>
      </x:c>
      <x:c r="N24" s="8" t="n">
        <x:v>157.2710256</x:v>
      </x:c>
      <x:c r="O24" s="8" t="n">
        <x:v>381.07979280000006</x:v>
      </x:c>
      <x:c r="P24" s="8" t="n">
        <x:v>1313.6163228</x:v>
      </x:c>
    </x:row>
    <x:row r="25" ht="60" customHeight="1">
      <x:c r="A25" s="8" t="str">
        <x:v>Mixed consideration</x:v>
      </x:c>
      <x:c r="B25" s="8" t="str">
        <x:v>DICK'S Sporting Goods</x:v>
      </x:c>
      <x:c r="C25" s="23" t="n">
        <x:v>1</x:v>
      </x:c>
      <x:c r="D25" s="8" t="n">
        <x:v>13711.70598</x:v>
      </x:c>
      <x:c r="E25" s="8" t="n">
        <x:v>8801.039808</x:v>
      </x:c>
      <x:c r="F25" s="8" t="n">
        <x:v>0</x:v>
      </x:c>
      <x:c r="G25" s="8" t="n">
        <x:v>2200.259952</x:v>
      </x:c>
      <x:c r="H25" s="8" t="n">
        <x:v>798.5784000000001</x:v>
      </x:c>
      <x:c r="I25" s="8" t="n">
        <x:v>1911.827820000001</x:v>
      </x:c>
      <x:c r="J25" s="8" t="n">
        <x:v>408.41718</x:v>
      </x:c>
      <x:c r="K25" s="8" t="n">
        <x:v>1503.4106400000012</x:v>
      </x:c>
      <x:c r="L25" s="8" t="n">
        <x:v>1224</x:v>
      </x:c>
      <x:c r="M25" s="8" t="n">
        <x:v>3416.8265999999994</x:v>
      </x:c>
      <x:c r="N25" s="8" t="n">
        <x:v>218.535</x:v>
      </x:c>
      <x:c r="O25" s="8" t="n">
        <x:v>1527.69786</x:v>
      </x:c>
      <x:c r="P25" s="8" t="n">
        <x:v>2107.663739999999</x:v>
      </x:c>
    </x:row>
    <x:row r="26" ht="60" customHeight="1">
      <x:c r="A26" s="8" t="str">
        <x:v>Mixed consideration</x:v>
      </x:c>
      <x:c r="B26" s="8" t="str">
        <x:v>DICK'S Sporting Goods</x:v>
      </x:c>
      <x:c r="C26" s="23" t="n">
        <x:v>2</x:v>
      </x:c>
      <x:c r="D26" s="8" t="n">
        <x:v>13985.9400996</x:v>
      </x:c>
      <x:c r="E26" s="8" t="n">
        <x:v>8977.06060416</x:v>
      </x:c>
      <x:c r="F26" s="8" t="n">
        <x:v>0</x:v>
      </x:c>
      <x:c r="G26" s="8" t="n">
        <x:v>2244.26515104</x:v>
      </x:c>
      <x:c r="H26" s="8" t="n">
        <x:v>814.549968</x:v>
      </x:c>
      <x:c r="I26" s="8" t="n">
        <x:v>1950.0643764</x:v>
      </x:c>
      <x:c r="J26" s="8" t="n">
        <x:v>416.5855236</x:v>
      </x:c>
      <x:c r="K26" s="8" t="n">
        <x:v>1533.4788528</x:v>
      </x:c>
      <x:c r="L26" s="8" t="n">
        <x:v>1248.48</x:v>
      </x:c>
      <x:c r="M26" s="8" t="n">
        <x:v>3485.163132</x:v>
      </x:c>
      <x:c r="N26" s="8" t="n">
        <x:v>222.9057</x:v>
      </x:c>
      <x:c r="O26" s="8" t="n">
        <x:v>1558.2518172</x:v>
      </x:c>
      <x:c r="P26" s="8" t="n">
        <x:v>2149.8170148</x:v>
      </x:c>
    </x:row>
    <x:row r="27" ht="60" customHeight="1">
      <x:c r="A27" s="8" t="str">
        <x:v>Mixed consideration</x:v>
      </x:c>
      <x:c r="B27" s="8" t="str">
        <x:v>DICK'S Sporting Goods</x:v>
      </x:c>
      <x:c r="C27" s="23" t="n">
        <x:v>3</x:v>
      </x:c>
      <x:c r="D27" s="8" t="n">
        <x:v>14265.658901592</x:v>
      </x:c>
      <x:c r="E27" s="8" t="n">
        <x:v>9156.6018162432</x:v>
      </x:c>
      <x:c r="F27" s="8" t="n">
        <x:v>0</x:v>
      </x:c>
      <x:c r="G27" s="8" t="n">
        <x:v>2289.1504540608003</x:v>
      </x:c>
      <x:c r="H27" s="8" t="n">
        <x:v>830.8409673600001</x:v>
      </x:c>
      <x:c r="I27" s="8" t="n">
        <x:v>1989.0656639280003</x:v>
      </x:c>
      <x:c r="J27" s="8" t="n">
        <x:v>424.917234072</x:v>
      </x:c>
      <x:c r="K27" s="8" t="n">
        <x:v>1564.1484298560003</x:v>
      </x:c>
      <x:c r="L27" s="8" t="n">
        <x:v>1273.4496</x:v>
      </x:c>
      <x:c r="M27" s="8" t="n">
        <x:v>3554.8663946399993</x:v>
      </x:c>
      <x:c r="N27" s="8" t="n">
        <x:v>227.36381399999993</x:v>
      </x:c>
      <x:c r="O27" s="8" t="n">
        <x:v>1589.4168535439999</x:v>
      </x:c>
      <x:c r="P27" s="8" t="n">
        <x:v>2192.813355095999</x:v>
      </x:c>
    </x:row>
    <x:row r="28" ht="60" customHeight="1">
      <x:c r="A28" s="8" t="str">
        <x:v>Mixed consideration</x:v>
      </x:c>
      <x:c r="B28" s="8" t="str">
        <x:v>DICK'S Sporting Goods</x:v>
      </x:c>
      <x:c r="C28" s="23" t="n">
        <x:v>4</x:v>
      </x:c>
      <x:c r="D28" s="8" t="n">
        <x:v>14550.97207962384</x:v>
      </x:c>
      <x:c r="E28" s="8" t="n">
        <x:v>9339.733852568064</x:v>
      </x:c>
      <x:c r="F28" s="8" t="n">
        <x:v>0</x:v>
      </x:c>
      <x:c r="G28" s="8" t="n">
        <x:v>2334.933463142016</x:v>
      </x:c>
      <x:c r="H28" s="8" t="n">
        <x:v>847.4577867072001</x:v>
      </x:c>
      <x:c r="I28" s="8" t="n">
        <x:v>2028.8469772065594</x:v>
      </x:c>
      <x:c r="J28" s="8" t="n">
        <x:v>433.41557875343995</x:v>
      </x:c>
      <x:c r="K28" s="8" t="n">
        <x:v>1595.4313984531195</x:v>
      </x:c>
      <x:c r="L28" s="8" t="n">
        <x:v>1298.918592</x:v>
      </x:c>
      <x:c r="M28" s="8" t="n">
        <x:v>3625.9637225327992</x:v>
      </x:c>
      <x:c r="N28" s="8" t="n">
        <x:v>231.91109027999994</x:v>
      </x:c>
      <x:c r="O28" s="8" t="n">
        <x:v>1621.2051906148797</x:v>
      </x:c>
      <x:c r="P28" s="8" t="n">
        <x:v>2236.669622197919</x:v>
      </x:c>
    </x:row>
    <x:row r="29" ht="60" customHeight="1">
      <x:c r="A29" s="8" t="str">
        <x:v>Mixed consideration</x:v>
      </x:c>
      <x:c r="B29" s="8" t="str">
        <x:v>DICK'S Sporting Goods</x:v>
      </x:c>
      <x:c r="C29" s="23" t="n">
        <x:v>5</x:v>
      </x:c>
      <x:c r="D29" s="8" t="n">
        <x:v>14841.991521216318</x:v>
      </x:c>
      <x:c r="E29" s="8" t="n">
        <x:v>9526.528529619425</x:v>
      </x:c>
      <x:c r="F29" s="8" t="n">
        <x:v>0</x:v>
      </x:c>
      <x:c r="G29" s="8" t="n">
        <x:v>2381.6321324048563</x:v>
      </x:c>
      <x:c r="H29" s="8" t="n">
        <x:v>864.4069424413441</x:v>
      </x:c>
      <x:c r="I29" s="8" t="n">
        <x:v>2069.423916750692</x:v>
      </x:c>
      <x:c r="J29" s="8" t="n">
        <x:v>442.0838903285088</x:v>
      </x:c>
      <x:c r="K29" s="8" t="n">
        <x:v>1627.3400264221832</x:v>
      </x:c>
      <x:c r="L29" s="8" t="n">
        <x:v>1324.89696384</x:v>
      </x:c>
      <x:c r="M29" s="8" t="n">
        <x:v>3698.4829969834555</x:v>
      </x:c>
      <x:c r="N29" s="8" t="n">
        <x:v>236.54931208559998</x:v>
      </x:c>
      <x:c r="O29" s="8" t="n">
        <x:v>1653.6292944271775</x:v>
      </x:c>
      <x:c r="P29" s="8" t="n">
        <x:v>2281.403014641878</x:v>
      </x:c>
    </x:row>
    <x:row r="30" ht="60" customHeight="1">
      <x:c r="A30" s="8" t="str">
        <x:v>Mixed consideration</x:v>
      </x:c>
      <x:c r="B30" s="8" t="str">
        <x:v>Foot Locker</x:v>
      </x:c>
      <x:c r="C30" s="23" t="n">
        <x:v>1</x:v>
      </x:c>
      <x:c r="D30" s="8" t="n">
        <x:v>7588.599999999999</x:v>
      </x:c>
      <x:c r="E30" s="8" t="n">
        <x:v>5131.5199999999995</x:v>
      </x:c>
      <x:c r="F30" s="8" t="n">
        <x:v>0</x:v>
      </x:c>
      <x:c r="G30" s="8" t="n">
        <x:v>1377.4079999999997</x:v>
      </x:c>
      <x:c r="H30" s="8" t="n">
        <x:v>949.62</x:v>
      </x:c>
      <x:c r="I30" s="8" t="n">
        <x:v>130.05200000000025</x:v>
      </x:c>
      <x:c r="J30" s="8" t="n">
        <x:v>191.89999999999998</x:v>
      </x:c>
      <x:c r="K30" s="8" t="n">
        <x:v>-61.84799999999973</x:v>
      </x:c>
      <x:c r="L30" s="8" t="n">
        <x:v>285</x:v>
      </x:c>
      <x:c r="M30" s="8" t="n">
        <x:v>1448.7500000000002</x:v>
      </x:c>
      <x:c r="N30" s="8" t="n">
        <x:v>148.2</x:v>
      </x:c>
      <x:c r="O30" s="8" t="n">
        <x:v>359.1</x:v>
      </x:c>
      <x:c r="P30" s="8" t="n">
        <x:v>1237.8500000000004</x:v>
      </x:c>
    </x:row>
    <x:row r="31" ht="60" customHeight="1">
      <x:c r="A31" s="8" t="str">
        <x:v>Mixed consideration</x:v>
      </x:c>
      <x:c r="B31" s="8" t="str">
        <x:v>Foot Locker</x:v>
      </x:c>
      <x:c r="C31" s="23" t="n">
        <x:v>2</x:v>
      </x:c>
      <x:c r="D31" s="8" t="n">
        <x:v>7588.599999999999</x:v>
      </x:c>
      <x:c r="E31" s="8" t="n">
        <x:v>5131.5199999999995</x:v>
      </x:c>
      <x:c r="F31" s="8" t="n">
        <x:v>0</x:v>
      </x:c>
      <x:c r="G31" s="8" t="n">
        <x:v>1404.9561599999995</x:v>
      </x:c>
      <x:c r="H31" s="8" t="n">
        <x:v>968.6124</x:v>
      </x:c>
      <x:c r="I31" s="8" t="n">
        <x:v>83.51144000000045</x:v>
      </x:c>
      <x:c r="J31" s="8" t="n">
        <x:v>191.89999999999998</x:v>
      </x:c>
      <x:c r="K31" s="8" t="n">
        <x:v>-108.38855999999953</x:v>
      </x:c>
      <x:c r="L31" s="8" t="n">
        <x:v>285</x:v>
      </x:c>
      <x:c r="M31" s="8" t="n">
        <x:v>1448.7500000000002</x:v>
      </x:c>
      <x:c r="N31" s="8" t="n">
        <x:v>148.2</x:v>
      </x:c>
      <x:c r="O31" s="8" t="n">
        <x:v>359.1</x:v>
      </x:c>
      <x:c r="P31" s="8" t="n">
        <x:v>1237.8500000000004</x:v>
      </x:c>
    </x:row>
    <x:row r="32" ht="60" customHeight="1">
      <x:c r="A32" s="8" t="str">
        <x:v>Mixed consideration</x:v>
      </x:c>
      <x:c r="B32" s="8" t="str">
        <x:v>Foot Locker</x:v>
      </x:c>
      <x:c r="C32" s="23" t="n">
        <x:v>3</x:v>
      </x:c>
      <x:c r="D32" s="8" t="n">
        <x:v>7740.371999999999</x:v>
      </x:c>
      <x:c r="E32" s="8" t="n">
        <x:v>5234.1503999999995</x:v>
      </x:c>
      <x:c r="F32" s="8" t="n">
        <x:v>0</x:v>
      </x:c>
      <x:c r="G32" s="8" t="n">
        <x:v>1433.0552831999998</x:v>
      </x:c>
      <x:c r="H32" s="8" t="n">
        <x:v>987.9846480000001</x:v>
      </x:c>
      <x:c r="I32" s="8" t="n">
        <x:v>85.1816687999999</x:v>
      </x:c>
      <x:c r="J32" s="8" t="n">
        <x:v>195.73799999999997</x:v>
      </x:c>
      <x:c r="K32" s="8" t="n">
        <x:v>-110.55633120000007</x:v>
      </x:c>
      <x:c r="L32" s="8" t="n">
        <x:v>290.7</x:v>
      </x:c>
      <x:c r="M32" s="8" t="n">
        <x:v>1477.725</x:v>
      </x:c>
      <x:c r="N32" s="8" t="n">
        <x:v>151.164</x:v>
      </x:c>
      <x:c r="O32" s="8" t="n">
        <x:v>366.282</x:v>
      </x:c>
      <x:c r="P32" s="8" t="n">
        <x:v>1262.607</x:v>
      </x:c>
    </x:row>
    <x:row r="33" ht="60" customHeight="1">
      <x:c r="A33" s="8" t="str">
        <x:v>Mixed consideration</x:v>
      </x:c>
      <x:c r="B33" s="8" t="str">
        <x:v>Foot Locker</x:v>
      </x:c>
      <x:c r="C33" s="23" t="n">
        <x:v>4</x:v>
      </x:c>
      <x:c r="D33" s="8" t="n">
        <x:v>7895.17944</x:v>
      </x:c>
      <x:c r="E33" s="8" t="n">
        <x:v>5338.833408</x:v>
      </x:c>
      <x:c r="F33" s="8" t="n">
        <x:v>0</x:v>
      </x:c>
      <x:c r="G33" s="8" t="n">
        <x:v>1461.7163888639996</x:v>
      </x:c>
      <x:c r="H33" s="8" t="n">
        <x:v>1007.7443409599999</x:v>
      </x:c>
      <x:c r="I33" s="8" t="n">
        <x:v>86.88530217599998</x:v>
      </x:c>
      <x:c r="J33" s="8" t="n">
        <x:v>199.65275999999997</x:v>
      </x:c>
      <x:c r="K33" s="8" t="n">
        <x:v>-112.76745782399999</x:v>
      </x:c>
      <x:c r="L33" s="8" t="n">
        <x:v>296.514</x:v>
      </x:c>
      <x:c r="M33" s="8" t="n">
        <x:v>1507.2795</x:v>
      </x:c>
      <x:c r="N33" s="8" t="n">
        <x:v>154.18728</x:v>
      </x:c>
      <x:c r="O33" s="8" t="n">
        <x:v>373.60764</x:v>
      </x:c>
      <x:c r="P33" s="8" t="n">
        <x:v>1287.8591400000003</x:v>
      </x:c>
    </x:row>
    <x:row r="34" ht="60" customHeight="1">
      <x:c r="A34" s="8" t="str">
        <x:v>Mixed consideration</x:v>
      </x:c>
      <x:c r="B34" s="8" t="str">
        <x:v>Foot Locker</x:v>
      </x:c>
      <x:c r="C34" s="23" t="n">
        <x:v>5</x:v>
      </x:c>
      <x:c r="D34" s="8" t="n">
        <x:v>8053.0830288</x:v>
      </x:c>
      <x:c r="E34" s="8" t="n">
        <x:v>5445.61007616</x:v>
      </x:c>
      <x:c r="F34" s="8" t="n">
        <x:v>0</x:v>
      </x:c>
      <x:c r="G34" s="8" t="n">
        <x:v>1490.9507166412795</x:v>
      </x:c>
      <x:c r="H34" s="8" t="n">
        <x:v>1027.8992277792</x:v>
      </x:c>
      <x:c r="I34" s="8" t="n">
        <x:v>88.62300821952022</x:v>
      </x:c>
      <x:c r="J34" s="8" t="n">
        <x:v>203.6458152</x:v>
      </x:c>
      <x:c r="K34" s="8" t="n">
        <x:v>-115.02280698047977</x:v>
      </x:c>
      <x:c r="L34" s="8" t="n">
        <x:v>302.44428</x:v>
      </x:c>
      <x:c r="M34" s="8" t="n">
        <x:v>1537.4250900000002</x:v>
      </x:c>
      <x:c r="N34" s="8" t="n">
        <x:v>157.2710256</x:v>
      </x:c>
      <x:c r="O34" s="8" t="n">
        <x:v>381.07979280000006</x:v>
      </x:c>
      <x:c r="P34" s="8" t="n">
        <x:v>1313.6163228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</x:cols>
  <x:sheetData>
    <x:row r="2" ht="42" customHeight="1">
      <x:c r="A2" s="5" t="str">
        <x:v>PUBLIC INFORMATION | Public cash and debt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 ht="42" customHeight="1">
      <x:c r="A3" s="4" t="str">
        <x:v>Conditional model snapshots; strict recommendation remains blocked. USD millions unless stated.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42" customHeight="1">
      <x:c r="A4" s="7" t="str">
        <x:v>Structure</x:v>
      </x:c>
      <x:c r="B4" s="7" t="str">
        <x:v>Year</x:v>
      </x:c>
      <x:c r="C4" s="7" t="str">
        <x:v>Opening cash</x:v>
      </x:c>
      <x:c r="D4" s="7" t="str">
        <x:v>Accessible operating CF</x:v>
      </x:c>
      <x:c r="E4" s="7" t="str">
        <x:v>Capex</x:v>
      </x:c>
      <x:c r="F4" s="7" t="str">
        <x:v>Interest</x:v>
      </x:c>
      <x:c r="G4" s="7" t="str">
        <x:v>Dividends</x:v>
      </x:c>
      <x:c r="H4" s="7" t="str">
        <x:v>Buybacks</x:v>
      </x:c>
      <x:c r="I4" s="7" t="str">
        <x:v>Refinance fees</x:v>
      </x:c>
      <x:c r="J4" s="7" t="str">
        <x:v>Facility draw</x:v>
      </x:c>
      <x:c r="K4" s="7" t="str">
        <x:v>Mandatory paid</x:v>
      </x:c>
      <x:c r="L4" s="7" t="str">
        <x:v>Optional paid</x:v>
      </x:c>
      <x:c r="M4" s="7" t="str">
        <x:v>Closing cash</x:v>
      </x:c>
      <x:c r="N4" s="7" t="str">
        <x:v>Opening debt</x:v>
      </x:c>
      <x:c r="O4" s="7" t="str">
        <x:v>Closing debt</x:v>
      </x:c>
      <x:c r="P4" s="7" t="str">
        <x:v>Net leverage</x:v>
      </x:c>
      <x:c r="Q4" s="7" t="str">
        <x:v>Coverage</x:v>
      </x:c>
      <x:c r="R4" s="7" t="str">
        <x:v>Maturity gap</x:v>
      </x:c>
    </x:row>
    <x:row r="5" ht="60" customHeight="1">
      <x:c r="A5" s="8" t="str">
        <x:v>Cash-first</x:v>
      </x:c>
      <x:c r="B5" s="23" t="n">
        <x:v>1</x:v>
      </x:c>
      <x:c r="C5" s="8" t="n">
        <x:v>750</x:v>
      </x:c>
      <x:c r="D5" s="8" t="n">
        <x:v>2048.3619626468</x:v>
      </x:c>
      <x:c r="E5" s="8" t="n">
        <x:v>1509</x:v>
      </x:c>
      <x:c r="F5" s="8" t="n">
        <x:v>244.81194609925024</x:v>
      </x:c>
      <x:c r="G5" s="8" t="n">
        <x:v>388.22315334999996</x:v>
      </x:c>
      <x:c r="H5" s="8" t="n">
        <x:v>0</x:v>
      </x:c>
      <x:c r="I5" s="8" t="n">
        <x:v>0</x:v>
      </x:c>
      <x:c r="J5" s="8" t="n">
        <x:v>0</x:v>
      </x:c>
      <x:c r="K5" s="8" t="n">
        <x:v>58.035641742642916</x:v>
      </x:c>
      <x:c r="L5" s="8" t="n">
        <x:v>0</x:v>
      </x:c>
      <x:c r="M5" s="9" t="n">
        <x:f>C5+D5-E5-F5-G5-H5-I5+J5-K5-L5</x:f>
        <x:v>598.2912214549067</x:v>
      </x:c>
      <x:c r="N5" s="8" t="n">
        <x:v>4237.762087132146</x:v>
      </x:c>
      <x:c r="O5" s="9" t="n">
        <x:f>N5+J5-K5-L5</x:f>
        <x:v>4179.726445389503</x:v>
      </x:c>
      <x:c r="P5" s="8" t="n">
        <x:v>1.753989235240393</x:v>
      </x:c>
      <x:c r="Q5" s="8" t="n">
        <x:v>8.34060531985721</x:v>
      </x:c>
      <x:c r="R5" s="8" t="n">
        <x:v>0</x:v>
      </x:c>
    </x:row>
    <x:row r="6" ht="60" customHeight="1">
      <x:c r="A6" s="8" t="str">
        <x:v>Cash-first</x:v>
      </x:c>
      <x:c r="B6" s="23" t="n">
        <x:v>2</x:v>
      </x:c>
      <x:c r="C6" s="8" t="n">
        <x:v>598.2912214549067</x:v>
      </x:c>
      <x:c r="D6" s="8" t="n">
        <x:v>1499.7853997298582</x:v>
      </x:c>
      <x:c r="E6" s="8" t="n">
        <x:v>1533.48</x:v>
      </x:c>
      <x:c r="F6" s="8" t="n">
        <x:v>240.85886957726524</x:v>
      </x:c>
      <x:c r="G6" s="8" t="n">
        <x:v>388.22315334999996</x:v>
      </x:c>
      <x:c r="H6" s="8" t="n">
        <x:v>0</x:v>
      </x:c>
      <x:c r="I6" s="8" t="n">
        <x:v>0</x:v>
      </x:c>
      <x:c r="J6" s="8" t="n">
        <x:v>0</x:v>
      </x:c>
      <x:c r="K6" s="8" t="n">
        <x:v>0</x:v>
      </x:c>
      <x:c r="L6" s="8" t="n">
        <x:v>0</x:v>
      </x:c>
      <x:c r="M6" s="9" t="n">
        <x:f>C6+D6-E6-F6-G6-H6-I6+J6-K6-L6</x:f>
        <x:v>-64.4854017425003</x:v>
      </x:c>
      <x:c r="N6" s="8" t="n">
        <x:v>4179.726445389503</x:v>
      </x:c>
      <x:c r="O6" s="9" t="n">
        <x:f>N6+J6-K6-L6</x:f>
        <x:v>4179.726445389503</x:v>
      </x:c>
      <x:c r="P6" s="8" t="n">
        <x:v>2.0369845981727472</x:v>
      </x:c>
      <x:c r="Q6" s="8" t="n">
        <x:v>8.650608632586009</x:v>
      </x:c>
      <x:c r="R6" s="8" t="n">
        <x:v>57.22081134264292</x:v>
      </x:c>
    </x:row>
    <x:row r="7" ht="60" customHeight="1">
      <x:c r="A7" s="8" t="str">
        <x:v>Cash-first</x:v>
      </x:c>
      <x:c r="B7" s="23" t="n">
        <x:v>3</x:v>
      </x:c>
      <x:c r="C7" s="8" t="n">
        <x:v>-64.48540174250024</x:v>
      </x:c>
      <x:c r="D7" s="8" t="n">
        <x:v>1565.493469828742</x:v>
      </x:c>
      <x:c r="E7" s="8" t="n">
        <x:v>1564.1496</x:v>
      </x:c>
      <x:c r="F7" s="8" t="n">
        <x:v>240.85886957726524</x:v>
      </x:c>
      <x:c r="G7" s="8" t="n">
        <x:v>388.22315334999996</x:v>
      </x:c>
      <x:c r="H7" s="8" t="n">
        <x:v>0</x:v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9" t="n">
        <x:f>C7+D7-E7-F7-G7-H7-I7+J7-K7-L7</x:f>
        <x:v>-692.2235548410233</x:v>
      </x:c>
      <x:c r="N7" s="8" t="n">
        <x:v>4179.726445389503</x:v>
      </x:c>
      <x:c r="O7" s="9" t="n">
        <x:f>N7+J7-K7-L7</x:f>
        <x:v>4179.726445389503</x:v>
      </x:c>
      <x:c r="P7" s="8" t="n">
        <x:v>2.2407524327592276</x:v>
      </x:c>
      <x:c r="Q7" s="8" t="n">
        <x:v>9.027059441672426</x:v>
      </x:c>
      <x:c r="R7" s="8" t="n">
        <x:v>56.22081134264292</x:v>
      </x:c>
    </x:row>
    <x:row r="8" ht="60" customHeight="1">
      <x:c r="A8" s="8" t="str">
        <x:v>Cash-first</x:v>
      </x:c>
      <x:c r="B8" s="23" t="n">
        <x:v>4</x:v>
      </x:c>
      <x:c r="C8" s="8" t="n">
        <x:v>-692.2235548410233</x:v>
      </x:c>
      <x:c r="D8" s="8" t="n">
        <x:v>1619.5427013295987</x:v>
      </x:c>
      <x:c r="E8" s="8" t="n">
        <x:v>1595.432592</x:v>
      </x:c>
      <x:c r="F8" s="8" t="n">
        <x:v>240.85886957726524</x:v>
      </x:c>
      <x:c r="G8" s="8" t="n">
        <x:v>388.22315334999996</x:v>
      </x:c>
      <x:c r="H8" s="8" t="n">
        <x:v>0</x:v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9" t="n">
        <x:f>C8+D8-E8-F8-G8-H8-I8+J8-K8-L8</x:f>
        <x:v>-1297.19546843869</x:v>
      </x:c>
      <x:c r="N8" s="8" t="n">
        <x:v>4179.726445389503</x:v>
      </x:c>
      <x:c r="O8" s="9" t="n">
        <x:f>N8+J8-K8-L8</x:f>
        <x:v>4179.726445389503</x:v>
      </x:c>
      <x:c r="P8" s="8" t="n">
        <x:v>2.4718337882203008</x:v>
      </x:c>
      <x:c r="Q8" s="8" t="n">
        <x:v>9.199297012692211</x:v>
      </x:c>
      <x:c r="R8" s="8" t="n">
        <x:v>55.97081134264292</x:v>
      </x:c>
    </x:row>
    <x:row r="9" ht="60" customHeight="1">
      <x:c r="A9" s="8" t="str">
        <x:v>Cash-first</x:v>
      </x:c>
      <x:c r="B9" s="23" t="n">
        <x:v>5</x:v>
      </x:c>
      <x:c r="C9" s="8" t="n">
        <x:v>-1297.1954684386899</x:v>
      </x:c>
      <x:c r="D9" s="8" t="n">
        <x:v>1649.172917460474</x:v>
      </x:c>
      <x:c r="E9" s="8" t="n">
        <x:v>1627.3412438399998</x:v>
      </x:c>
      <x:c r="F9" s="8" t="n">
        <x:v>240.85886957726524</x:v>
      </x:c>
      <x:c r="G9" s="8" t="n">
        <x:v>388.22315334999996</x:v>
      </x:c>
      <x:c r="H9" s="8" t="n">
        <x:v>0</x:v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9" t="n">
        <x:f>C9+D9-E9-F9-G9-H9-I9+J9-K9-L9</x:f>
        <x:v>-1904.4458177454808</x:v>
      </x:c>
      <x:c r="N9" s="8" t="n">
        <x:v>4179.726445389503</x:v>
      </x:c>
      <x:c r="O9" s="9" t="n">
        <x:f>N9+J9-K9-L9</x:f>
        <x:v>4179.726445389503</x:v>
      </x:c>
      <x:c r="P9" s="8" t="n">
        <x:v>2.6944401357891388</x:v>
      </x:c>
      <x:c r="Q9" s="8" t="n">
        <x:v>9.3749793351324</x:v>
      </x:c>
      <x:c r="R9" s="8" t="n">
        <x:v>2639.678414989503</x:v>
      </x:c>
    </x:row>
    <x:row r="10" ht="60" customHeight="1">
      <x:c r="A10" s="8" t="str">
        <x:v>Liquidity-first</x:v>
      </x:c>
      <x:c r="B10" s="23" t="n">
        <x:v>1</x:v>
      </x:c>
      <x:c r="C10" s="8" t="n">
        <x:v>1002.6765188718298</x:v>
      </x:c>
      <x:c r="D10" s="8" t="n">
        <x:v>2053.235009796471</x:v>
      </x:c>
      <x:c r="E10" s="8" t="n">
        <x:v>1509</x:v>
      </x:c>
      <x:c r="F10" s="8" t="n">
        <x:v>262.86026887580954</x:v>
      </x:c>
      <x:c r="G10" s="8" t="n">
        <x:v>388.22315334999996</x:v>
      </x:c>
      <x:c r="H10" s="8" t="n">
        <x:v>0</x:v>
      </x:c>
      <x:c r="I10" s="8" t="n">
        <x:v>0</x:v>
      </x:c>
      <x:c r="J10" s="8" t="n">
        <x:v>0</x:v>
      </x:c>
      <x:c r="K10" s="8" t="n">
        <x:v>63.19230539308843</x:v>
      </x:c>
      <x:c r="L10" s="8" t="n">
        <x:v>82.63580104940274</x:v>
      </x:c>
      <x:c r="M10" s="9" t="n">
        <x:f>C10+D10-E10-F10-G10-H10-I10+J10-K10-L10</x:f>
        <x:v>750.0000000000001</x:v>
      </x:c>
      <x:c r="N10" s="8" t="n">
        <x:v>4495.595269654422</x:v>
      </x:c>
      <x:c r="O10" s="9" t="n">
        <x:f>N10+J10-K10-L10</x:f>
        <x:v>4349.767163211931</x:v>
      </x:c>
      <x:c r="P10" s="8" t="n">
        <x:v>1.7629672069592837</x:v>
      </x:c>
      <x:c r="Q10" s="8" t="n">
        <x:v>7.767928674548779</x:v>
      </x:c>
      <x:c r="R10" s="8" t="n">
        <x:v>0</x:v>
      </x:c>
    </x:row>
    <x:row r="11" ht="60" customHeight="1">
      <x:c r="A11" s="8" t="str">
        <x:v>Liquidity-first</x:v>
      </x:c>
      <x:c r="B11" s="23" t="n">
        <x:v>2</x:v>
      </x:c>
      <x:c r="C11" s="8" t="n">
        <x:v>750</x:v>
      </x:c>
      <x:c r="D11" s="8" t="n">
        <x:v>1502.9991692967021</x:v>
      </x:c>
      <x:c r="E11" s="8" t="n">
        <x:v>1533.48</x:v>
      </x:c>
      <x:c r="F11" s="8" t="n">
        <x:v>252.76171982483513</x:v>
      </x:c>
      <x:c r="G11" s="8" t="n">
        <x:v>388.22315334999996</x:v>
      </x:c>
      <x:c r="H11" s="8" t="n">
        <x:v>0</x:v>
      </x:c>
      <x:c r="I11" s="8" t="n">
        <x:v>0</x:v>
      </x:c>
      <x:c r="J11" s="8" t="n">
        <x:v>0</x:v>
      </x:c>
      <x:c r="K11" s="8" t="n">
        <x:v>62.377474993088434</x:v>
      </x:c>
      <x:c r="L11" s="8" t="n">
        <x:v>0</x:v>
      </x:c>
      <x:c r="M11" s="9" t="n">
        <x:f>C11+D11-E11-F11-G11-H11-I11+J11-K11-L11</x:f>
        <x:v>16.15682112877878</x:v>
      </x:c>
      <x:c r="N11" s="8" t="n">
        <x:v>4349.76716321193</x:v>
      </x:c>
      <x:c r="O11" s="9" t="n">
        <x:f>N11+J11-K11-L11</x:f>
        <x:v>4287.389688218842</x:v>
      </x:c>
      <x:c r="P11" s="8" t="n">
        <x:v>2.0499531783152958</x:v>
      </x:c>
      <x:c r="Q11" s="8" t="n">
        <x:v>8.243241175301087</x:v>
      </x:c>
      <x:c r="R11" s="8" t="n">
        <x:v>0</x:v>
      </x:c>
    </x:row>
    <x:row r="12" ht="60" customHeight="1">
      <x:c r="A12" s="8" t="str">
        <x:v>Liquidity-first</x:v>
      </x:c>
      <x:c r="B12" s="23" t="n">
        <x:v>3</x:v>
      </x:c>
      <x:c r="C12" s="8" t="n">
        <x:v>16.156821128778546</x:v>
      </x:c>
      <x:c r="D12" s="8" t="n">
        <x:v>1567.5521279768086</x:v>
      </x:c>
      <x:c r="E12" s="8" t="n">
        <x:v>1564.1496</x:v>
      </x:c>
      <x:c r="F12" s="8" t="n">
        <x:v>248.48352938491894</x:v>
      </x:c>
      <x:c r="G12" s="8" t="n">
        <x:v>388.22315334999996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9" t="n">
        <x:f>C12+D12-E12-F12-G12-H12-I12+J12-K12-L12</x:f>
        <x:v>-617.1473336293317</x:v>
      </x:c>
      <x:c r="N12" s="8" t="n">
        <x:v>4287.389688218842</x:v>
      </x:c>
      <x:c r="O12" s="9" t="n">
        <x:f>N12+J12-K12-L12</x:f>
        <x:v>4287.389688218842</x:v>
      </x:c>
      <x:c r="P12" s="8" t="n">
        <x:v>2.2557401579950502</x:v>
      </x:c>
      <x:c r="Q12" s="8" t="n">
        <x:v>8.750066204025673</x:v>
      </x:c>
      <x:c r="R12" s="8" t="n">
        <x:v>61.526792055488436</x:v>
      </x:c>
    </x:row>
    <x:row r="13" ht="60" customHeight="1">
      <x:c r="A13" s="8" t="str">
        <x:v>Liquidity-first</x:v>
      </x:c>
      <x:c r="B13" s="23" t="n">
        <x:v>4</x:v>
      </x:c>
      <x:c r="C13" s="8" t="n">
        <x:v>-617.1473336293317</x:v>
      </x:c>
      <x:c r="D13" s="8" t="n">
        <x:v>1621.601359477665</x:v>
      </x:c>
      <x:c r="E13" s="8" t="n">
        <x:v>1595.432592</x:v>
      </x:c>
      <x:c r="F13" s="8" t="n">
        <x:v>248.48352938491894</x:v>
      </x:c>
      <x:c r="G13" s="8" t="n">
        <x:v>388.22315334999996</x:v>
      </x:c>
      <x:c r="H13" s="8" t="n">
        <x:v>0</x:v>
      </x:c>
      <x:c r="I13" s="8" t="n">
        <x:v>0</x:v>
      </x:c>
      <x:c r="J13" s="8" t="n">
        <x:v>0</x:v>
      </x:c>
      <x:c r="K13" s="8" t="n">
        <x:v>0</x:v>
      </x:c>
      <x:c r="L13" s="8" t="n">
        <x:v>0</x:v>
      </x:c>
      <x:c r="M13" s="9" t="n">
        <x:f>C13+D13-E13-F13-G13-H13-I13+J13-K13-L13</x:f>
        <x:v>-1227.6852488865857</x:v>
      </x:c>
      <x:c r="N13" s="8" t="n">
        <x:v>4287.389688218842</x:v>
      </x:c>
      <x:c r="O13" s="9" t="n">
        <x:f>N13+J13-K13-L13</x:f>
        <x:v>4287.389688218842</x:v>
      </x:c>
      <x:c r="P13" s="8" t="n">
        <x:v>2.4890529367754985</x:v>
      </x:c>
      <x:c r="Q13" s="8" t="n">
        <x:v>8.917018704890616</x:v>
      </x:c>
      <x:c r="R13" s="8" t="n">
        <x:v>61.276792055488436</x:v>
      </x:c>
    </x:row>
    <x:row r="14" ht="60" customHeight="1">
      <x:c r="A14" s="8" t="str">
        <x:v>Liquidity-first</x:v>
      </x:c>
      <x:c r="B14" s="23" t="n">
        <x:v>5</x:v>
      </x:c>
      <x:c r="C14" s="8" t="n">
        <x:v>-1227.6852488865857</x:v>
      </x:c>
      <x:c r="D14" s="8" t="n">
        <x:v>1651.2315756085404</x:v>
      </x:c>
      <x:c r="E14" s="8" t="n">
        <x:v>1627.3412438399998</x:v>
      </x:c>
      <x:c r="F14" s="8" t="n">
        <x:v>248.48352938491894</x:v>
      </x:c>
      <x:c r="G14" s="8" t="n">
        <x:v>388.22315334999996</x:v>
      </x:c>
      <x:c r="H14" s="8" t="n">
        <x:v>0</x:v>
      </x:c>
      <x:c r="I14" s="8" t="n">
        <x:v>0</x:v>
      </x:c>
      <x:c r="J14" s="8" t="n">
        <x:v>0</x:v>
      </x:c>
      <x:c r="K14" s="8" t="n">
        <x:v>0</x:v>
      </x:c>
      <x:c r="L14" s="8" t="n">
        <x:v>0</x:v>
      </x:c>
      <x:c r="M14" s="9" t="n">
        <x:f>C14+D14-E14-F14-G14-H14-I14+J14-K14-L14</x:f>
        <x:v>-1840.5015998529639</x:v>
      </x:c>
      <x:c r="N14" s="8" t="n">
        <x:v>4287.389688218842</x:v>
      </x:c>
      <x:c r="O14" s="9" t="n">
        <x:f>N14+J14-K14-L14</x:f>
        <x:v>4287.389688218842</x:v>
      </x:c>
      <x:c r="P14" s="8" t="n">
        <x:v>2.7138015690938952</x:v>
      </x:c>
      <x:c r="Q14" s="8" t="n">
        <x:v>9.087310255772863</x:v>
      </x:c>
      <x:c r="R14" s="8" t="n">
        <x:v>2750.884544481242</x:v>
      </x:c>
    </x:row>
    <x:row r="15" ht="60" customHeight="1">
      <x:c r="A15" s="8" t="str">
        <x:v>Mixed consideration</x:v>
      </x:c>
      <x:c r="B15" s="23" t="n">
        <x:v>1</x:v>
      </x:c>
      <x:c r="C15" s="8" t="n">
        <x:v>750</x:v>
      </x:c>
      <x:c r="D15" s="8" t="n">
        <x:v>2026.2465136696571</x:v>
      </x:c>
      <x:c r="E15" s="8" t="n">
        <x:v>1509</x:v>
      </x:c>
      <x:c r="F15" s="8" t="n">
        <x:v>162.90287581353596</x:v>
      </x:c>
      <x:c r="G15" s="8" t="n">
        <x:v>388.22315334999996</x:v>
      </x:c>
      <x:c r="H15" s="8" t="n">
        <x:v>0</x:v>
      </x:c>
      <x:c r="I15" s="8" t="n">
        <x:v>0</x:v>
      </x:c>
      <x:c r="J15" s="8" t="n">
        <x:v>0</x:v>
      </x:c>
      <x:c r="K15" s="8" t="n">
        <x:v>34.63305023243884</x:v>
      </x:c>
      <x:c r="L15" s="8" t="n">
        <x:v>0</x:v>
      </x:c>
      <x:c r="M15" s="9" t="n">
        <x:f>C15+D15-E15-F15-G15-H15-I15+J15-K15-L15</x:f>
        <x:v>681.4874342736827</x:v>
      </x:c>
      <x:c r="N15" s="8" t="n">
        <x:v>3067.6325116219423</x:v>
      </x:c>
      <x:c r="O15" s="9" t="n">
        <x:f>N15+J15-K15-L15</x:f>
        <x:v>3032.9994613895033</x:v>
      </x:c>
      <x:c r="P15" s="8" t="n">
        <x:v>1.1516407596975111</x:v>
      </x:c>
      <x:c r="Q15" s="8" t="n">
        <x:v>12.534338696004399</x:v>
      </x:c>
      <x:c r="R15" s="8" t="n">
        <x:v>0</x:v>
      </x:c>
    </x:row>
    <x:row r="16" ht="60" customHeight="1">
      <x:c r="A16" s="8" t="str">
        <x:v>Mixed consideration</x:v>
      </x:c>
      <x:c r="B16" s="23" t="n">
        <x:v>2</x:v>
      </x:c>
      <x:c r="C16" s="8" t="n">
        <x:v>681.4874342736824</x:v>
      </x:c>
      <x:c r="D16" s="8" t="n">
        <x:v>1478.1122597322583</x:v>
      </x:c>
      <x:c r="E16" s="8" t="n">
        <x:v>1533.48</x:v>
      </x:c>
      <x:c r="F16" s="8" t="n">
        <x:v>160.58798069726524</x:v>
      </x:c>
      <x:c r="G16" s="8" t="n">
        <x:v>388.22315334999996</x:v>
      </x:c>
      <x:c r="H16" s="8" t="n">
        <x:v>0</x:v>
      </x:c>
      <x:c r="I16" s="8" t="n">
        <x:v>0</x:v>
      </x:c>
      <x:c r="J16" s="8" t="n">
        <x:v>0</x:v>
      </x:c>
      <x:c r="K16" s="8" t="n">
        <x:v>33.81821983243884</x:v>
      </x:c>
      <x:c r="L16" s="8" t="n">
        <x:v>0</x:v>
      </x:c>
      <x:c r="M16" s="9" t="n">
        <x:f>C16+D16-E16-F16-G16-H16-I16+J16-K16-L16</x:f>
        <x:v>43.49034012623673</x:v>
      </x:c>
      <x:c r="N16" s="8" t="n">
        <x:v>3032.9994613895033</x:v>
      </x:c>
      <x:c r="O16" s="9" t="n">
        <x:f>N16+J16-K16-L16</x:f>
        <x:v>2999.1812415570644</x:v>
      </x:c>
      <x:c r="P16" s="8" t="n">
        <x:v>1.4185665230736215</x:v>
      </x:c>
      <x:c r="Q16" s="8" t="n">
        <x:v>12.97466851101317</x:v>
      </x:c>
      <x:c r="R16" s="8" t="n">
        <x:v>0</x:v>
      </x:c>
    </x:row>
    <x:row r="17" ht="60" customHeight="1">
      <x:c r="A17" s="8" t="str">
        <x:v>Mixed consideration</x:v>
      </x:c>
      <x:c r="B17" s="23" t="n">
        <x:v>3</x:v>
      </x:c>
      <x:c r="C17" s="8" t="n">
        <x:v>43.49034012623661</x:v>
      </x:c>
      <x:c r="D17" s="8" t="n">
        <x:v>1543.204988334901</x:v>
      </x:c>
      <x:c r="E17" s="8" t="n">
        <x:v>1564.1496</x:v>
      </x:c>
      <x:c r="F17" s="8" t="n">
        <x:v>158.30893811859454</x:v>
      </x:c>
      <x:c r="G17" s="8" t="n">
        <x:v>388.22315334999996</x:v>
      </x:c>
      <x:c r="H17" s="8" t="n">
        <x:v>0</x:v>
      </x:c>
      <x:c r="I17" s="8" t="n">
        <x:v>0</x:v>
      </x:c>
      <x:c r="J17" s="8" t="n">
        <x:v>0</x:v>
      </x:c>
      <x:c r="K17" s="8" t="n">
        <x:v>0</x:v>
      </x:c>
      <x:c r="L17" s="8" t="n">
        <x:v>0</x:v>
      </x:c>
      <x:c r="M17" s="9" t="n">
        <x:f>C17+D17-E17-F17-G17-H17-I17+J17-K17-L17</x:f>
        <x:v>-523.9863630074569</x:v>
      </x:c>
      <x:c r="N17" s="8" t="n">
        <x:v>2999.1812415570644</x:v>
      </x:c>
      <x:c r="O17" s="9" t="n">
        <x:f>N17+J17-K17-L17</x:f>
        <x:v>2999.1812415570644</x:v>
      </x:c>
      <x:c r="P17" s="8" t="n">
        <x:v>1.6204079230232051</x:v>
      </x:c>
      <x:c r="Q17" s="8" t="n">
        <x:v>13.734204515345796</x:v>
      </x:c>
      <x:c r="R17" s="8" t="n">
        <x:v>32.967536894838844</x:v>
      </x:c>
    </x:row>
    <x:row r="18" ht="60" customHeight="1">
      <x:c r="A18" s="8" t="str">
        <x:v>Mixed consideration</x:v>
      </x:c>
      <x:c r="B18" s="23" t="n">
        <x:v>4</x:v>
      </x:c>
      <x:c r="C18" s="8" t="n">
        <x:v>-523.9863630074569</x:v>
      </x:c>
      <x:c r="D18" s="8" t="n">
        <x:v>1597.2542198357576</x:v>
      </x:c>
      <x:c r="E18" s="8" t="n">
        <x:v>1595.432592</x:v>
      </x:c>
      <x:c r="F18" s="8" t="n">
        <x:v>158.30893811859454</x:v>
      </x:c>
      <x:c r="G18" s="8" t="n">
        <x:v>388.22315334999996</x:v>
      </x:c>
      <x:c r="H18" s="8" t="n">
        <x:v>0</x:v>
      </x:c>
      <x:c r="I18" s="8" t="n">
        <x:v>0</x:v>
      </x:c>
      <x:c r="J18" s="8" t="n">
        <x:v>0</x:v>
      </x:c>
      <x:c r="K18" s="8" t="n">
        <x:v>0</x:v>
      </x:c>
      <x:c r="L18" s="8" t="n">
        <x:v>0</x:v>
      </x:c>
      <x:c r="M18" s="9" t="n">
        <x:f>C18+D18-E18-F18-G18-H18-I18+J18-K18-L18</x:f>
        <x:v>-1068.6968266402941</x:v>
      </x:c>
      <x:c r="N18" s="8" t="n">
        <x:v>2999.1812415570644</x:v>
      </x:c>
      <x:c r="O18" s="9" t="n">
        <x:f>N18+J18-K18-L18</x:f>
        <x:v>2999.1812415570644</x:v>
      </x:c>
      <x:c r="P18" s="8" t="n">
        <x:v>1.8359068494190653</x:v>
      </x:c>
      <x:c r="Q18" s="8" t="n">
        <x:v>13.996255080194397</x:v>
      </x:c>
      <x:c r="R18" s="8" t="n">
        <x:v>32.717536894838844</x:v>
      </x:c>
    </x:row>
    <x:row r="19" ht="60" customHeight="1">
      <x:c r="A19" s="8" t="str">
        <x:v>Mixed consideration</x:v>
      </x:c>
      <x:c r="B19" s="23" t="n">
        <x:v>5</x:v>
      </x:c>
      <x:c r="C19" s="8" t="n">
        <x:v>-1068.696826640294</x:v>
      </x:c>
      <x:c r="D19" s="8" t="n">
        <x:v>1626.884435966633</x:v>
      </x:c>
      <x:c r="E19" s="8" t="n">
        <x:v>1627.3412438399998</x:v>
      </x:c>
      <x:c r="F19" s="8" t="n">
        <x:v>158.30893811859454</x:v>
      </x:c>
      <x:c r="G19" s="8" t="n">
        <x:v>388.22315334999996</x:v>
      </x:c>
      <x:c r="H19" s="8" t="n">
        <x:v>0</x:v>
      </x:c>
      <x:c r="I19" s="8" t="n">
        <x:v>0</x:v>
      </x:c>
      <x:c r="J19" s="8" t="n">
        <x:v>0</x:v>
      </x:c>
      <x:c r="K19" s="8" t="n">
        <x:v>0</x:v>
      </x:c>
      <x:c r="L19" s="8" t="n">
        <x:v>0</x:v>
      </x:c>
      <x:c r="M19" s="9" t="n">
        <x:f>C19+D19-E19-F19-G19-H19-I19+J19-K19-L19</x:f>
        <x:v>-1615.6857259822555</x:v>
      </x:c>
      <x:c r="N19" s="8" t="n">
        <x:v>2999.1812415570644</x:v>
      </x:c>
      <x:c r="O19" s="9" t="n">
        <x:f>N19+J19-K19-L19</x:f>
        <x:v>2999.1812415570644</x:v>
      </x:c>
      <x:c r="P19" s="8" t="n">
        <x:v>2.043742721422939</x:v>
      </x:c>
      <x:c r="Q19" s="8" t="n">
        <x:v>14.263546656339976</x:v>
      </x:c>
      <x:c r="R19" s="8" t="n">
        <x:v>1462.6760978194645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2" ht="42" customHeight="1">
      <x:c r="A2" s="5" t="str">
        <x:v>PUBLIC INFORMATION | Public instruments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42" customHeight="1">
      <x:c r="A3" s="4" t="str">
        <x:v>Conditional model snapshots; strict recommendation remains blocked. USD millions unless stated.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42" customHeight="1">
      <x:c r="A4" s="7" t="str">
        <x:v>Structure</x:v>
      </x:c>
      <x:c r="B4" s="7" t="str">
        <x:v>Instrument</x:v>
      </x:c>
      <x:c r="C4" s="7" t="str">
        <x:v>Year</x:v>
      </x:c>
      <x:c r="D4" s="7" t="str">
        <x:v>Opening principal</x:v>
      </x:c>
      <x:c r="E4" s="7" t="str">
        <x:v>Rate (fraction)</x:v>
      </x:c>
      <x:c r="F4" s="7" t="str">
        <x:v>Interest</x:v>
      </x:c>
      <x:c r="G4" s="7" t="str">
        <x:v>Mandatory due</x:v>
      </x:c>
      <x:c r="H4" s="7" t="str">
        <x:v>Mandatory paid</x:v>
      </x:c>
      <x:c r="I4" s="7" t="str">
        <x:v>Optional paid</x:v>
      </x:c>
      <x:c r="J4" s="7" t="str">
        <x:v>Draw</x:v>
      </x:c>
      <x:c r="K4" s="7" t="str">
        <x:v>Refinanced</x:v>
      </x:c>
      <x:c r="L4" s="7" t="str">
        <x:v>Closing principal</x:v>
      </x:c>
    </x:row>
    <x:row r="5" ht="60" customHeight="1">
      <x:c r="A5" s="8" t="str">
        <x:v>Cash-first</x:v>
      </x:c>
      <x:c r="B5" s="8" t="str">
        <x:v>DKS notes 2032</x:v>
      </x:c>
      <x:c r="C5" s="23" t="n">
        <x:v>1</x:v>
      </x:c>
      <x:c r="D5" s="8" t="n">
        <x:v>750</x:v>
      </x:c>
      <x:c r="E5" s="22" t="n">
        <x:v>0.0315</x:v>
      </x:c>
      <x:c r="F5" s="8" t="n">
        <x:v>23.625</x:v>
      </x:c>
      <x:c r="G5" s="8" t="n">
        <x:v>0</x:v>
      </x:c>
      <x:c r="H5" s="8" t="n">
        <x:v>0</x:v>
      </x:c>
      <x:c r="I5" s="8" t="n">
        <x:v>0</x:v>
      </x:c>
      <x:c r="J5" s="8" t="n">
        <x:v>0</x:v>
      </x:c>
      <x:c r="K5" s="8" t="n">
        <x:v>0</x:v>
      </x:c>
      <x:c r="L5" s="9" t="n">
        <x:f>D5+J5-H5-I5-K5</x:f>
        <x:v>750</x:v>
      </x:c>
    </x:row>
    <x:row r="6" ht="60" customHeight="1">
      <x:c r="A6" s="8" t="str">
        <x:v>Cash-first</x:v>
      </x:c>
      <x:c r="B6" s="8" t="str">
        <x:v>DKS notes 2052</x:v>
      </x:c>
      <x:c r="C6" s="23" t="n">
        <x:v>1</x:v>
      </x:c>
      <x:c r="D6" s="8" t="n">
        <x:v>750</x:v>
      </x:c>
      <x:c r="E6" s="22" t="n">
        <x:v>0.041</x:v>
      </x:c>
      <x:c r="F6" s="8" t="n">
        <x:v>30.75</x:v>
      </x:c>
      <x:c r="G6" s="8" t="n">
        <x:v>0</x:v>
      </x:c>
      <x:c r="H6" s="8" t="n">
        <x:v>0</x:v>
      </x:c>
      <x:c r="I6" s="8" t="n">
        <x:v>0</x:v>
      </x:c>
      <x:c r="J6" s="8" t="n">
        <x:v>0</x:v>
      </x:c>
      <x:c r="K6" s="8" t="n">
        <x:v>0</x:v>
      </x:c>
      <x:c r="L6" s="9" t="n">
        <x:f>D6+J6-H6-I6-K6</x:f>
        <x:v>750</x:v>
      </x:c>
    </x:row>
    <x:row r="7" ht="60" customHeight="1">
      <x:c r="A7" s="8" t="str">
        <x:v>Cash-first</x:v>
      </x:c>
      <x:c r="B7" s="8" t="str">
        <x:v>FL aggregate finance leases</x:v>
      </x:c>
      <x:c r="C7" s="23" t="n">
        <x:v>1</x:v>
      </x:c>
      <x:c r="D7" s="8" t="n">
        <x:v>46.4</x:v>
      </x:c>
      <x:c r="E7" s="22" t="n">
        <x:v>0.044</x:v>
      </x:c>
      <x:c r="F7" s="8" t="n">
        <x:v>2.0416</x:v>
      </x:c>
      <x:c r="G7" s="8" t="n">
        <x:v>4.2084</x:v>
      </x:c>
      <x:c r="H7" s="8" t="n">
        <x:v>4.2084</x:v>
      </x:c>
      <x:c r="I7" s="8" t="n">
        <x:v>0</x:v>
      </x:c>
      <x:c r="J7" s="8" t="n">
        <x:v>0</x:v>
      </x:c>
      <x:c r="K7" s="8" t="n">
        <x:v>0</x:v>
      </x:c>
      <x:c r="L7" s="9" t="n">
        <x:f>D7+J7-H7-I7-K7</x:f>
        <x:v>42.1916</x:v>
      </x:c>
    </x:row>
    <x:row r="8" ht="60" customHeight="1">
      <x:c r="A8" s="8" t="str">
        <x:v>Cash-first</x:v>
      </x:c>
      <x:c r="B8" s="8" t="str">
        <x:v>Acquisition term</x:v>
      </x:c>
      <x:c r="C8" s="23" t="n">
        <x:v>1</x:v>
      </x:c>
      <x:c r="D8" s="8" t="n">
        <x:v>2691.362087132146</x:v>
      </x:c>
      <x:c r="E8" s="22" t="n">
        <x:v>0.07</x:v>
      </x:c>
      <x:c r="F8" s="8" t="n">
        <x:v>188.39534609925022</x:v>
      </x:c>
      <x:c r="G8" s="8" t="n">
        <x:v>53.82724174264292</x:v>
      </x:c>
      <x:c r="H8" s="8" t="n">
        <x:v>53.82724174264292</x:v>
      </x:c>
      <x:c r="I8" s="8" t="n">
        <x:v>0</x:v>
      </x:c>
      <x:c r="J8" s="8" t="n">
        <x:v>0</x:v>
      </x:c>
      <x:c r="K8" s="8" t="n">
        <x:v>0</x:v>
      </x:c>
      <x:c r="L8" s="9" t="n">
        <x:f>D8+J8-H8-I8-K8</x:f>
        <x:v>2637.534845389503</x:v>
      </x:c>
    </x:row>
    <x:row r="9" ht="60" customHeight="1">
      <x:c r="A9" s="8" t="str">
        <x:v>Cash-first</x:v>
      </x:c>
      <x:c r="B9" s="8" t="str">
        <x:v>No facility (zero placeholder)</x:v>
      </x:c>
      <x:c r="C9" s="23" t="n">
        <x:v>1</x:v>
      </x:c>
      <x:c r="D9" s="8" t="n">
        <x:v>0</x:v>
      </x:c>
      <x:c r="E9" s="22" t="n">
        <x:v>0.045</x:v>
      </x:c>
      <x:c r="F9" s="8" t="n">
        <x:v>0</x:v>
      </x:c>
      <x:c r="G9" s="8" t="n">
        <x:v>0</x:v>
      </x:c>
      <x:c r="H9" s="8" t="n">
        <x:v>0</x:v>
      </x:c>
      <x:c r="I9" s="8" t="n">
        <x:v>0</x:v>
      </x:c>
      <x:c r="J9" s="8" t="n">
        <x:v>0</x:v>
      </x:c>
      <x:c r="K9" s="8" t="n">
        <x:v>0</x:v>
      </x:c>
      <x:c r="L9" s="9" t="n">
        <x:f>D9+J9-H9-I9-K9</x:f>
        <x:v>0</x:v>
      </x:c>
    </x:row>
    <x:row r="10" ht="60" customHeight="1">
      <x:c r="A10" s="8" t="str">
        <x:v>Cash-first</x:v>
      </x:c>
      <x:c r="B10" s="8" t="str">
        <x:v>DKS notes 2032</x:v>
      </x:c>
      <x:c r="C10" s="23" t="n">
        <x:v>2</x:v>
      </x:c>
      <x:c r="D10" s="8" t="n">
        <x:v>750</x:v>
      </x:c>
      <x:c r="E10" s="22" t="n">
        <x:v>0.0315</x:v>
      </x:c>
      <x:c r="F10" s="8" t="n">
        <x:v>23.625</x:v>
      </x:c>
      <x:c r="G10" s="8" t="n">
        <x:v>0</x:v>
      </x:c>
      <x:c r="H10" s="8" t="n">
        <x:v>0</x:v>
      </x:c>
      <x:c r="I10" s="8" t="n">
        <x:v>0</x:v>
      </x:c>
      <x:c r="J10" s="8" t="n">
        <x:v>0</x:v>
      </x:c>
      <x:c r="K10" s="8" t="n">
        <x:v>0</x:v>
      </x:c>
      <x:c r="L10" s="9" t="n">
        <x:f>D10+J10-H10-I10-K10</x:f>
        <x:v>750</x:v>
      </x:c>
    </x:row>
    <x:row r="11" ht="60" customHeight="1">
      <x:c r="A11" s="8" t="str">
        <x:v>Cash-first</x:v>
      </x:c>
      <x:c r="B11" s="8" t="str">
        <x:v>DKS notes 2052</x:v>
      </x:c>
      <x:c r="C11" s="23" t="n">
        <x:v>2</x:v>
      </x:c>
      <x:c r="D11" s="8" t="n">
        <x:v>750</x:v>
      </x:c>
      <x:c r="E11" s="22" t="n">
        <x:v>0.041</x:v>
      </x:c>
      <x:c r="F11" s="8" t="n">
        <x:v>30.75</x:v>
      </x:c>
      <x:c r="G11" s="8" t="n">
        <x:v>0</x:v>
      </x:c>
      <x:c r="H11" s="8" t="n">
        <x:v>0</x:v>
      </x:c>
      <x:c r="I11" s="8" t="n">
        <x:v>0</x:v>
      </x:c>
      <x:c r="J11" s="8" t="n">
        <x:v>0</x:v>
      </x:c>
      <x:c r="K11" s="8" t="n">
        <x:v>0</x:v>
      </x:c>
      <x:c r="L11" s="9" t="n">
        <x:f>D11+J11-H11-I11-K11</x:f>
        <x:v>750</x:v>
      </x:c>
    </x:row>
    <x:row r="12" ht="60" customHeight="1">
      <x:c r="A12" s="8" t="str">
        <x:v>Cash-first</x:v>
      </x:c>
      <x:c r="B12" s="8" t="str">
        <x:v>FL aggregate finance leases</x:v>
      </x:c>
      <x:c r="C12" s="23" t="n">
        <x:v>2</x:v>
      </x:c>
      <x:c r="D12" s="8" t="n">
        <x:v>42.1916</x:v>
      </x:c>
      <x:c r="E12" s="22" t="n">
        <x:v>0.044</x:v>
      </x:c>
      <x:c r="F12" s="8" t="n">
        <x:v>1.8564304</x:v>
      </x:c>
      <x:c r="G12" s="8" t="n">
        <x:v>3.3935696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9" t="n">
        <x:f>D12+J12-H12-I12-K12</x:f>
        <x:v>42.1916</x:v>
      </x:c>
    </x:row>
    <x:row r="13" ht="60" customHeight="1">
      <x:c r="A13" s="8" t="str">
        <x:v>Cash-first</x:v>
      </x:c>
      <x:c r="B13" s="8" t="str">
        <x:v>Acquisition term</x:v>
      </x:c>
      <x:c r="C13" s="23" t="n">
        <x:v>2</x:v>
      </x:c>
      <x:c r="D13" s="8" t="n">
        <x:v>2637.534845389503</x:v>
      </x:c>
      <x:c r="E13" s="22" t="n">
        <x:v>0.07</x:v>
      </x:c>
      <x:c r="F13" s="8" t="n">
        <x:v>184.62743917726525</x:v>
      </x:c>
      <x:c r="G13" s="8" t="n">
        <x:v>53.82724174264292</x:v>
      </x:c>
      <x:c r="H13" s="8" t="n">
        <x:v>0</x:v>
      </x:c>
      <x:c r="I13" s="8" t="n">
        <x:v>0</x:v>
      </x:c>
      <x:c r="J13" s="8" t="n">
        <x:v>0</x:v>
      </x:c>
      <x:c r="K13" s="8" t="n">
        <x:v>0</x:v>
      </x:c>
      <x:c r="L13" s="9" t="n">
        <x:f>D13+J13-H13-I13-K13</x:f>
        <x:v>2637.534845389503</x:v>
      </x:c>
    </x:row>
    <x:row r="14" ht="60" customHeight="1">
      <x:c r="A14" s="8" t="str">
        <x:v>Cash-first</x:v>
      </x:c>
      <x:c r="B14" s="8" t="str">
        <x:v>No facility (zero placeholder)</x:v>
      </x:c>
      <x:c r="C14" s="23" t="n">
        <x:v>2</x:v>
      </x:c>
      <x:c r="D14" s="8" t="n">
        <x:v>0</x:v>
      </x:c>
      <x:c r="E14" s="22" t="n">
        <x:v>0.045</x:v>
      </x:c>
      <x:c r="F14" s="8" t="n">
        <x:v>0</x:v>
      </x:c>
      <x:c r="G14" s="8" t="n">
        <x:v>0</x:v>
      </x:c>
      <x:c r="H14" s="8" t="n">
        <x:v>0</x:v>
      </x:c>
      <x:c r="I14" s="8" t="n">
        <x:v>0</x:v>
      </x:c>
      <x:c r="J14" s="8" t="n">
        <x:v>0</x:v>
      </x:c>
      <x:c r="K14" s="8" t="n">
        <x:v>0</x:v>
      </x:c>
      <x:c r="L14" s="9" t="n">
        <x:f>D14+J14-H14-I14-K14</x:f>
        <x:v>0</x:v>
      </x:c>
    </x:row>
    <x:row r="15" ht="60" customHeight="1">
      <x:c r="A15" s="8" t="str">
        <x:v>Cash-first</x:v>
      </x:c>
      <x:c r="B15" s="8" t="str">
        <x:v>DKS notes 2032</x:v>
      </x:c>
      <x:c r="C15" s="23" t="n">
        <x:v>3</x:v>
      </x:c>
      <x:c r="D15" s="8" t="n">
        <x:v>750</x:v>
      </x:c>
      <x:c r="E15" s="22" t="n">
        <x:v>0.0315</x:v>
      </x:c>
      <x:c r="F15" s="8" t="n">
        <x:v>23.625</x:v>
      </x:c>
      <x:c r="G15" s="8" t="n">
        <x:v>0</x:v>
      </x:c>
      <x:c r="H15" s="8" t="n">
        <x:v>0</x:v>
      </x:c>
      <x:c r="I15" s="8" t="n">
        <x:v>0</x:v>
      </x:c>
      <x:c r="J15" s="8" t="n">
        <x:v>0</x:v>
      </x:c>
      <x:c r="K15" s="8" t="n">
        <x:v>0</x:v>
      </x:c>
      <x:c r="L15" s="9" t="n">
        <x:f>D15+J15-H15-I15-K15</x:f>
        <x:v>750</x:v>
      </x:c>
    </x:row>
    <x:row r="16" ht="60" customHeight="1">
      <x:c r="A16" s="8" t="str">
        <x:v>Cash-first</x:v>
      </x:c>
      <x:c r="B16" s="8" t="str">
        <x:v>DKS notes 2052</x:v>
      </x:c>
      <x:c r="C16" s="23" t="n">
        <x:v>3</x:v>
      </x:c>
      <x:c r="D16" s="8" t="n">
        <x:v>750</x:v>
      </x:c>
      <x:c r="E16" s="22" t="n">
        <x:v>0.041</x:v>
      </x:c>
      <x:c r="F16" s="8" t="n">
        <x:v>30.75</x:v>
      </x:c>
      <x:c r="G16" s="8" t="n">
        <x:v>0</x:v>
      </x:c>
      <x:c r="H16" s="8" t="n">
        <x:v>0</x:v>
      </x:c>
      <x:c r="I16" s="8" t="n">
        <x:v>0</x:v>
      </x:c>
      <x:c r="J16" s="8" t="n">
        <x:v>0</x:v>
      </x:c>
      <x:c r="K16" s="8" t="n">
        <x:v>0</x:v>
      </x:c>
      <x:c r="L16" s="9" t="n">
        <x:f>D16+J16-H16-I16-K16</x:f>
        <x:v>750</x:v>
      </x:c>
    </x:row>
    <x:row r="17" ht="60" customHeight="1">
      <x:c r="A17" s="8" t="str">
        <x:v>Cash-first</x:v>
      </x:c>
      <x:c r="B17" s="8" t="str">
        <x:v>FL aggregate finance leases</x:v>
      </x:c>
      <x:c r="C17" s="23" t="n">
        <x:v>3</x:v>
      </x:c>
      <x:c r="D17" s="8" t="n">
        <x:v>42.1916</x:v>
      </x:c>
      <x:c r="E17" s="22" t="n">
        <x:v>0.044</x:v>
      </x:c>
      <x:c r="F17" s="8" t="n">
        <x:v>1.8564304</x:v>
      </x:c>
      <x:c r="G17" s="8" t="n">
        <x:v>2.3935696</x:v>
      </x:c>
      <x:c r="H17" s="8" t="n">
        <x:v>0</x:v>
      </x:c>
      <x:c r="I17" s="8" t="n">
        <x:v>0</x:v>
      </x:c>
      <x:c r="J17" s="8" t="n">
        <x:v>0</x:v>
      </x:c>
      <x:c r="K17" s="8" t="n">
        <x:v>0</x:v>
      </x:c>
      <x:c r="L17" s="9" t="n">
        <x:f>D17+J17-H17-I17-K17</x:f>
        <x:v>42.1916</x:v>
      </x:c>
    </x:row>
    <x:row r="18" ht="60" customHeight="1">
      <x:c r="A18" s="8" t="str">
        <x:v>Cash-first</x:v>
      </x:c>
      <x:c r="B18" s="8" t="str">
        <x:v>Acquisition term</x:v>
      </x:c>
      <x:c r="C18" s="23" t="n">
        <x:v>3</x:v>
      </x:c>
      <x:c r="D18" s="8" t="n">
        <x:v>2637.534845389503</x:v>
      </x:c>
      <x:c r="E18" s="22" t="n">
        <x:v>0.07</x:v>
      </x:c>
      <x:c r="F18" s="8" t="n">
        <x:v>184.62743917726525</x:v>
      </x:c>
      <x:c r="G18" s="8" t="n">
        <x:v>53.82724174264292</x:v>
      </x:c>
      <x:c r="H18" s="8" t="n">
        <x:v>0</x:v>
      </x:c>
      <x:c r="I18" s="8" t="n">
        <x:v>0</x:v>
      </x:c>
      <x:c r="J18" s="8" t="n">
        <x:v>0</x:v>
      </x:c>
      <x:c r="K18" s="8" t="n">
        <x:v>0</x:v>
      </x:c>
      <x:c r="L18" s="9" t="n">
        <x:f>D18+J18-H18-I18-K18</x:f>
        <x:v>2637.534845389503</x:v>
      </x:c>
    </x:row>
    <x:row r="19" ht="60" customHeight="1">
      <x:c r="A19" s="8" t="str">
        <x:v>Cash-first</x:v>
      </x:c>
      <x:c r="B19" s="8" t="str">
        <x:v>No facility (zero placeholder)</x:v>
      </x:c>
      <x:c r="C19" s="23" t="n">
        <x:v>3</x:v>
      </x:c>
      <x:c r="D19" s="8" t="n">
        <x:v>0</x:v>
      </x:c>
      <x:c r="E19" s="22" t="n">
        <x:v>0.045</x:v>
      </x:c>
      <x:c r="F19" s="8" t="n">
        <x:v>0</x:v>
      </x:c>
      <x:c r="G19" s="8" t="n">
        <x:v>0</x:v>
      </x:c>
      <x:c r="H19" s="8" t="n">
        <x:v>0</x:v>
      </x:c>
      <x:c r="I19" s="8" t="n">
        <x:v>0</x:v>
      </x:c>
      <x:c r="J19" s="8" t="n">
        <x:v>0</x:v>
      </x:c>
      <x:c r="K19" s="8" t="n">
        <x:v>0</x:v>
      </x:c>
      <x:c r="L19" s="9" t="n">
        <x:f>D19+J19-H19-I19-K19</x:f>
        <x:v>0</x:v>
      </x:c>
    </x:row>
    <x:row r="20" ht="60" customHeight="1">
      <x:c r="A20" s="8" t="str">
        <x:v>Cash-first</x:v>
      </x:c>
      <x:c r="B20" s="8" t="str">
        <x:v>DKS notes 2032</x:v>
      </x:c>
      <x:c r="C20" s="23" t="n">
        <x:v>4</x:v>
      </x:c>
      <x:c r="D20" s="8" t="n">
        <x:v>750</x:v>
      </x:c>
      <x:c r="E20" s="22" t="n">
        <x:v>0.0315</x:v>
      </x:c>
      <x:c r="F20" s="8" t="n">
        <x:v>23.625</x:v>
      </x:c>
      <x:c r="G20" s="8" t="n">
        <x:v>0</x:v>
      </x:c>
      <x:c r="H20" s="8" t="n">
        <x:v>0</x:v>
      </x:c>
      <x:c r="I20" s="8" t="n">
        <x:v>0</x:v>
      </x:c>
      <x:c r="J20" s="8" t="n">
        <x:v>0</x:v>
      </x:c>
      <x:c r="K20" s="8" t="n">
        <x:v>0</x:v>
      </x:c>
      <x:c r="L20" s="9" t="n">
        <x:f>D20+J20-H20-I20-K20</x:f>
        <x:v>750</x:v>
      </x:c>
    </x:row>
    <x:row r="21" ht="60" customHeight="1">
      <x:c r="A21" s="8" t="str">
        <x:v>Cash-first</x:v>
      </x:c>
      <x:c r="B21" s="8" t="str">
        <x:v>DKS notes 2052</x:v>
      </x:c>
      <x:c r="C21" s="23" t="n">
        <x:v>4</x:v>
      </x:c>
      <x:c r="D21" s="8" t="n">
        <x:v>750</x:v>
      </x:c>
      <x:c r="E21" s="22" t="n">
        <x:v>0.041</x:v>
      </x:c>
      <x:c r="F21" s="8" t="n">
        <x:v>30.75</x:v>
      </x:c>
      <x:c r="G21" s="8" t="n">
        <x:v>0</x:v>
      </x:c>
      <x:c r="H21" s="8" t="n">
        <x:v>0</x:v>
      </x:c>
      <x:c r="I21" s="8" t="n">
        <x:v>0</x:v>
      </x:c>
      <x:c r="J21" s="8" t="n">
        <x:v>0</x:v>
      </x:c>
      <x:c r="K21" s="8" t="n">
        <x:v>0</x:v>
      </x:c>
      <x:c r="L21" s="9" t="n">
        <x:f>D21+J21-H21-I21-K21</x:f>
        <x:v>750</x:v>
      </x:c>
    </x:row>
    <x:row r="22" ht="60" customHeight="1">
      <x:c r="A22" s="8" t="str">
        <x:v>Cash-first</x:v>
      </x:c>
      <x:c r="B22" s="8" t="str">
        <x:v>FL aggregate finance leases</x:v>
      </x:c>
      <x:c r="C22" s="23" t="n">
        <x:v>4</x:v>
      </x:c>
      <x:c r="D22" s="8" t="n">
        <x:v>42.1916</x:v>
      </x:c>
      <x:c r="E22" s="22" t="n">
        <x:v>0.044</x:v>
      </x:c>
      <x:c r="F22" s="8" t="n">
        <x:v>1.8564304</x:v>
      </x:c>
      <x:c r="G22" s="8" t="n">
        <x:v>2.1435696</x:v>
      </x:c>
      <x:c r="H22" s="8" t="n">
        <x:v>0</x:v>
      </x:c>
      <x:c r="I22" s="8" t="n">
        <x:v>0</x:v>
      </x:c>
      <x:c r="J22" s="8" t="n">
        <x:v>0</x:v>
      </x:c>
      <x:c r="K22" s="8" t="n">
        <x:v>0</x:v>
      </x:c>
      <x:c r="L22" s="9" t="n">
        <x:f>D22+J22-H22-I22-K22</x:f>
        <x:v>42.1916</x:v>
      </x:c>
    </x:row>
    <x:row r="23" ht="60" customHeight="1">
      <x:c r="A23" s="8" t="str">
        <x:v>Cash-first</x:v>
      </x:c>
      <x:c r="B23" s="8" t="str">
        <x:v>Acquisition term</x:v>
      </x:c>
      <x:c r="C23" s="23" t="n">
        <x:v>4</x:v>
      </x:c>
      <x:c r="D23" s="8" t="n">
        <x:v>2637.534845389503</x:v>
      </x:c>
      <x:c r="E23" s="22" t="n">
        <x:v>0.07</x:v>
      </x:c>
      <x:c r="F23" s="8" t="n">
        <x:v>184.62743917726525</x:v>
      </x:c>
      <x:c r="G23" s="8" t="n">
        <x:v>53.82724174264292</x:v>
      </x:c>
      <x:c r="H23" s="8" t="n">
        <x:v>0</x:v>
      </x:c>
      <x:c r="I23" s="8" t="n">
        <x:v>0</x:v>
      </x:c>
      <x:c r="J23" s="8" t="n">
        <x:v>0</x:v>
      </x:c>
      <x:c r="K23" s="8" t="n">
        <x:v>0</x:v>
      </x:c>
      <x:c r="L23" s="9" t="n">
        <x:f>D23+J23-H23-I23-K23</x:f>
        <x:v>2637.534845389503</x:v>
      </x:c>
    </x:row>
    <x:row r="24" ht="60" customHeight="1">
      <x:c r="A24" s="8" t="str">
        <x:v>Cash-first</x:v>
      </x:c>
      <x:c r="B24" s="8" t="str">
        <x:v>No facility (zero placeholder)</x:v>
      </x:c>
      <x:c r="C24" s="23" t="n">
        <x:v>4</x:v>
      </x:c>
      <x:c r="D24" s="8" t="n">
        <x:v>0</x:v>
      </x:c>
      <x:c r="E24" s="22" t="n">
        <x:v>0.045</x:v>
      </x:c>
      <x:c r="F24" s="8" t="n">
        <x:v>0</x:v>
      </x:c>
      <x:c r="G24" s="8" t="n">
        <x:v>0</x:v>
      </x:c>
      <x:c r="H24" s="8" t="n">
        <x:v>0</x:v>
      </x:c>
      <x:c r="I24" s="8" t="n">
        <x:v>0</x:v>
      </x:c>
      <x:c r="J24" s="8" t="n">
        <x:v>0</x:v>
      </x:c>
      <x:c r="K24" s="8" t="n">
        <x:v>0</x:v>
      </x:c>
      <x:c r="L24" s="9" t="n">
        <x:f>D24+J24-H24-I24-K24</x:f>
        <x:v>0</x:v>
      </x:c>
    </x:row>
    <x:row r="25" ht="60" customHeight="1">
      <x:c r="A25" s="8" t="str">
        <x:v>Cash-first</x:v>
      </x:c>
      <x:c r="B25" s="8" t="str">
        <x:v>DKS notes 2032</x:v>
      </x:c>
      <x:c r="C25" s="23" t="n">
        <x:v>5</x:v>
      </x:c>
      <x:c r="D25" s="8" t="n">
        <x:v>750</x:v>
      </x:c>
      <x:c r="E25" s="22" t="n">
        <x:v>0.0315</x:v>
      </x:c>
      <x:c r="F25" s="8" t="n">
        <x:v>23.625</x:v>
      </x:c>
      <x:c r="G25" s="8" t="n">
        <x:v>0</x:v>
      </x:c>
      <x:c r="H25" s="8" t="n">
        <x:v>0</x:v>
      </x:c>
      <x:c r="I25" s="8" t="n">
        <x:v>0</x:v>
      </x:c>
      <x:c r="J25" s="8" t="n">
        <x:v>0</x:v>
      </x:c>
      <x:c r="K25" s="8" t="n">
        <x:v>0</x:v>
      </x:c>
      <x:c r="L25" s="9" t="n">
        <x:f>D25+J25-H25-I25-K25</x:f>
        <x:v>750</x:v>
      </x:c>
    </x:row>
    <x:row r="26" ht="60" customHeight="1">
      <x:c r="A26" s="8" t="str">
        <x:v>Cash-first</x:v>
      </x:c>
      <x:c r="B26" s="8" t="str">
        <x:v>DKS notes 2052</x:v>
      </x:c>
      <x:c r="C26" s="23" t="n">
        <x:v>5</x:v>
      </x:c>
      <x:c r="D26" s="8" t="n">
        <x:v>750</x:v>
      </x:c>
      <x:c r="E26" s="22" t="n">
        <x:v>0.041</x:v>
      </x:c>
      <x:c r="F26" s="8" t="n">
        <x:v>30.75</x:v>
      </x:c>
      <x:c r="G26" s="8" t="n">
        <x:v>0</x:v>
      </x:c>
      <x:c r="H26" s="8" t="n">
        <x:v>0</x:v>
      </x:c>
      <x:c r="I26" s="8" t="n">
        <x:v>0</x:v>
      </x:c>
      <x:c r="J26" s="8" t="n">
        <x:v>0</x:v>
      </x:c>
      <x:c r="K26" s="8" t="n">
        <x:v>0</x:v>
      </x:c>
      <x:c r="L26" s="9" t="n">
        <x:f>D26+J26-H26-I26-K26</x:f>
        <x:v>750</x:v>
      </x:c>
    </x:row>
    <x:row r="27" ht="60" customHeight="1">
      <x:c r="A27" s="8" t="str">
        <x:v>Cash-first</x:v>
      </x:c>
      <x:c r="B27" s="8" t="str">
        <x:v>FL aggregate finance leases</x:v>
      </x:c>
      <x:c r="C27" s="23" t="n">
        <x:v>5</x:v>
      </x:c>
      <x:c r="D27" s="8" t="n">
        <x:v>42.1916</x:v>
      </x:c>
      <x:c r="E27" s="22" t="n">
        <x:v>0.044</x:v>
      </x:c>
      <x:c r="F27" s="8" t="n">
        <x:v>1.8564304</x:v>
      </x:c>
      <x:c r="G27" s="8" t="n">
        <x:v>2.1435696</x:v>
      </x:c>
      <x:c r="H27" s="8" t="n">
        <x:v>0</x:v>
      </x:c>
      <x:c r="I27" s="8" t="n">
        <x:v>0</x:v>
      </x:c>
      <x:c r="J27" s="8" t="n">
        <x:v>0</x:v>
      </x:c>
      <x:c r="K27" s="8" t="n">
        <x:v>0</x:v>
      </x:c>
      <x:c r="L27" s="9" t="n">
        <x:f>D27+J27-H27-I27-K27</x:f>
        <x:v>42.1916</x:v>
      </x:c>
    </x:row>
    <x:row r="28" ht="60" customHeight="1">
      <x:c r="A28" s="8" t="str">
        <x:v>Cash-first</x:v>
      </x:c>
      <x:c r="B28" s="8" t="str">
        <x:v>Acquisition term</x:v>
      </x:c>
      <x:c r="C28" s="23" t="n">
        <x:v>5</x:v>
      </x:c>
      <x:c r="D28" s="8" t="n">
        <x:v>2637.534845389503</x:v>
      </x:c>
      <x:c r="E28" s="22" t="n">
        <x:v>0.07</x:v>
      </x:c>
      <x:c r="F28" s="8" t="n">
        <x:v>184.62743917726525</x:v>
      </x:c>
      <x:c r="G28" s="8" t="n">
        <x:v>2637.534845389503</x:v>
      </x:c>
      <x:c r="H28" s="8" t="n">
        <x:v>0</x:v>
      </x:c>
      <x:c r="I28" s="8" t="n">
        <x:v>0</x:v>
      </x:c>
      <x:c r="J28" s="8" t="n">
        <x:v>0</x:v>
      </x:c>
      <x:c r="K28" s="8" t="n">
        <x:v>0</x:v>
      </x:c>
      <x:c r="L28" s="9" t="n">
        <x:f>D28+J28-H28-I28-K28</x:f>
        <x:v>2637.534845389503</x:v>
      </x:c>
    </x:row>
    <x:row r="29" ht="60" customHeight="1">
      <x:c r="A29" s="8" t="str">
        <x:v>Cash-first</x:v>
      </x:c>
      <x:c r="B29" s="8" t="str">
        <x:v>No facility (zero placeholder)</x:v>
      </x:c>
      <x:c r="C29" s="23" t="n">
        <x:v>5</x:v>
      </x:c>
      <x:c r="D29" s="8" t="n">
        <x:v>0</x:v>
      </x:c>
      <x:c r="E29" s="22" t="n">
        <x:v>0.045</x:v>
      </x:c>
      <x:c r="F29" s="8" t="n">
        <x:v>0</x:v>
      </x:c>
      <x:c r="G29" s="8" t="n">
        <x:v>0</x:v>
      </x:c>
      <x:c r="H29" s="8" t="n">
        <x:v>0</x:v>
      </x:c>
      <x:c r="I29" s="8" t="n">
        <x:v>0</x:v>
      </x:c>
      <x:c r="J29" s="8" t="n">
        <x:v>0</x:v>
      </x:c>
      <x:c r="K29" s="8" t="n">
        <x:v>0</x:v>
      </x:c>
      <x:c r="L29" s="9" t="n">
        <x:f>D29+J29-H29-I29-K29</x:f>
        <x:v>0</x:v>
      </x:c>
    </x:row>
    <x:row r="30" ht="60" customHeight="1">
      <x:c r="A30" s="8" t="str">
        <x:v>Liquidity-first</x:v>
      </x:c>
      <x:c r="B30" s="8" t="str">
        <x:v>DKS notes 2032</x:v>
      </x:c>
      <x:c r="C30" s="23" t="n">
        <x:v>1</x:v>
      </x:c>
      <x:c r="D30" s="8" t="n">
        <x:v>750</x:v>
      </x:c>
      <x:c r="E30" s="22" t="n">
        <x:v>0.0315</x:v>
      </x:c>
      <x:c r="F30" s="8" t="n">
        <x:v>23.625</x:v>
      </x:c>
      <x:c r="G30" s="8" t="n">
        <x:v>0</x:v>
      </x:c>
      <x:c r="H30" s="8" t="n">
        <x:v>0</x:v>
      </x:c>
      <x:c r="I30" s="8" t="n">
        <x:v>0</x:v>
      </x:c>
      <x:c r="J30" s="8" t="n">
        <x:v>0</x:v>
      </x:c>
      <x:c r="K30" s="8" t="n">
        <x:v>0</x:v>
      </x:c>
      <x:c r="L30" s="9" t="n">
        <x:f>D30+J30-H30-I30-K30</x:f>
        <x:v>750</x:v>
      </x:c>
    </x:row>
    <x:row r="31" ht="60" customHeight="1">
      <x:c r="A31" s="8" t="str">
        <x:v>Liquidity-first</x:v>
      </x:c>
      <x:c r="B31" s="8" t="str">
        <x:v>DKS notes 2052</x:v>
      </x:c>
      <x:c r="C31" s="23" t="n">
        <x:v>1</x:v>
      </x:c>
      <x:c r="D31" s="8" t="n">
        <x:v>750</x:v>
      </x:c>
      <x:c r="E31" s="22" t="n">
        <x:v>0.041</x:v>
      </x:c>
      <x:c r="F31" s="8" t="n">
        <x:v>30.75</x:v>
      </x:c>
      <x:c r="G31" s="8" t="n">
        <x:v>0</x:v>
      </x:c>
      <x:c r="H31" s="8" t="n">
        <x:v>0</x:v>
      </x:c>
      <x:c r="I31" s="8" t="n">
        <x:v>0</x:v>
      </x:c>
      <x:c r="J31" s="8" t="n">
        <x:v>0</x:v>
      </x:c>
      <x:c r="K31" s="8" t="n">
        <x:v>0</x:v>
      </x:c>
      <x:c r="L31" s="9" t="n">
        <x:f>D31+J31-H31-I31-K31</x:f>
        <x:v>750</x:v>
      </x:c>
    </x:row>
    <x:row r="32" ht="60" customHeight="1">
      <x:c r="A32" s="8" t="str">
        <x:v>Liquidity-first</x:v>
      </x:c>
      <x:c r="B32" s="8" t="str">
        <x:v>FL aggregate finance leases</x:v>
      </x:c>
      <x:c r="C32" s="23" t="n">
        <x:v>1</x:v>
      </x:c>
      <x:c r="D32" s="8" t="n">
        <x:v>46.4</x:v>
      </x:c>
      <x:c r="E32" s="22" t="n">
        <x:v>0.044</x:v>
      </x:c>
      <x:c r="F32" s="8" t="n">
        <x:v>2.0416</x:v>
      </x:c>
      <x:c r="G32" s="8" t="n">
        <x:v>4.2084</x:v>
      </x:c>
      <x:c r="H32" s="8" t="n">
        <x:v>4.2084</x:v>
      </x:c>
      <x:c r="I32" s="8" t="n">
        <x:v>0</x:v>
      </x:c>
      <x:c r="J32" s="8" t="n">
        <x:v>0</x:v>
      </x:c>
      <x:c r="K32" s="8" t="n">
        <x:v>0</x:v>
      </x:c>
      <x:c r="L32" s="9" t="n">
        <x:f>D32+J32-H32-I32-K32</x:f>
        <x:v>42.1916</x:v>
      </x:c>
    </x:row>
    <x:row r="33" ht="60" customHeight="1">
      <x:c r="A33" s="8" t="str">
        <x:v>Liquidity-first</x:v>
      </x:c>
      <x:c r="B33" s="8" t="str">
        <x:v>Acquisition term</x:v>
      </x:c>
      <x:c r="C33" s="23" t="n">
        <x:v>1</x:v>
      </x:c>
      <x:c r="D33" s="8" t="n">
        <x:v>2949.1952696544217</x:v>
      </x:c>
      <x:c r="E33" s="22" t="n">
        <x:v>0.07</x:v>
      </x:c>
      <x:c r="F33" s="8" t="n">
        <x:v>206.44366887580955</x:v>
      </x:c>
      <x:c r="G33" s="8" t="n">
        <x:v>58.983905393088435</x:v>
      </x:c>
      <x:c r="H33" s="8" t="n">
        <x:v>58.983905393088435</x:v>
      </x:c>
      <x:c r="I33" s="8" t="n">
        <x:v>82.63580104940274</x:v>
      </x:c>
      <x:c r="J33" s="8" t="n">
        <x:v>0</x:v>
      </x:c>
      <x:c r="K33" s="8" t="n">
        <x:v>0</x:v>
      </x:c>
      <x:c r="L33" s="9" t="n">
        <x:f>D33+J33-H33-I33-K33</x:f>
        <x:v>2807.5755632119303</x:v>
      </x:c>
    </x:row>
    <x:row r="34" ht="60" customHeight="1">
      <x:c r="A34" s="8" t="str">
        <x:v>Liquidity-first</x:v>
      </x:c>
      <x:c r="B34" s="8" t="str">
        <x:v>No facility (zero placeholder)</x:v>
      </x:c>
      <x:c r="C34" s="23" t="n">
        <x:v>1</x:v>
      </x:c>
      <x:c r="D34" s="8" t="n">
        <x:v>0</x:v>
      </x:c>
      <x:c r="E34" s="22" t="n">
        <x:v>0.045</x:v>
      </x:c>
      <x:c r="F34" s="8" t="n">
        <x:v>0</x:v>
      </x:c>
      <x:c r="G34" s="8" t="n">
        <x:v>0</x:v>
      </x:c>
      <x:c r="H34" s="8" t="n">
        <x:v>0</x:v>
      </x:c>
      <x:c r="I34" s="8" t="n">
        <x:v>0</x:v>
      </x:c>
      <x:c r="J34" s="8" t="n">
        <x:v>0</x:v>
      </x:c>
      <x:c r="K34" s="8" t="n">
        <x:v>0</x:v>
      </x:c>
      <x:c r="L34" s="9" t="n">
        <x:f>D34+J34-H34-I34-K34</x:f>
        <x:v>0</x:v>
      </x:c>
    </x:row>
    <x:row r="35" ht="60" customHeight="1">
      <x:c r="A35" s="8" t="str">
        <x:v>Liquidity-first</x:v>
      </x:c>
      <x:c r="B35" s="8" t="str">
        <x:v>DKS notes 2032</x:v>
      </x:c>
      <x:c r="C35" s="23" t="n">
        <x:v>2</x:v>
      </x:c>
      <x:c r="D35" s="8" t="n">
        <x:v>750</x:v>
      </x:c>
      <x:c r="E35" s="22" t="n">
        <x:v>0.0315</x:v>
      </x:c>
      <x:c r="F35" s="8" t="n">
        <x:v>23.625</x:v>
      </x:c>
      <x:c r="G35" s="8" t="n">
        <x:v>0</x:v>
      </x:c>
      <x:c r="H35" s="8" t="n">
        <x:v>0</x:v>
      </x:c>
      <x:c r="I35" s="8" t="n">
        <x:v>0</x:v>
      </x:c>
      <x:c r="J35" s="8" t="n">
        <x:v>0</x:v>
      </x:c>
      <x:c r="K35" s="8" t="n">
        <x:v>0</x:v>
      </x:c>
      <x:c r="L35" s="9" t="n">
        <x:f>D35+J35-H35-I35-K35</x:f>
        <x:v>750</x:v>
      </x:c>
    </x:row>
    <x:row r="36" ht="60" customHeight="1">
      <x:c r="A36" s="8" t="str">
        <x:v>Liquidity-first</x:v>
      </x:c>
      <x:c r="B36" s="8" t="str">
        <x:v>DKS notes 2052</x:v>
      </x:c>
      <x:c r="C36" s="23" t="n">
        <x:v>2</x:v>
      </x:c>
      <x:c r="D36" s="8" t="n">
        <x:v>750</x:v>
      </x:c>
      <x:c r="E36" s="22" t="n">
        <x:v>0.041</x:v>
      </x:c>
      <x:c r="F36" s="8" t="n">
        <x:v>30.75</x:v>
      </x:c>
      <x:c r="G36" s="8" t="n">
        <x:v>0</x:v>
      </x:c>
      <x:c r="H36" s="8" t="n">
        <x:v>0</x:v>
      </x:c>
      <x:c r="I36" s="8" t="n">
        <x:v>0</x:v>
      </x:c>
      <x:c r="J36" s="8" t="n">
        <x:v>0</x:v>
      </x:c>
      <x:c r="K36" s="8" t="n">
        <x:v>0</x:v>
      </x:c>
      <x:c r="L36" s="9" t="n">
        <x:f>D36+J36-H36-I36-K36</x:f>
        <x:v>750</x:v>
      </x:c>
    </x:row>
    <x:row r="37" ht="60" customHeight="1">
      <x:c r="A37" s="8" t="str">
        <x:v>Liquidity-first</x:v>
      </x:c>
      <x:c r="B37" s="8" t="str">
        <x:v>FL aggregate finance leases</x:v>
      </x:c>
      <x:c r="C37" s="23" t="n">
        <x:v>2</x:v>
      </x:c>
      <x:c r="D37" s="8" t="n">
        <x:v>42.1916</x:v>
      </x:c>
      <x:c r="E37" s="22" t="n">
        <x:v>0.044</x:v>
      </x:c>
      <x:c r="F37" s="8" t="n">
        <x:v>1.8564304</x:v>
      </x:c>
      <x:c r="G37" s="8" t="n">
        <x:v>3.3935696</x:v>
      </x:c>
      <x:c r="H37" s="8" t="n">
        <x:v>3.3935696</x:v>
      </x:c>
      <x:c r="I37" s="8" t="n">
        <x:v>0</x:v>
      </x:c>
      <x:c r="J37" s="8" t="n">
        <x:v>0</x:v>
      </x:c>
      <x:c r="K37" s="8" t="n">
        <x:v>0</x:v>
      </x:c>
      <x:c r="L37" s="9" t="n">
        <x:f>D37+J37-H37-I37-K37</x:f>
        <x:v>38.7980304</x:v>
      </x:c>
    </x:row>
    <x:row r="38" ht="60" customHeight="1">
      <x:c r="A38" s="8" t="str">
        <x:v>Liquidity-first</x:v>
      </x:c>
      <x:c r="B38" s="8" t="str">
        <x:v>Acquisition term</x:v>
      </x:c>
      <x:c r="C38" s="23" t="n">
        <x:v>2</x:v>
      </x:c>
      <x:c r="D38" s="8" t="n">
        <x:v>2807.5755632119303</x:v>
      </x:c>
      <x:c r="E38" s="22" t="n">
        <x:v>0.07</x:v>
      </x:c>
      <x:c r="F38" s="8" t="n">
        <x:v>196.53028942483513</x:v>
      </x:c>
      <x:c r="G38" s="8" t="n">
        <x:v>58.983905393088435</x:v>
      </x:c>
      <x:c r="H38" s="8" t="n">
        <x:v>58.983905393088435</x:v>
      </x:c>
      <x:c r="I38" s="8" t="n">
        <x:v>0</x:v>
      </x:c>
      <x:c r="J38" s="8" t="n">
        <x:v>0</x:v>
      </x:c>
      <x:c r="K38" s="8" t="n">
        <x:v>0</x:v>
      </x:c>
      <x:c r="L38" s="9" t="n">
        <x:f>D38+J38-H38-I38-K38</x:f>
        <x:v>2748.5916578188417</x:v>
      </x:c>
    </x:row>
    <x:row r="39" ht="60" customHeight="1">
      <x:c r="A39" s="8" t="str">
        <x:v>Liquidity-first</x:v>
      </x:c>
      <x:c r="B39" s="8" t="str">
        <x:v>No facility (zero placeholder)</x:v>
      </x:c>
      <x:c r="C39" s="23" t="n">
        <x:v>2</x:v>
      </x:c>
      <x:c r="D39" s="8" t="n">
        <x:v>0</x:v>
      </x:c>
      <x:c r="E39" s="22" t="n">
        <x:v>0.045</x:v>
      </x:c>
      <x:c r="F39" s="8" t="n">
        <x:v>0</x:v>
      </x:c>
      <x:c r="G39" s="8" t="n">
        <x:v>0</x:v>
      </x:c>
      <x:c r="H39" s="8" t="n">
        <x:v>0</x:v>
      </x:c>
      <x:c r="I39" s="8" t="n">
        <x:v>0</x:v>
      </x:c>
      <x:c r="J39" s="8" t="n">
        <x:v>0</x:v>
      </x:c>
      <x:c r="K39" s="8" t="n">
        <x:v>0</x:v>
      </x:c>
      <x:c r="L39" s="9" t="n">
        <x:f>D39+J39-H39-I39-K39</x:f>
        <x:v>0</x:v>
      </x:c>
    </x:row>
    <x:row r="40" ht="60" customHeight="1">
      <x:c r="A40" s="8" t="str">
        <x:v>Liquidity-first</x:v>
      </x:c>
      <x:c r="B40" s="8" t="str">
        <x:v>DKS notes 2032</x:v>
      </x:c>
      <x:c r="C40" s="23" t="n">
        <x:v>3</x:v>
      </x:c>
      <x:c r="D40" s="8" t="n">
        <x:v>750</x:v>
      </x:c>
      <x:c r="E40" s="22" t="n">
        <x:v>0.0315</x:v>
      </x:c>
      <x:c r="F40" s="8" t="n">
        <x:v>23.625</x:v>
      </x:c>
      <x:c r="G40" s="8" t="n">
        <x:v>0</x:v>
      </x:c>
      <x:c r="H40" s="8" t="n">
        <x:v>0</x:v>
      </x:c>
      <x:c r="I40" s="8" t="n">
        <x:v>0</x:v>
      </x:c>
      <x:c r="J40" s="8" t="n">
        <x:v>0</x:v>
      </x:c>
      <x:c r="K40" s="8" t="n">
        <x:v>0</x:v>
      </x:c>
      <x:c r="L40" s="9" t="n">
        <x:f>D40+J40-H40-I40-K40</x:f>
        <x:v>750</x:v>
      </x:c>
    </x:row>
    <x:row r="41" ht="60" customHeight="1">
      <x:c r="A41" s="8" t="str">
        <x:v>Liquidity-first</x:v>
      </x:c>
      <x:c r="B41" s="8" t="str">
        <x:v>DKS notes 2052</x:v>
      </x:c>
      <x:c r="C41" s="23" t="n">
        <x:v>3</x:v>
      </x:c>
      <x:c r="D41" s="8" t="n">
        <x:v>750</x:v>
      </x:c>
      <x:c r="E41" s="22" t="n">
        <x:v>0.041</x:v>
      </x:c>
      <x:c r="F41" s="8" t="n">
        <x:v>30.75</x:v>
      </x:c>
      <x:c r="G41" s="8" t="n">
        <x:v>0</x:v>
      </x:c>
      <x:c r="H41" s="8" t="n">
        <x:v>0</x:v>
      </x:c>
      <x:c r="I41" s="8" t="n">
        <x:v>0</x:v>
      </x:c>
      <x:c r="J41" s="8" t="n">
        <x:v>0</x:v>
      </x:c>
      <x:c r="K41" s="8" t="n">
        <x:v>0</x:v>
      </x:c>
      <x:c r="L41" s="9" t="n">
        <x:f>D41+J41-H41-I41-K41</x:f>
        <x:v>750</x:v>
      </x:c>
    </x:row>
    <x:row r="42" ht="60" customHeight="1">
      <x:c r="A42" s="8" t="str">
        <x:v>Liquidity-first</x:v>
      </x:c>
      <x:c r="B42" s="8" t="str">
        <x:v>FL aggregate finance leases</x:v>
      </x:c>
      <x:c r="C42" s="23" t="n">
        <x:v>3</x:v>
      </x:c>
      <x:c r="D42" s="8" t="n">
        <x:v>38.7980304</x:v>
      </x:c>
      <x:c r="E42" s="22" t="n">
        <x:v>0.044</x:v>
      </x:c>
      <x:c r="F42" s="8" t="n">
        <x:v>1.7071133376</x:v>
      </x:c>
      <x:c r="G42" s="8" t="n">
        <x:v>2.5428866624</x:v>
      </x:c>
      <x:c r="H42" s="8" t="n">
        <x:v>0</x:v>
      </x:c>
      <x:c r="I42" s="8" t="n">
        <x:v>0</x:v>
      </x:c>
      <x:c r="J42" s="8" t="n">
        <x:v>0</x:v>
      </x:c>
      <x:c r="K42" s="8" t="n">
        <x:v>0</x:v>
      </x:c>
      <x:c r="L42" s="9" t="n">
        <x:f>D42+J42-H42-I42-K42</x:f>
        <x:v>38.7980304</x:v>
      </x:c>
    </x:row>
    <x:row r="43" ht="60" customHeight="1">
      <x:c r="A43" s="8" t="str">
        <x:v>Liquidity-first</x:v>
      </x:c>
      <x:c r="B43" s="8" t="str">
        <x:v>Acquisition term</x:v>
      </x:c>
      <x:c r="C43" s="23" t="n">
        <x:v>3</x:v>
      </x:c>
      <x:c r="D43" s="8" t="n">
        <x:v>2748.5916578188417</x:v>
      </x:c>
      <x:c r="E43" s="22" t="n">
        <x:v>0.07</x:v>
      </x:c>
      <x:c r="F43" s="8" t="n">
        <x:v>192.40141604731895</x:v>
      </x:c>
      <x:c r="G43" s="8" t="n">
        <x:v>58.983905393088435</x:v>
      </x:c>
      <x:c r="H43" s="8" t="n">
        <x:v>0</x:v>
      </x:c>
      <x:c r="I43" s="8" t="n">
        <x:v>0</x:v>
      </x:c>
      <x:c r="J43" s="8" t="n">
        <x:v>0</x:v>
      </x:c>
      <x:c r="K43" s="8" t="n">
        <x:v>0</x:v>
      </x:c>
      <x:c r="L43" s="9" t="n">
        <x:f>D43+J43-H43-I43-K43</x:f>
        <x:v>2748.5916578188417</x:v>
      </x:c>
    </x:row>
    <x:row r="44" ht="60" customHeight="1">
      <x:c r="A44" s="8" t="str">
        <x:v>Liquidity-first</x:v>
      </x:c>
      <x:c r="B44" s="8" t="str">
        <x:v>No facility (zero placeholder)</x:v>
      </x:c>
      <x:c r="C44" s="23" t="n">
        <x:v>3</x:v>
      </x:c>
      <x:c r="D44" s="8" t="n">
        <x:v>0</x:v>
      </x:c>
      <x:c r="E44" s="22" t="n">
        <x:v>0.045</x:v>
      </x:c>
      <x:c r="F44" s="8" t="n">
        <x:v>0</x:v>
      </x:c>
      <x:c r="G44" s="8" t="n">
        <x:v>0</x:v>
      </x:c>
      <x:c r="H44" s="8" t="n">
        <x:v>0</x:v>
      </x:c>
      <x:c r="I44" s="8" t="n">
        <x:v>0</x:v>
      </x:c>
      <x:c r="J44" s="8" t="n">
        <x:v>0</x:v>
      </x:c>
      <x:c r="K44" s="8" t="n">
        <x:v>0</x:v>
      </x:c>
      <x:c r="L44" s="9" t="n">
        <x:f>D44+J44-H44-I44-K44</x:f>
        <x:v>0</x:v>
      </x:c>
    </x:row>
    <x:row r="45" ht="60" customHeight="1">
      <x:c r="A45" s="8" t="str">
        <x:v>Liquidity-first</x:v>
      </x:c>
      <x:c r="B45" s="8" t="str">
        <x:v>DKS notes 2032</x:v>
      </x:c>
      <x:c r="C45" s="23" t="n">
        <x:v>4</x:v>
      </x:c>
      <x:c r="D45" s="8" t="n">
        <x:v>750</x:v>
      </x:c>
      <x:c r="E45" s="22" t="n">
        <x:v>0.0315</x:v>
      </x:c>
      <x:c r="F45" s="8" t="n">
        <x:v>23.625</x:v>
      </x:c>
      <x:c r="G45" s="8" t="n">
        <x:v>0</x:v>
      </x:c>
      <x:c r="H45" s="8" t="n">
        <x:v>0</x:v>
      </x:c>
      <x:c r="I45" s="8" t="n">
        <x:v>0</x:v>
      </x:c>
      <x:c r="J45" s="8" t="n">
        <x:v>0</x:v>
      </x:c>
      <x:c r="K45" s="8" t="n">
        <x:v>0</x:v>
      </x:c>
      <x:c r="L45" s="9" t="n">
        <x:f>D45+J45-H45-I45-K45</x:f>
        <x:v>750</x:v>
      </x:c>
    </x:row>
    <x:row r="46" ht="60" customHeight="1">
      <x:c r="A46" s="8" t="str">
        <x:v>Liquidity-first</x:v>
      </x:c>
      <x:c r="B46" s="8" t="str">
        <x:v>DKS notes 2052</x:v>
      </x:c>
      <x:c r="C46" s="23" t="n">
        <x:v>4</x:v>
      </x:c>
      <x:c r="D46" s="8" t="n">
        <x:v>750</x:v>
      </x:c>
      <x:c r="E46" s="22" t="n">
        <x:v>0.041</x:v>
      </x:c>
      <x:c r="F46" s="8" t="n">
        <x:v>30.75</x:v>
      </x:c>
      <x:c r="G46" s="8" t="n">
        <x:v>0</x:v>
      </x:c>
      <x:c r="H46" s="8" t="n">
        <x:v>0</x:v>
      </x:c>
      <x:c r="I46" s="8" t="n">
        <x:v>0</x:v>
      </x:c>
      <x:c r="J46" s="8" t="n">
        <x:v>0</x:v>
      </x:c>
      <x:c r="K46" s="8" t="n">
        <x:v>0</x:v>
      </x:c>
      <x:c r="L46" s="9" t="n">
        <x:f>D46+J46-H46-I46-K46</x:f>
        <x:v>750</x:v>
      </x:c>
    </x:row>
    <x:row r="47" ht="60" customHeight="1">
      <x:c r="A47" s="8" t="str">
        <x:v>Liquidity-first</x:v>
      </x:c>
      <x:c r="B47" s="8" t="str">
        <x:v>FL aggregate finance leases</x:v>
      </x:c>
      <x:c r="C47" s="23" t="n">
        <x:v>4</x:v>
      </x:c>
      <x:c r="D47" s="8" t="n">
        <x:v>38.7980304</x:v>
      </x:c>
      <x:c r="E47" s="22" t="n">
        <x:v>0.044</x:v>
      </x:c>
      <x:c r="F47" s="8" t="n">
        <x:v>1.7071133376</x:v>
      </x:c>
      <x:c r="G47" s="8" t="n">
        <x:v>2.2928866624</x:v>
      </x:c>
      <x:c r="H47" s="8" t="n">
        <x:v>0</x:v>
      </x:c>
      <x:c r="I47" s="8" t="n">
        <x:v>0</x:v>
      </x:c>
      <x:c r="J47" s="8" t="n">
        <x:v>0</x:v>
      </x:c>
      <x:c r="K47" s="8" t="n">
        <x:v>0</x:v>
      </x:c>
      <x:c r="L47" s="9" t="n">
        <x:f>D47+J47-H47-I47-K47</x:f>
        <x:v>38.7980304</x:v>
      </x:c>
    </x:row>
    <x:row r="48" ht="60" customHeight="1">
      <x:c r="A48" s="8" t="str">
        <x:v>Liquidity-first</x:v>
      </x:c>
      <x:c r="B48" s="8" t="str">
        <x:v>Acquisition term</x:v>
      </x:c>
      <x:c r="C48" s="23" t="n">
        <x:v>4</x:v>
      </x:c>
      <x:c r="D48" s="8" t="n">
        <x:v>2748.5916578188417</x:v>
      </x:c>
      <x:c r="E48" s="22" t="n">
        <x:v>0.07</x:v>
      </x:c>
      <x:c r="F48" s="8" t="n">
        <x:v>192.40141604731895</x:v>
      </x:c>
      <x:c r="G48" s="8" t="n">
        <x:v>58.983905393088435</x:v>
      </x:c>
      <x:c r="H48" s="8" t="n">
        <x:v>0</x:v>
      </x:c>
      <x:c r="I48" s="8" t="n">
        <x:v>0</x:v>
      </x:c>
      <x:c r="J48" s="8" t="n">
        <x:v>0</x:v>
      </x:c>
      <x:c r="K48" s="8" t="n">
        <x:v>0</x:v>
      </x:c>
      <x:c r="L48" s="9" t="n">
        <x:f>D48+J48-H48-I48-K48</x:f>
        <x:v>2748.5916578188417</x:v>
      </x:c>
    </x:row>
    <x:row r="49" ht="60" customHeight="1">
      <x:c r="A49" s="8" t="str">
        <x:v>Liquidity-first</x:v>
      </x:c>
      <x:c r="B49" s="8" t="str">
        <x:v>No facility (zero placeholder)</x:v>
      </x:c>
      <x:c r="C49" s="23" t="n">
        <x:v>4</x:v>
      </x:c>
      <x:c r="D49" s="8" t="n">
        <x:v>0</x:v>
      </x:c>
      <x:c r="E49" s="22" t="n">
        <x:v>0.045</x:v>
      </x:c>
      <x:c r="F49" s="8" t="n">
        <x:v>0</x:v>
      </x:c>
      <x:c r="G49" s="8" t="n">
        <x:v>0</x:v>
      </x:c>
      <x:c r="H49" s="8" t="n">
        <x:v>0</x:v>
      </x:c>
      <x:c r="I49" s="8" t="n">
        <x:v>0</x:v>
      </x:c>
      <x:c r="J49" s="8" t="n">
        <x:v>0</x:v>
      </x:c>
      <x:c r="K49" s="8" t="n">
        <x:v>0</x:v>
      </x:c>
      <x:c r="L49" s="9" t="n">
        <x:f>D49+J49-H49-I49-K49</x:f>
        <x:v>0</x:v>
      </x:c>
    </x:row>
    <x:row r="50" ht="60" customHeight="1">
      <x:c r="A50" s="8" t="str">
        <x:v>Liquidity-first</x:v>
      </x:c>
      <x:c r="B50" s="8" t="str">
        <x:v>DKS notes 2032</x:v>
      </x:c>
      <x:c r="C50" s="23" t="n">
        <x:v>5</x:v>
      </x:c>
      <x:c r="D50" s="8" t="n">
        <x:v>750</x:v>
      </x:c>
      <x:c r="E50" s="22" t="n">
        <x:v>0.0315</x:v>
      </x:c>
      <x:c r="F50" s="8" t="n">
        <x:v>23.625</x:v>
      </x:c>
      <x:c r="G50" s="8" t="n">
        <x:v>0</x:v>
      </x:c>
      <x:c r="H50" s="8" t="n">
        <x:v>0</x:v>
      </x:c>
      <x:c r="I50" s="8" t="n">
        <x:v>0</x:v>
      </x:c>
      <x:c r="J50" s="8" t="n">
        <x:v>0</x:v>
      </x:c>
      <x:c r="K50" s="8" t="n">
        <x:v>0</x:v>
      </x:c>
      <x:c r="L50" s="9" t="n">
        <x:f>D50+J50-H50-I50-K50</x:f>
        <x:v>750</x:v>
      </x:c>
    </x:row>
    <x:row r="51" ht="60" customHeight="1">
      <x:c r="A51" s="8" t="str">
        <x:v>Liquidity-first</x:v>
      </x:c>
      <x:c r="B51" s="8" t="str">
        <x:v>DKS notes 2052</x:v>
      </x:c>
      <x:c r="C51" s="23" t="n">
        <x:v>5</x:v>
      </x:c>
      <x:c r="D51" s="8" t="n">
        <x:v>750</x:v>
      </x:c>
      <x:c r="E51" s="22" t="n">
        <x:v>0.041</x:v>
      </x:c>
      <x:c r="F51" s="8" t="n">
        <x:v>30.75</x:v>
      </x:c>
      <x:c r="G51" s="8" t="n">
        <x:v>0</x:v>
      </x:c>
      <x:c r="H51" s="8" t="n">
        <x:v>0</x:v>
      </x:c>
      <x:c r="I51" s="8" t="n">
        <x:v>0</x:v>
      </x:c>
      <x:c r="J51" s="8" t="n">
        <x:v>0</x:v>
      </x:c>
      <x:c r="K51" s="8" t="n">
        <x:v>0</x:v>
      </x:c>
      <x:c r="L51" s="9" t="n">
        <x:f>D51+J51-H51-I51-K51</x:f>
        <x:v>750</x:v>
      </x:c>
    </x:row>
    <x:row r="52" ht="60" customHeight="1">
      <x:c r="A52" s="8" t="str">
        <x:v>Liquidity-first</x:v>
      </x:c>
      <x:c r="B52" s="8" t="str">
        <x:v>FL aggregate finance leases</x:v>
      </x:c>
      <x:c r="C52" s="23" t="n">
        <x:v>5</x:v>
      </x:c>
      <x:c r="D52" s="8" t="n">
        <x:v>38.7980304</x:v>
      </x:c>
      <x:c r="E52" s="22" t="n">
        <x:v>0.044</x:v>
      </x:c>
      <x:c r="F52" s="8" t="n">
        <x:v>1.7071133376</x:v>
      </x:c>
      <x:c r="G52" s="8" t="n">
        <x:v>2.2928866624</x:v>
      </x:c>
      <x:c r="H52" s="8" t="n">
        <x:v>0</x:v>
      </x:c>
      <x:c r="I52" s="8" t="n">
        <x:v>0</x:v>
      </x:c>
      <x:c r="J52" s="8" t="n">
        <x:v>0</x:v>
      </x:c>
      <x:c r="K52" s="8" t="n">
        <x:v>0</x:v>
      </x:c>
      <x:c r="L52" s="9" t="n">
        <x:f>D52+J52-H52-I52-K52</x:f>
        <x:v>38.7980304</x:v>
      </x:c>
    </x:row>
    <x:row r="53" ht="60" customHeight="1">
      <x:c r="A53" s="8" t="str">
        <x:v>Liquidity-first</x:v>
      </x:c>
      <x:c r="B53" s="8" t="str">
        <x:v>Acquisition term</x:v>
      </x:c>
      <x:c r="C53" s="23" t="n">
        <x:v>5</x:v>
      </x:c>
      <x:c r="D53" s="8" t="n">
        <x:v>2748.5916578188417</x:v>
      </x:c>
      <x:c r="E53" s="22" t="n">
        <x:v>0.07</x:v>
      </x:c>
      <x:c r="F53" s="8" t="n">
        <x:v>192.40141604731895</x:v>
      </x:c>
      <x:c r="G53" s="8" t="n">
        <x:v>2748.5916578188417</x:v>
      </x:c>
      <x:c r="H53" s="8" t="n">
        <x:v>0</x:v>
      </x:c>
      <x:c r="I53" s="8" t="n">
        <x:v>0</x:v>
      </x:c>
      <x:c r="J53" s="8" t="n">
        <x:v>0</x:v>
      </x:c>
      <x:c r="K53" s="8" t="n">
        <x:v>0</x:v>
      </x:c>
      <x:c r="L53" s="9" t="n">
        <x:f>D53+J53-H53-I53-K53</x:f>
        <x:v>2748.5916578188417</x:v>
      </x:c>
    </x:row>
    <x:row r="54" ht="60" customHeight="1">
      <x:c r="A54" s="8" t="str">
        <x:v>Liquidity-first</x:v>
      </x:c>
      <x:c r="B54" s="8" t="str">
        <x:v>No facility (zero placeholder)</x:v>
      </x:c>
      <x:c r="C54" s="23" t="n">
        <x:v>5</x:v>
      </x:c>
      <x:c r="D54" s="8" t="n">
        <x:v>0</x:v>
      </x:c>
      <x:c r="E54" s="22" t="n">
        <x:v>0.045</x:v>
      </x:c>
      <x:c r="F54" s="8" t="n">
        <x:v>0</x:v>
      </x:c>
      <x:c r="G54" s="8" t="n">
        <x:v>0</x:v>
      </x:c>
      <x:c r="H54" s="8" t="n">
        <x:v>0</x:v>
      </x:c>
      <x:c r="I54" s="8" t="n">
        <x:v>0</x:v>
      </x:c>
      <x:c r="J54" s="8" t="n">
        <x:v>0</x:v>
      </x:c>
      <x:c r="K54" s="8" t="n">
        <x:v>0</x:v>
      </x:c>
      <x:c r="L54" s="9" t="n">
        <x:f>D54+J54-H54-I54-K54</x:f>
        <x:v>0</x:v>
      </x:c>
    </x:row>
    <x:row r="55" ht="60" customHeight="1">
      <x:c r="A55" s="8" t="str">
        <x:v>Mixed consideration</x:v>
      </x:c>
      <x:c r="B55" s="8" t="str">
        <x:v>DKS notes 2032</x:v>
      </x:c>
      <x:c r="C55" s="23" t="n">
        <x:v>1</x:v>
      </x:c>
      <x:c r="D55" s="8" t="n">
        <x:v>750</x:v>
      </x:c>
      <x:c r="E55" s="22" t="n">
        <x:v>0.0315</x:v>
      </x:c>
      <x:c r="F55" s="8" t="n">
        <x:v>23.625</x:v>
      </x:c>
      <x:c r="G55" s="8" t="n">
        <x:v>0</x:v>
      </x:c>
      <x:c r="H55" s="8" t="n">
        <x:v>0</x:v>
      </x:c>
      <x:c r="I55" s="8" t="n">
        <x:v>0</x:v>
      </x:c>
      <x:c r="J55" s="8" t="n">
        <x:v>0</x:v>
      </x:c>
      <x:c r="K55" s="8" t="n">
        <x:v>0</x:v>
      </x:c>
      <x:c r="L55" s="9" t="n">
        <x:f>D55+J55-H55-I55-K55</x:f>
        <x:v>750</x:v>
      </x:c>
    </x:row>
    <x:row r="56" ht="60" customHeight="1">
      <x:c r="A56" s="8" t="str">
        <x:v>Mixed consideration</x:v>
      </x:c>
      <x:c r="B56" s="8" t="str">
        <x:v>DKS notes 2052</x:v>
      </x:c>
      <x:c r="C56" s="23" t="n">
        <x:v>1</x:v>
      </x:c>
      <x:c r="D56" s="8" t="n">
        <x:v>750</x:v>
      </x:c>
      <x:c r="E56" s="22" t="n">
        <x:v>0.041</x:v>
      </x:c>
      <x:c r="F56" s="8" t="n">
        <x:v>30.75</x:v>
      </x:c>
      <x:c r="G56" s="8" t="n">
        <x:v>0</x:v>
      </x:c>
      <x:c r="H56" s="8" t="n">
        <x:v>0</x:v>
      </x:c>
      <x:c r="I56" s="8" t="n">
        <x:v>0</x:v>
      </x:c>
      <x:c r="J56" s="8" t="n">
        <x:v>0</x:v>
      </x:c>
      <x:c r="K56" s="8" t="n">
        <x:v>0</x:v>
      </x:c>
      <x:c r="L56" s="9" t="n">
        <x:f>D56+J56-H56-I56-K56</x:f>
        <x:v>750</x:v>
      </x:c>
    </x:row>
    <x:row r="57" ht="60" customHeight="1">
      <x:c r="A57" s="8" t="str">
        <x:v>Mixed consideration</x:v>
      </x:c>
      <x:c r="B57" s="8" t="str">
        <x:v>FL aggregate finance leases</x:v>
      </x:c>
      <x:c r="C57" s="23" t="n">
        <x:v>1</x:v>
      </x:c>
      <x:c r="D57" s="8" t="n">
        <x:v>46.4</x:v>
      </x:c>
      <x:c r="E57" s="22" t="n">
        <x:v>0.044</x:v>
      </x:c>
      <x:c r="F57" s="8" t="n">
        <x:v>2.0416</x:v>
      </x:c>
      <x:c r="G57" s="8" t="n">
        <x:v>4.2084</x:v>
      </x:c>
      <x:c r="H57" s="8" t="n">
        <x:v>4.2084</x:v>
      </x:c>
      <x:c r="I57" s="8" t="n">
        <x:v>0</x:v>
      </x:c>
      <x:c r="J57" s="8" t="n">
        <x:v>0</x:v>
      </x:c>
      <x:c r="K57" s="8" t="n">
        <x:v>0</x:v>
      </x:c>
      <x:c r="L57" s="9" t="n">
        <x:f>D57+J57-H57-I57-K57</x:f>
        <x:v>42.1916</x:v>
      </x:c>
    </x:row>
    <x:row r="58" ht="60" customHeight="1">
      <x:c r="A58" s="8" t="str">
        <x:v>Mixed consideration</x:v>
      </x:c>
      <x:c r="B58" s="8" t="str">
        <x:v>Acquisition term</x:v>
      </x:c>
      <x:c r="C58" s="23" t="n">
        <x:v>1</x:v>
      </x:c>
      <x:c r="D58" s="8" t="n">
        <x:v>1521.2325116219422</x:v>
      </x:c>
      <x:c r="E58" s="22" t="n">
        <x:v>0.07</x:v>
      </x:c>
      <x:c r="F58" s="8" t="n">
        <x:v>106.48627581353597</x:v>
      </x:c>
      <x:c r="G58" s="8" t="n">
        <x:v>30.424650232438843</x:v>
      </x:c>
      <x:c r="H58" s="8" t="n">
        <x:v>30.424650232438843</x:v>
      </x:c>
      <x:c r="I58" s="8" t="n">
        <x:v>0</x:v>
      </x:c>
      <x:c r="J58" s="8" t="n">
        <x:v>0</x:v>
      </x:c>
      <x:c r="K58" s="8" t="n">
        <x:v>0</x:v>
      </x:c>
      <x:c r="L58" s="9" t="n">
        <x:f>D58+J58-H58-I58-K58</x:f>
        <x:v>1490.8078613895034</x:v>
      </x:c>
    </x:row>
    <x:row r="59" ht="60" customHeight="1">
      <x:c r="A59" s="8" t="str">
        <x:v>Mixed consideration</x:v>
      </x:c>
      <x:c r="B59" s="8" t="str">
        <x:v>No facility (zero placeholder)</x:v>
      </x:c>
      <x:c r="C59" s="23" t="n">
        <x:v>1</x:v>
      </x:c>
      <x:c r="D59" s="8" t="n">
        <x:v>0</x:v>
      </x:c>
      <x:c r="E59" s="22" t="n">
        <x:v>0.045</x:v>
      </x:c>
      <x:c r="F59" s="8" t="n">
        <x:v>0</x:v>
      </x:c>
      <x:c r="G59" s="8" t="n">
        <x:v>0</x:v>
      </x:c>
      <x:c r="H59" s="8" t="n">
        <x:v>0</x:v>
      </x:c>
      <x:c r="I59" s="8" t="n">
        <x:v>0</x:v>
      </x:c>
      <x:c r="J59" s="8" t="n">
        <x:v>0</x:v>
      </x:c>
      <x:c r="K59" s="8" t="n">
        <x:v>0</x:v>
      </x:c>
      <x:c r="L59" s="9" t="n">
        <x:f>D59+J59-H59-I59-K59</x:f>
        <x:v>0</x:v>
      </x:c>
    </x:row>
    <x:row r="60" ht="60" customHeight="1">
      <x:c r="A60" s="8" t="str">
        <x:v>Mixed consideration</x:v>
      </x:c>
      <x:c r="B60" s="8" t="str">
        <x:v>DKS notes 2032</x:v>
      </x:c>
      <x:c r="C60" s="23" t="n">
        <x:v>2</x:v>
      </x:c>
      <x:c r="D60" s="8" t="n">
        <x:v>750</x:v>
      </x:c>
      <x:c r="E60" s="22" t="n">
        <x:v>0.0315</x:v>
      </x:c>
      <x:c r="F60" s="8" t="n">
        <x:v>23.625</x:v>
      </x:c>
      <x:c r="G60" s="8" t="n">
        <x:v>0</x:v>
      </x:c>
      <x:c r="H60" s="8" t="n">
        <x:v>0</x:v>
      </x:c>
      <x:c r="I60" s="8" t="n">
        <x:v>0</x:v>
      </x:c>
      <x:c r="J60" s="8" t="n">
        <x:v>0</x:v>
      </x:c>
      <x:c r="K60" s="8" t="n">
        <x:v>0</x:v>
      </x:c>
      <x:c r="L60" s="9" t="n">
        <x:f>D60+J60-H60-I60-K60</x:f>
        <x:v>750</x:v>
      </x:c>
    </x:row>
    <x:row r="61" ht="60" customHeight="1">
      <x:c r="A61" s="8" t="str">
        <x:v>Mixed consideration</x:v>
      </x:c>
      <x:c r="B61" s="8" t="str">
        <x:v>DKS notes 2052</x:v>
      </x:c>
      <x:c r="C61" s="23" t="n">
        <x:v>2</x:v>
      </x:c>
      <x:c r="D61" s="8" t="n">
        <x:v>750</x:v>
      </x:c>
      <x:c r="E61" s="22" t="n">
        <x:v>0.041</x:v>
      </x:c>
      <x:c r="F61" s="8" t="n">
        <x:v>30.75</x:v>
      </x:c>
      <x:c r="G61" s="8" t="n">
        <x:v>0</x:v>
      </x:c>
      <x:c r="H61" s="8" t="n">
        <x:v>0</x:v>
      </x:c>
      <x:c r="I61" s="8" t="n">
        <x:v>0</x:v>
      </x:c>
      <x:c r="J61" s="8" t="n">
        <x:v>0</x:v>
      </x:c>
      <x:c r="K61" s="8" t="n">
        <x:v>0</x:v>
      </x:c>
      <x:c r="L61" s="9" t="n">
        <x:f>D61+J61-H61-I61-K61</x:f>
        <x:v>750</x:v>
      </x:c>
    </x:row>
    <x:row r="62" ht="60" customHeight="1">
      <x:c r="A62" s="8" t="str">
        <x:v>Mixed consideration</x:v>
      </x:c>
      <x:c r="B62" s="8" t="str">
        <x:v>FL aggregate finance leases</x:v>
      </x:c>
      <x:c r="C62" s="23" t="n">
        <x:v>2</x:v>
      </x:c>
      <x:c r="D62" s="8" t="n">
        <x:v>42.1916</x:v>
      </x:c>
      <x:c r="E62" s="22" t="n">
        <x:v>0.044</x:v>
      </x:c>
      <x:c r="F62" s="8" t="n">
        <x:v>1.8564304</x:v>
      </x:c>
      <x:c r="G62" s="8" t="n">
        <x:v>3.3935696</x:v>
      </x:c>
      <x:c r="H62" s="8" t="n">
        <x:v>3.3935696</x:v>
      </x:c>
      <x:c r="I62" s="8" t="n">
        <x:v>0</x:v>
      </x:c>
      <x:c r="J62" s="8" t="n">
        <x:v>0</x:v>
      </x:c>
      <x:c r="K62" s="8" t="n">
        <x:v>0</x:v>
      </x:c>
      <x:c r="L62" s="9" t="n">
        <x:f>D62+J62-H62-I62-K62</x:f>
        <x:v>38.7980304</x:v>
      </x:c>
    </x:row>
    <x:row r="63" ht="60" customHeight="1">
      <x:c r="A63" s="8" t="str">
        <x:v>Mixed consideration</x:v>
      </x:c>
      <x:c r="B63" s="8" t="str">
        <x:v>Acquisition term</x:v>
      </x:c>
      <x:c r="C63" s="23" t="n">
        <x:v>2</x:v>
      </x:c>
      <x:c r="D63" s="8" t="n">
        <x:v>1490.8078613895034</x:v>
      </x:c>
      <x:c r="E63" s="22" t="n">
        <x:v>0.07</x:v>
      </x:c>
      <x:c r="F63" s="8" t="n">
        <x:v>104.35655029726524</x:v>
      </x:c>
      <x:c r="G63" s="8" t="n">
        <x:v>30.424650232438843</x:v>
      </x:c>
      <x:c r="H63" s="8" t="n">
        <x:v>30.424650232438843</x:v>
      </x:c>
      <x:c r="I63" s="8" t="n">
        <x:v>0</x:v>
      </x:c>
      <x:c r="J63" s="8" t="n">
        <x:v>0</x:v>
      </x:c>
      <x:c r="K63" s="8" t="n">
        <x:v>0</x:v>
      </x:c>
      <x:c r="L63" s="9" t="n">
        <x:f>D63+J63-H63-I63-K63</x:f>
        <x:v>1460.3832111570646</x:v>
      </x:c>
    </x:row>
    <x:row r="64" ht="60" customHeight="1">
      <x:c r="A64" s="8" t="str">
        <x:v>Mixed consideration</x:v>
      </x:c>
      <x:c r="B64" s="8" t="str">
        <x:v>No facility (zero placeholder)</x:v>
      </x:c>
      <x:c r="C64" s="23" t="n">
        <x:v>2</x:v>
      </x:c>
      <x:c r="D64" s="8" t="n">
        <x:v>0</x:v>
      </x:c>
      <x:c r="E64" s="22" t="n">
        <x:v>0.045</x:v>
      </x:c>
      <x:c r="F64" s="8" t="n">
        <x:v>0</x:v>
      </x:c>
      <x:c r="G64" s="8" t="n">
        <x:v>0</x:v>
      </x:c>
      <x:c r="H64" s="8" t="n">
        <x:v>0</x:v>
      </x:c>
      <x:c r="I64" s="8" t="n">
        <x:v>0</x:v>
      </x:c>
      <x:c r="J64" s="8" t="n">
        <x:v>0</x:v>
      </x:c>
      <x:c r="K64" s="8" t="n">
        <x:v>0</x:v>
      </x:c>
      <x:c r="L64" s="9" t="n">
        <x:f>D64+J64-H64-I64-K64</x:f>
        <x:v>0</x:v>
      </x:c>
    </x:row>
    <x:row r="65" ht="60" customHeight="1">
      <x:c r="A65" s="8" t="str">
        <x:v>Mixed consideration</x:v>
      </x:c>
      <x:c r="B65" s="8" t="str">
        <x:v>DKS notes 2032</x:v>
      </x:c>
      <x:c r="C65" s="23" t="n">
        <x:v>3</x:v>
      </x:c>
      <x:c r="D65" s="8" t="n">
        <x:v>750</x:v>
      </x:c>
      <x:c r="E65" s="22" t="n">
        <x:v>0.0315</x:v>
      </x:c>
      <x:c r="F65" s="8" t="n">
        <x:v>23.625</x:v>
      </x:c>
      <x:c r="G65" s="8" t="n">
        <x:v>0</x:v>
      </x:c>
      <x:c r="H65" s="8" t="n">
        <x:v>0</x:v>
      </x:c>
      <x:c r="I65" s="8" t="n">
        <x:v>0</x:v>
      </x:c>
      <x:c r="J65" s="8" t="n">
        <x:v>0</x:v>
      </x:c>
      <x:c r="K65" s="8" t="n">
        <x:v>0</x:v>
      </x:c>
      <x:c r="L65" s="9" t="n">
        <x:f>D65+J65-H65-I65-K65</x:f>
        <x:v>750</x:v>
      </x:c>
    </x:row>
    <x:row r="66" ht="60" customHeight="1">
      <x:c r="A66" s="8" t="str">
        <x:v>Mixed consideration</x:v>
      </x:c>
      <x:c r="B66" s="8" t="str">
        <x:v>DKS notes 2052</x:v>
      </x:c>
      <x:c r="C66" s="23" t="n">
        <x:v>3</x:v>
      </x:c>
      <x:c r="D66" s="8" t="n">
        <x:v>750</x:v>
      </x:c>
      <x:c r="E66" s="22" t="n">
        <x:v>0.041</x:v>
      </x:c>
      <x:c r="F66" s="8" t="n">
        <x:v>30.75</x:v>
      </x:c>
      <x:c r="G66" s="8" t="n">
        <x:v>0</x:v>
      </x:c>
      <x:c r="H66" s="8" t="n">
        <x:v>0</x:v>
      </x:c>
      <x:c r="I66" s="8" t="n">
        <x:v>0</x:v>
      </x:c>
      <x:c r="J66" s="8" t="n">
        <x:v>0</x:v>
      </x:c>
      <x:c r="K66" s="8" t="n">
        <x:v>0</x:v>
      </x:c>
      <x:c r="L66" s="9" t="n">
        <x:f>D66+J66-H66-I66-K66</x:f>
        <x:v>750</x:v>
      </x:c>
    </x:row>
    <x:row r="67" ht="60" customHeight="1">
      <x:c r="A67" s="8" t="str">
        <x:v>Mixed consideration</x:v>
      </x:c>
      <x:c r="B67" s="8" t="str">
        <x:v>FL aggregate finance leases</x:v>
      </x:c>
      <x:c r="C67" s="23" t="n">
        <x:v>3</x:v>
      </x:c>
      <x:c r="D67" s="8" t="n">
        <x:v>38.7980304</x:v>
      </x:c>
      <x:c r="E67" s="22" t="n">
        <x:v>0.044</x:v>
      </x:c>
      <x:c r="F67" s="8" t="n">
        <x:v>1.7071133376</x:v>
      </x:c>
      <x:c r="G67" s="8" t="n">
        <x:v>2.5428866624</x:v>
      </x:c>
      <x:c r="H67" s="8" t="n">
        <x:v>0</x:v>
      </x:c>
      <x:c r="I67" s="8" t="n">
        <x:v>0</x:v>
      </x:c>
      <x:c r="J67" s="8" t="n">
        <x:v>0</x:v>
      </x:c>
      <x:c r="K67" s="8" t="n">
        <x:v>0</x:v>
      </x:c>
      <x:c r="L67" s="9" t="n">
        <x:f>D67+J67-H67-I67-K67</x:f>
        <x:v>38.7980304</x:v>
      </x:c>
    </x:row>
    <x:row r="68" ht="60" customHeight="1">
      <x:c r="A68" s="8" t="str">
        <x:v>Mixed consideration</x:v>
      </x:c>
      <x:c r="B68" s="8" t="str">
        <x:v>Acquisition term</x:v>
      </x:c>
      <x:c r="C68" s="23" t="n">
        <x:v>3</x:v>
      </x:c>
      <x:c r="D68" s="8" t="n">
        <x:v>1460.3832111570646</x:v>
      </x:c>
      <x:c r="E68" s="22" t="n">
        <x:v>0.07</x:v>
      </x:c>
      <x:c r="F68" s="8" t="n">
        <x:v>102.22682478099453</x:v>
      </x:c>
      <x:c r="G68" s="8" t="n">
        <x:v>30.424650232438843</x:v>
      </x:c>
      <x:c r="H68" s="8" t="n">
        <x:v>0</x:v>
      </x:c>
      <x:c r="I68" s="8" t="n">
        <x:v>0</x:v>
      </x:c>
      <x:c r="J68" s="8" t="n">
        <x:v>0</x:v>
      </x:c>
      <x:c r="K68" s="8" t="n">
        <x:v>0</x:v>
      </x:c>
      <x:c r="L68" s="9" t="n">
        <x:f>D68+J68-H68-I68-K68</x:f>
        <x:v>1460.3832111570646</x:v>
      </x:c>
    </x:row>
    <x:row r="69" ht="60" customHeight="1">
      <x:c r="A69" s="8" t="str">
        <x:v>Mixed consideration</x:v>
      </x:c>
      <x:c r="B69" s="8" t="str">
        <x:v>No facility (zero placeholder)</x:v>
      </x:c>
      <x:c r="C69" s="23" t="n">
        <x:v>3</x:v>
      </x:c>
      <x:c r="D69" s="8" t="n">
        <x:v>0</x:v>
      </x:c>
      <x:c r="E69" s="22" t="n">
        <x:v>0.045</x:v>
      </x:c>
      <x:c r="F69" s="8" t="n">
        <x:v>0</x:v>
      </x:c>
      <x:c r="G69" s="8" t="n">
        <x:v>0</x:v>
      </x:c>
      <x:c r="H69" s="8" t="n">
        <x:v>0</x:v>
      </x:c>
      <x:c r="I69" s="8" t="n">
        <x:v>0</x:v>
      </x:c>
      <x:c r="J69" s="8" t="n">
        <x:v>0</x:v>
      </x:c>
      <x:c r="K69" s="8" t="n">
        <x:v>0</x:v>
      </x:c>
      <x:c r="L69" s="9" t="n">
        <x:f>D69+J69-H69-I69-K69</x:f>
        <x:v>0</x:v>
      </x:c>
    </x:row>
    <x:row r="70" ht="60" customHeight="1">
      <x:c r="A70" s="8" t="str">
        <x:v>Mixed consideration</x:v>
      </x:c>
      <x:c r="B70" s="8" t="str">
        <x:v>DKS notes 2032</x:v>
      </x:c>
      <x:c r="C70" s="23" t="n">
        <x:v>4</x:v>
      </x:c>
      <x:c r="D70" s="8" t="n">
        <x:v>750</x:v>
      </x:c>
      <x:c r="E70" s="22" t="n">
        <x:v>0.0315</x:v>
      </x:c>
      <x:c r="F70" s="8" t="n">
        <x:v>23.625</x:v>
      </x:c>
      <x:c r="G70" s="8" t="n">
        <x:v>0</x:v>
      </x:c>
      <x:c r="H70" s="8" t="n">
        <x:v>0</x:v>
      </x:c>
      <x:c r="I70" s="8" t="n">
        <x:v>0</x:v>
      </x:c>
      <x:c r="J70" s="8" t="n">
        <x:v>0</x:v>
      </x:c>
      <x:c r="K70" s="8" t="n">
        <x:v>0</x:v>
      </x:c>
      <x:c r="L70" s="9" t="n">
        <x:f>D70+J70-H70-I70-K70</x:f>
        <x:v>750</x:v>
      </x:c>
    </x:row>
    <x:row r="71" ht="60" customHeight="1">
      <x:c r="A71" s="8" t="str">
        <x:v>Mixed consideration</x:v>
      </x:c>
      <x:c r="B71" s="8" t="str">
        <x:v>DKS notes 2052</x:v>
      </x:c>
      <x:c r="C71" s="23" t="n">
        <x:v>4</x:v>
      </x:c>
      <x:c r="D71" s="8" t="n">
        <x:v>750</x:v>
      </x:c>
      <x:c r="E71" s="22" t="n">
        <x:v>0.041</x:v>
      </x:c>
      <x:c r="F71" s="8" t="n">
        <x:v>30.75</x:v>
      </x:c>
      <x:c r="G71" s="8" t="n">
        <x:v>0</x:v>
      </x:c>
      <x:c r="H71" s="8" t="n">
        <x:v>0</x:v>
      </x:c>
      <x:c r="I71" s="8" t="n">
        <x:v>0</x:v>
      </x:c>
      <x:c r="J71" s="8" t="n">
        <x:v>0</x:v>
      </x:c>
      <x:c r="K71" s="8" t="n">
        <x:v>0</x:v>
      </x:c>
      <x:c r="L71" s="9" t="n">
        <x:f>D71+J71-H71-I71-K71</x:f>
        <x:v>750</x:v>
      </x:c>
    </x:row>
    <x:row r="72" ht="60" customHeight="1">
      <x:c r="A72" s="8" t="str">
        <x:v>Mixed consideration</x:v>
      </x:c>
      <x:c r="B72" s="8" t="str">
        <x:v>FL aggregate finance leases</x:v>
      </x:c>
      <x:c r="C72" s="23" t="n">
        <x:v>4</x:v>
      </x:c>
      <x:c r="D72" s="8" t="n">
        <x:v>38.7980304</x:v>
      </x:c>
      <x:c r="E72" s="22" t="n">
        <x:v>0.044</x:v>
      </x:c>
      <x:c r="F72" s="8" t="n">
        <x:v>1.7071133376</x:v>
      </x:c>
      <x:c r="G72" s="8" t="n">
        <x:v>2.2928866624</x:v>
      </x:c>
      <x:c r="H72" s="8" t="n">
        <x:v>0</x:v>
      </x:c>
      <x:c r="I72" s="8" t="n">
        <x:v>0</x:v>
      </x:c>
      <x:c r="J72" s="8" t="n">
        <x:v>0</x:v>
      </x:c>
      <x:c r="K72" s="8" t="n">
        <x:v>0</x:v>
      </x:c>
      <x:c r="L72" s="9" t="n">
        <x:f>D72+J72-H72-I72-K72</x:f>
        <x:v>38.7980304</x:v>
      </x:c>
    </x:row>
    <x:row r="73" ht="60" customHeight="1">
      <x:c r="A73" s="8" t="str">
        <x:v>Mixed consideration</x:v>
      </x:c>
      <x:c r="B73" s="8" t="str">
        <x:v>Acquisition term</x:v>
      </x:c>
      <x:c r="C73" s="23" t="n">
        <x:v>4</x:v>
      </x:c>
      <x:c r="D73" s="8" t="n">
        <x:v>1460.3832111570646</x:v>
      </x:c>
      <x:c r="E73" s="22" t="n">
        <x:v>0.07</x:v>
      </x:c>
      <x:c r="F73" s="8" t="n">
        <x:v>102.22682478099453</x:v>
      </x:c>
      <x:c r="G73" s="8" t="n">
        <x:v>30.424650232438843</x:v>
      </x:c>
      <x:c r="H73" s="8" t="n">
        <x:v>0</x:v>
      </x:c>
      <x:c r="I73" s="8" t="n">
        <x:v>0</x:v>
      </x:c>
      <x:c r="J73" s="8" t="n">
        <x:v>0</x:v>
      </x:c>
      <x:c r="K73" s="8" t="n">
        <x:v>0</x:v>
      </x:c>
      <x:c r="L73" s="9" t="n">
        <x:f>D73+J73-H73-I73-K73</x:f>
        <x:v>1460.3832111570646</x:v>
      </x:c>
    </x:row>
    <x:row r="74" ht="60" customHeight="1">
      <x:c r="A74" s="8" t="str">
        <x:v>Mixed consideration</x:v>
      </x:c>
      <x:c r="B74" s="8" t="str">
        <x:v>No facility (zero placeholder)</x:v>
      </x:c>
      <x:c r="C74" s="23" t="n">
        <x:v>4</x:v>
      </x:c>
      <x:c r="D74" s="8" t="n">
        <x:v>0</x:v>
      </x:c>
      <x:c r="E74" s="22" t="n">
        <x:v>0.045</x:v>
      </x:c>
      <x:c r="F74" s="8" t="n">
        <x:v>0</x:v>
      </x:c>
      <x:c r="G74" s="8" t="n">
        <x:v>0</x:v>
      </x:c>
      <x:c r="H74" s="8" t="n">
        <x:v>0</x:v>
      </x:c>
      <x:c r="I74" s="8" t="n">
        <x:v>0</x:v>
      </x:c>
      <x:c r="J74" s="8" t="n">
        <x:v>0</x:v>
      </x:c>
      <x:c r="K74" s="8" t="n">
        <x:v>0</x:v>
      </x:c>
      <x:c r="L74" s="9" t="n">
        <x:f>D74+J74-H74-I74-K74</x:f>
        <x:v>0</x:v>
      </x:c>
    </x:row>
    <x:row r="75" ht="60" customHeight="1">
      <x:c r="A75" s="8" t="str">
        <x:v>Mixed consideration</x:v>
      </x:c>
      <x:c r="B75" s="8" t="str">
        <x:v>DKS notes 2032</x:v>
      </x:c>
      <x:c r="C75" s="23" t="n">
        <x:v>5</x:v>
      </x:c>
      <x:c r="D75" s="8" t="n">
        <x:v>750</x:v>
      </x:c>
      <x:c r="E75" s="22" t="n">
        <x:v>0.0315</x:v>
      </x:c>
      <x:c r="F75" s="8" t="n">
        <x:v>23.625</x:v>
      </x:c>
      <x:c r="G75" s="8" t="n">
        <x:v>0</x:v>
      </x:c>
      <x:c r="H75" s="8" t="n">
        <x:v>0</x:v>
      </x:c>
      <x:c r="I75" s="8" t="n">
        <x:v>0</x:v>
      </x:c>
      <x:c r="J75" s="8" t="n">
        <x:v>0</x:v>
      </x:c>
      <x:c r="K75" s="8" t="n">
        <x:v>0</x:v>
      </x:c>
      <x:c r="L75" s="9" t="n">
        <x:f>D75+J75-H75-I75-K75</x:f>
        <x:v>750</x:v>
      </x:c>
    </x:row>
    <x:row r="76" ht="60" customHeight="1">
      <x:c r="A76" s="8" t="str">
        <x:v>Mixed consideration</x:v>
      </x:c>
      <x:c r="B76" s="8" t="str">
        <x:v>DKS notes 2052</x:v>
      </x:c>
      <x:c r="C76" s="23" t="n">
        <x:v>5</x:v>
      </x:c>
      <x:c r="D76" s="8" t="n">
        <x:v>750</x:v>
      </x:c>
      <x:c r="E76" s="22" t="n">
        <x:v>0.041</x:v>
      </x:c>
      <x:c r="F76" s="8" t="n">
        <x:v>30.75</x:v>
      </x:c>
      <x:c r="G76" s="8" t="n">
        <x:v>0</x:v>
      </x:c>
      <x:c r="H76" s="8" t="n">
        <x:v>0</x:v>
      </x:c>
      <x:c r="I76" s="8" t="n">
        <x:v>0</x:v>
      </x:c>
      <x:c r="J76" s="8" t="n">
        <x:v>0</x:v>
      </x:c>
      <x:c r="K76" s="8" t="n">
        <x:v>0</x:v>
      </x:c>
      <x:c r="L76" s="9" t="n">
        <x:f>D76+J76-H76-I76-K76</x:f>
        <x:v>750</x:v>
      </x:c>
    </x:row>
    <x:row r="77" ht="60" customHeight="1">
      <x:c r="A77" s="8" t="str">
        <x:v>Mixed consideration</x:v>
      </x:c>
      <x:c r="B77" s="8" t="str">
        <x:v>FL aggregate finance leases</x:v>
      </x:c>
      <x:c r="C77" s="23" t="n">
        <x:v>5</x:v>
      </x:c>
      <x:c r="D77" s="8" t="n">
        <x:v>38.7980304</x:v>
      </x:c>
      <x:c r="E77" s="22" t="n">
        <x:v>0.044</x:v>
      </x:c>
      <x:c r="F77" s="8" t="n">
        <x:v>1.7071133376</x:v>
      </x:c>
      <x:c r="G77" s="8" t="n">
        <x:v>2.2928866624</x:v>
      </x:c>
      <x:c r="H77" s="8" t="n">
        <x:v>0</x:v>
      </x:c>
      <x:c r="I77" s="8" t="n">
        <x:v>0</x:v>
      </x:c>
      <x:c r="J77" s="8" t="n">
        <x:v>0</x:v>
      </x:c>
      <x:c r="K77" s="8" t="n">
        <x:v>0</x:v>
      </x:c>
      <x:c r="L77" s="9" t="n">
        <x:f>D77+J77-H77-I77-K77</x:f>
        <x:v>38.7980304</x:v>
      </x:c>
    </x:row>
    <x:row r="78" ht="60" customHeight="1">
      <x:c r="A78" s="8" t="str">
        <x:v>Mixed consideration</x:v>
      </x:c>
      <x:c r="B78" s="8" t="str">
        <x:v>Acquisition term</x:v>
      </x:c>
      <x:c r="C78" s="23" t="n">
        <x:v>5</x:v>
      </x:c>
      <x:c r="D78" s="8" t="n">
        <x:v>1460.3832111570646</x:v>
      </x:c>
      <x:c r="E78" s="22" t="n">
        <x:v>0.07</x:v>
      </x:c>
      <x:c r="F78" s="8" t="n">
        <x:v>102.22682478099453</x:v>
      </x:c>
      <x:c r="G78" s="8" t="n">
        <x:v>1460.3832111570646</x:v>
      </x:c>
      <x:c r="H78" s="8" t="n">
        <x:v>0</x:v>
      </x:c>
      <x:c r="I78" s="8" t="n">
        <x:v>0</x:v>
      </x:c>
      <x:c r="J78" s="8" t="n">
        <x:v>0</x:v>
      </x:c>
      <x:c r="K78" s="8" t="n">
        <x:v>0</x:v>
      </x:c>
      <x:c r="L78" s="9" t="n">
        <x:f>D78+J78-H78-I78-K78</x:f>
        <x:v>1460.3832111570646</x:v>
      </x:c>
    </x:row>
    <x:row r="79" ht="60" customHeight="1">
      <x:c r="A79" s="8" t="str">
        <x:v>Mixed consideration</x:v>
      </x:c>
      <x:c r="B79" s="8" t="str">
        <x:v>No facility (zero placeholder)</x:v>
      </x:c>
      <x:c r="C79" s="23" t="n">
        <x:v>5</x:v>
      </x:c>
      <x:c r="D79" s="8" t="n">
        <x:v>0</x:v>
      </x:c>
      <x:c r="E79" s="22" t="n">
        <x:v>0.045</x:v>
      </x:c>
      <x:c r="F79" s="8" t="n">
        <x:v>0</x:v>
      </x:c>
      <x:c r="G79" s="8" t="n">
        <x:v>0</x:v>
      </x:c>
      <x:c r="H79" s="8" t="n">
        <x:v>0</x:v>
      </x:c>
      <x:c r="I79" s="8" t="n">
        <x:v>0</x:v>
      </x:c>
      <x:c r="J79" s="8" t="n">
        <x:v>0</x:v>
      </x:c>
      <x:c r="K79" s="8" t="n">
        <x:v>0</x:v>
      </x:c>
      <x:c r="L79" s="9" t="n">
        <x:f>D79+J79-H79-I79-K79</x:f>
        <x:v>0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0" hidden="0" customWidth="1"/>
    <x:col min="2" max="2" width="28" hidden="0" customWidth="1"/>
    <x:col min="3" max="3" width="28" hidden="0" customWidth="1"/>
    <x:col min="4" max="4" width="28" hidden="0" customWidth="1"/>
    <x:col min="5" max="5" width="65" hidden="0" customWidth="1"/>
    <x:col min="6" max="6" width="22" hidden="0" customWidth="1"/>
  </x:cols>
  <x:sheetData>
    <x:row r="2" ht="42" customHeight="1">
      <x:c r="A2" s="5" t="str">
        <x:v>PUBLIC INFORMATION | Public capacity and stress</x:v>
      </x:c>
      <x:c r="B2" s="5"/>
      <x:c r="C2" s="5"/>
      <x:c r="D2" s="5"/>
      <x:c r="E2" s="5"/>
      <x:c r="F2" s="5"/>
    </x:row>
    <x:row r="3" ht="42" customHeight="1">
      <x:c r="A3" s="4" t="str">
        <x:v>Conditional model snapshots; strict recommendation remains blocked. USD millions unless stated.</x:v>
      </x:c>
      <x:c r="B3" s="4"/>
      <x:c r="C3" s="4"/>
      <x:c r="D3" s="4"/>
      <x:c r="E3" s="4"/>
      <x:c r="F3" s="4"/>
    </x:row>
    <x:row r="4" ht="42" customHeight="1">
      <x:c r="A4" s="7" t="str">
        <x:v>Policy / study</x:v>
      </x:c>
      <x:c r="B4" s="7" t="str">
        <x:v>Structure</x:v>
      </x:c>
      <x:c r="C4" s="7" t="str">
        <x:v>Maximum acquisition debt / decline</x:v>
      </x:c>
      <x:c r="D4" s="7" t="str">
        <x:v>Residual analytical equity</x:v>
      </x:c>
      <x:c r="E4" s="7" t="str">
        <x:v>Constraint / status</x:v>
      </x:c>
      <x:c r="F4" s="7" t="str">
        <x:v>Resolution</x:v>
      </x:c>
    </x:row>
    <x:row r="5" ht="60" customHeight="1">
      <x:c r="A5" s="8" t="str">
        <x:v>Base</x:v>
      </x:c>
      <x:c r="B5" s="8" t="str">
        <x:v>Cash-first</x:v>
      </x:c>
      <x:c r="C5" s="8" t="str">
        <x:v>No feasible solution</x:v>
      </x:c>
      <x:c r="D5" s="8" t="str">
        <x:v>No feasible solution</x:v>
      </x:c>
      <x:c r="E5" s="8" t="str">
        <x:v>cash / year 1; headroom -3.65</x:v>
      </x:c>
      <x:c r="F5" s="24" t="n">
        <x:v>5</x:v>
      </x:c>
    </x:row>
    <x:row r="6" ht="60" customHeight="1">
      <x:c r="A6" s="8" t="str">
        <x:v>Base</x:v>
      </x:c>
      <x:c r="B6" s="8" t="str">
        <x:v>Liquidity-first</x:v>
      </x:c>
      <x:c r="C6" s="8" t="str">
        <x:v>No feasible solution</x:v>
      </x:c>
      <x:c r="D6" s="8" t="str">
        <x:v>No feasible solution</x:v>
      </x:c>
      <x:c r="E6" s="8" t="str">
        <x:v>cash / year 2; headroom -561.34</x:v>
      </x:c>
      <x:c r="F6" s="24" t="n">
        <x:v>5</x:v>
      </x:c>
    </x:row>
    <x:row r="7" ht="60" customHeight="1">
      <x:c r="A7" s="8" t="str">
        <x:v>Base</x:v>
      </x:c>
      <x:c r="B7" s="8" t="str">
        <x:v>Mixed consideration</x:v>
      </x:c>
      <x:c r="C7" s="8" t="str">
        <x:v>No feasible solution</x:v>
      </x:c>
      <x:c r="D7" s="8" t="str">
        <x:v>No feasible solution</x:v>
      </x:c>
      <x:c r="E7" s="8" t="str">
        <x:v>cash / year 1; headroom -3.65</x:v>
      </x:c>
      <x:c r="F7" s="24" t="n">
        <x:v>5</x:v>
      </x:c>
    </x:row>
    <x:row r="8" ht="60" customHeight="1">
      <x:c r="A8" s="8" t="str">
        <x:v>No discretionary dividends</x:v>
      </x:c>
      <x:c r="B8" s="8" t="str">
        <x:v>Cash-first</x:v>
      </x:c>
      <x:c r="C8" s="8" t="str">
        <x:v>No feasible solution</x:v>
      </x:c>
      <x:c r="D8" s="8" t="str">
        <x:v>No feasible solution</x:v>
      </x:c>
      <x:c r="E8" s="8" t="str">
        <x:v>cash / year 2; headroom -166.19</x:v>
      </x:c>
      <x:c r="F8" s="24" t="n">
        <x:v>5</x:v>
      </x:c>
    </x:row>
    <x:row r="9" ht="60" customHeight="1">
      <x:c r="A9" s="8" t="str">
        <x:v>No discretionary dividends</x:v>
      </x:c>
      <x:c r="B9" s="8" t="str">
        <x:v>Liquidity-first</x:v>
      </x:c>
      <x:c r="C9" s="8" t="str">
        <x:v>No feasible solution</x:v>
      </x:c>
      <x:c r="D9" s="8" t="str">
        <x:v>No feasible solution</x:v>
      </x:c>
      <x:c r="E9" s="8" t="str">
        <x:v>cash / year 4; headroom -75.66</x:v>
      </x:c>
      <x:c r="F9" s="24" t="n">
        <x:v>5</x:v>
      </x:c>
    </x:row>
    <x:row r="10" ht="60" customHeight="1">
      <x:c r="A10" s="8" t="str">
        <x:v>No discretionary dividends</x:v>
      </x:c>
      <x:c r="B10" s="8" t="str">
        <x:v>Mixed consideration</x:v>
      </x:c>
      <x:c r="C10" s="8" t="str">
        <x:v>No feasible solution</x:v>
      </x:c>
      <x:c r="D10" s="8" t="str">
        <x:v>No feasible solution</x:v>
      </x:c>
      <x:c r="E10" s="8" t="str">
        <x:v>cash / year 2; headroom -166.19</x:v>
      </x:c>
      <x:c r="F10" s="24" t="n">
        <x:v>5</x:v>
      </x:c>
    </x:row>
    <x:row r="11" ht="60" customHeight="1">
      <x:c r="A11" s="8" t="str">
        <x:v>Assumed term refinancing</x:v>
      </x:c>
      <x:c r="B11" s="8" t="str">
        <x:v>Cash-first</x:v>
      </x:c>
      <x:c r="C11" s="8" t="str">
        <x:v>No feasible solution</x:v>
      </x:c>
      <x:c r="D11" s="8" t="str">
        <x:v>No feasible solution</x:v>
      </x:c>
      <x:c r="E11" s="8" t="str">
        <x:v>cash / year 1; headroom -3.65</x:v>
      </x:c>
      <x:c r="F11" s="24" t="n">
        <x:v>5</x:v>
      </x:c>
    </x:row>
    <x:row r="12" ht="60" customHeight="1">
      <x:c r="A12" s="8" t="str">
        <x:v>Assumed term refinancing</x:v>
      </x:c>
      <x:c r="B12" s="8" t="str">
        <x:v>Liquidity-first</x:v>
      </x:c>
      <x:c r="C12" s="8" t="str">
        <x:v>No feasible solution</x:v>
      </x:c>
      <x:c r="D12" s="8" t="str">
        <x:v>No feasible solution</x:v>
      </x:c>
      <x:c r="E12" s="8" t="str">
        <x:v>cash / year 2; headroom -561.34</x:v>
      </x:c>
      <x:c r="F12" s="24" t="n">
        <x:v>5</x:v>
      </x:c>
    </x:row>
    <x:row r="13" ht="60" customHeight="1">
      <x:c r="A13" s="8" t="str">
        <x:v>Assumed term refinancing</x:v>
      </x:c>
      <x:c r="B13" s="8" t="str">
        <x:v>Mixed consideration</x:v>
      </x:c>
      <x:c r="C13" s="8" t="str">
        <x:v>No feasible solution</x:v>
      </x:c>
      <x:c r="D13" s="8" t="str">
        <x:v>No feasible solution</x:v>
      </x:c>
      <x:c r="E13" s="8" t="str">
        <x:v>cash / year 1; headroom -3.65</x:v>
      </x:c>
      <x:c r="F13" s="24" t="n">
        <x:v>5</x:v>
      </x:c>
    </x:row>
    <x:row r="14" ht="60" customHeight="1">
      <x:c r="A14" s="8" t="str">
        <x:v>Lower reinvestment and dividends suspended</x:v>
      </x:c>
      <x:c r="B14" s="8" t="str">
        <x:v>Cash-first</x:v>
      </x:c>
      <x:c r="C14" s="8" t="n">
        <x:v>1040</x:v>
      </x:c>
      <x:c r="D14" s="8" t="n">
        <x:v>623.8440204015963</x:v>
      </x:c>
      <x:c r="E14" s="8" t="str">
        <x:v>cash / year 5; headroom -3.65</x:v>
      </x:c>
      <x:c r="F14" s="24" t="n">
        <x:v>5</x:v>
      </x:c>
    </x:row>
    <x:row r="15" ht="60" customHeight="1">
      <x:c r="A15" s="8" t="str">
        <x:v>Lower reinvestment and dividends suspended</x:v>
      </x:c>
      <x:c r="B15" s="8" t="str">
        <x:v>Liquidity-first</x:v>
      </x:c>
      <x:c r="C15" s="8" t="n">
        <x:v>1625</x:v>
      </x:c>
      <x:c r="D15" s="8" t="n">
        <x:v>668.4539679999998</x:v>
      </x:c>
      <x:c r="E15" s="8" t="str">
        <x:v>cash / year 5; headroom -1.00</x:v>
      </x:c>
      <x:c r="F15" s="24" t="n">
        <x:v>5</x:v>
      </x:c>
    </x:row>
    <x:row r="16" ht="60" customHeight="1">
      <x:c r="A16" s="8" t="str">
        <x:v>Lower reinvestment and dividends suspended</x:v>
      </x:c>
      <x:c r="B16" s="8" t="str">
        <x:v>Mixed consideration</x:v>
      </x:c>
      <x:c r="C16" s="8" t="n">
        <x:v>517.1170364</x:v>
      </x:c>
      <x:c r="D16" s="8" t="n">
        <x:v>1.5963905752869323e-9</x:v>
      </x:c>
      <x:c r="E16" s="8" t="str">
        <x:v>None</x:v>
      </x:c>
      <x:c r="F16" s="24" t="n">
        <x:v>5</x:v>
      </x:c>
    </x:row>
    <x:row r="17" ht="60" customHeight="1">
      <x:c r="A17" s="8" t="str">
        <x:v>Central cost downside</x:v>
      </x:c>
      <x:c r="B17" s="8" t="str">
        <x:v>Cash-first</x:v>
      </x:c>
      <x:c r="C17" s="8" t="str">
        <x:v>No feasible solution</x:v>
      </x:c>
      <x:c r="D17" s="8" t="str">
        <x:v>No feasible solution</x:v>
      </x:c>
      <x:c r="E17" s="8" t="str">
        <x:v>cash / year 1; headroom -45.57</x:v>
      </x:c>
      <x:c r="F17" s="24" t="n">
        <x:v>5</x:v>
      </x:c>
    </x:row>
    <x:row r="18" ht="60" customHeight="1">
      <x:c r="A18" s="8" t="str">
        <x:v>Central cost downside</x:v>
      </x:c>
      <x:c r="B18" s="8" t="str">
        <x:v>Liquidity-first</x:v>
      </x:c>
      <x:c r="C18" s="8" t="str">
        <x:v>No feasible solution</x:v>
      </x:c>
      <x:c r="D18" s="8" t="str">
        <x:v>No feasible solution</x:v>
      </x:c>
      <x:c r="E18" s="8" t="str">
        <x:v>cash / year 2; headroom -854.38</x:v>
      </x:c>
      <x:c r="F18" s="24" t="n">
        <x:v>5</x:v>
      </x:c>
    </x:row>
    <x:row r="19" ht="60" customHeight="1">
      <x:c r="A19" s="8" t="str">
        <x:v>Central cost downside</x:v>
      </x:c>
      <x:c r="B19" s="8" t="str">
        <x:v>Mixed consideration</x:v>
      </x:c>
      <x:c r="C19" s="8" t="str">
        <x:v>No feasible solution</x:v>
      </x:c>
      <x:c r="D19" s="8" t="str">
        <x:v>No feasible solution</x:v>
      </x:c>
      <x:c r="E19" s="8" t="str">
        <x:v>cash / year 1; headroom -45.57</x:v>
      </x:c>
      <x:c r="F19" s="24" t="n">
        <x:v>5</x:v>
      </x:c>
    </x:row>
    <x:row r="20" ht="60" customHeight="1">
      <x:c r="A20" s="8" t="str">
        <x:v>More fixed cost behaviour</x:v>
      </x:c>
      <x:c r="B20" s="8" t="str">
        <x:v>Cash-first</x:v>
      </x:c>
      <x:c r="C20" s="8" t="str">
        <x:v>No feasible solution</x:v>
      </x:c>
      <x:c r="D20" s="8" t="str">
        <x:v>No feasible solution</x:v>
      </x:c>
      <x:c r="E20" s="8" t="str">
        <x:v>cash / year 1; headroom -216.96</x:v>
      </x:c>
      <x:c r="F20" s="24" t="n">
        <x:v>5</x:v>
      </x:c>
    </x:row>
    <x:row r="21" ht="60" customHeight="1">
      <x:c r="A21" s="8" t="str">
        <x:v>More fixed cost behaviour</x:v>
      </x:c>
      <x:c r="B21" s="8" t="str">
        <x:v>Liquidity-first</x:v>
      </x:c>
      <x:c r="C21" s="8" t="str">
        <x:v>No feasible solution</x:v>
      </x:c>
      <x:c r="D21" s="8" t="str">
        <x:v>No feasible solution</x:v>
      </x:c>
      <x:c r="E21" s="8" t="str">
        <x:v>cash / year 2; headroom -1,201.57</x:v>
      </x:c>
      <x:c r="F21" s="24" t="n">
        <x:v>5</x:v>
      </x:c>
    </x:row>
    <x:row r="22" ht="60" customHeight="1">
      <x:c r="A22" s="8" t="str">
        <x:v>More fixed cost behaviour</x:v>
      </x:c>
      <x:c r="B22" s="8" t="str">
        <x:v>Mixed consideration</x:v>
      </x:c>
      <x:c r="C22" s="8" t="str">
        <x:v>No feasible solution</x:v>
      </x:c>
      <x:c r="D22" s="8" t="str">
        <x:v>No feasible solution</x:v>
      </x:c>
      <x:c r="E22" s="8" t="str">
        <x:v>cash / year 1; headroom -216.96</x:v>
      </x:c>
      <x:c r="F22" s="24" t="n">
        <x:v>5</x:v>
      </x:c>
    </x:row>
    <x:row r="23" ht="60" customHeight="1">
      <x:c r="A23" s="8" t="str">
        <x:v>More variable cost behaviour</x:v>
      </x:c>
      <x:c r="B23" s="8" t="str">
        <x:v>Cash-first</x:v>
      </x:c>
      <x:c r="C23" s="8" t="str">
        <x:v>No feasible solution</x:v>
      </x:c>
      <x:c r="D23" s="8" t="str">
        <x:v>No feasible solution</x:v>
      </x:c>
      <x:c r="E23" s="8" t="str">
        <x:v>cash / year 2; headroom -540.90</x:v>
      </x:c>
      <x:c r="F23" s="24" t="n">
        <x:v>5</x:v>
      </x:c>
    </x:row>
    <x:row r="24" ht="60" customHeight="1">
      <x:c r="A24" s="8" t="str">
        <x:v>More variable cost behaviour</x:v>
      </x:c>
      <x:c r="B24" s="8" t="str">
        <x:v>Liquidity-first</x:v>
      </x:c>
      <x:c r="C24" s="8" t="str">
        <x:v>No feasible solution</x:v>
      </x:c>
      <x:c r="D24" s="8" t="str">
        <x:v>No feasible solution</x:v>
      </x:c>
      <x:c r="E24" s="8" t="str">
        <x:v>cash / year 2; headroom -527.98</x:v>
      </x:c>
      <x:c r="F24" s="24" t="n">
        <x:v>5</x:v>
      </x:c>
    </x:row>
    <x:row r="25" ht="60" customHeight="1">
      <x:c r="A25" s="8" t="str">
        <x:v>More variable cost behaviour</x:v>
      </x:c>
      <x:c r="B25" s="8" t="str">
        <x:v>Mixed consideration</x:v>
      </x:c>
      <x:c r="C25" s="8" t="str">
        <x:v>No feasible solution</x:v>
      </x:c>
      <x:c r="D25" s="8" t="str">
        <x:v>No feasible solution</x:v>
      </x:c>
      <x:c r="E25" s="8" t="str">
        <x:v>cash / year 2; headroom -540.90</x:v>
      </x:c>
      <x:c r="F25" s="24" t="n">
        <x:v>5</x:v>
      </x:c>
    </x:row>
    <x:row r="26" ht="60" customHeight="1">
      <x:c r="A26" s="8" t="str">
        <x:v>Linked lower investment - mild</x:v>
      </x:c>
      <x:c r="B26" s="8" t="str">
        <x:v>Cash-first</x:v>
      </x:c>
      <x:c r="C26" s="8" t="n">
        <x:v>635</x:v>
      </x:c>
      <x:c r="D26" s="8" t="n">
        <x:v>1028.8440204015963</x:v>
      </x:c>
      <x:c r="E26" s="8" t="str">
        <x:v>cash / year 5; headroom -3.58</x:v>
      </x:c>
      <x:c r="F26" s="24" t="n">
        <x:v>5</x:v>
      </x:c>
    </x:row>
    <x:row r="27" ht="60" customHeight="1">
      <x:c r="A27" s="8" t="str">
        <x:v>Linked lower investment - mild</x:v>
      </x:c>
      <x:c r="B27" s="8" t="str">
        <x:v>Liquidity-first</x:v>
      </x:c>
      <x:c r="C27" s="8" t="n">
        <x:v>1220</x:v>
      </x:c>
      <x:c r="D27" s="8" t="n">
        <x:v>1073.4539679999998</x:v>
      </x:c>
      <x:c r="E27" s="8" t="str">
        <x:v>cash / year 5; headroom -0.94</x:v>
      </x:c>
      <x:c r="F27" s="24" t="n">
        <x:v>5</x:v>
      </x:c>
    </x:row>
    <x:row r="28" ht="60" customHeight="1">
      <x:c r="A28" s="8" t="str">
        <x:v>Linked lower investment - mild</x:v>
      </x:c>
      <x:c r="B28" s="8" t="str">
        <x:v>Mixed consideration</x:v>
      </x:c>
      <x:c r="C28" s="8" t="n">
        <x:v>517.1170364</x:v>
      </x:c>
      <x:c r="D28" s="8" t="n">
        <x:v>1.5963905752869323e-9</x:v>
      </x:c>
      <x:c r="E28" s="8" t="str">
        <x:v>None</x:v>
      </x:c>
      <x:c r="F28" s="24" t="n">
        <x:v>5</x:v>
      </x:c>
    </x:row>
    <x:row r="29" ht="60" customHeight="1">
      <x:c r="A29" s="8" t="str">
        <x:v>Linked lower investment - stronger</x:v>
      </x:c>
      <x:c r="B29" s="8" t="str">
        <x:v>Cash-first</x:v>
      </x:c>
      <x:c r="C29" s="8" t="n">
        <x:v>235</x:v>
      </x:c>
      <x:c r="D29" s="8" t="n">
        <x:v>1428.8440204015963</x:v>
      </x:c>
      <x:c r="E29" s="8" t="str">
        <x:v>cash / year 5; headroom -5.07</x:v>
      </x:c>
      <x:c r="F29" s="24" t="n">
        <x:v>5</x:v>
      </x:c>
    </x:row>
    <x:row r="30" ht="60" customHeight="1">
      <x:c r="A30" s="8" t="str">
        <x:v>Linked lower investment - stronger</x:v>
      </x:c>
      <x:c r="B30" s="8" t="str">
        <x:v>Liquidity-first</x:v>
      </x:c>
      <x:c r="C30" s="8" t="n">
        <x:v>820</x:v>
      </x:c>
      <x:c r="D30" s="8" t="n">
        <x:v>1473.4539679999998</x:v>
      </x:c>
      <x:c r="E30" s="8" t="str">
        <x:v>cash / year 5; headroom -2.67</x:v>
      </x:c>
      <x:c r="F30" s="24" t="n">
        <x:v>5</x:v>
      </x:c>
    </x:row>
    <x:row r="31" ht="60" customHeight="1">
      <x:c r="A31" s="8" t="str">
        <x:v>Linked lower investment - stronger</x:v>
      </x:c>
      <x:c r="B31" s="8" t="str">
        <x:v>Mixed consideration</x:v>
      </x:c>
      <x:c r="C31" s="8" t="n">
        <x:v>235</x:v>
      </x:c>
      <x:c r="D31" s="8" t="n">
        <x:v>282.11703640159635</x:v>
      </x:c>
      <x:c r="E31" s="8" t="str">
        <x:v>cash / year 5; headroom -5.07</x:v>
      </x:c>
      <x:c r="F31" s="24" t="n">
        <x:v>5</x:v>
      </x:c>
    </x:row>
    <x:row r="32" ht="60" customHeight="1">
      <x:c r="A32" s="8" t="str">
        <x:v>Fixed financing fee budget</x:v>
      </x:c>
      <x:c r="B32" s="8" t="str">
        <x:v>Cash-first</x:v>
      </x:c>
      <x:c r="C32" s="8" t="str">
        <x:v>No feasible solution</x:v>
      </x:c>
      <x:c r="D32" s="8" t="str">
        <x:v>No feasible solution</x:v>
      </x:c>
      <x:c r="E32" s="8" t="str">
        <x:v>cash / year 1; headroom -6.61</x:v>
      </x:c>
      <x:c r="F32" s="24" t="n">
        <x:v>5</x:v>
      </x:c>
    </x:row>
    <x:row r="33" ht="60" customHeight="1">
      <x:c r="A33" s="8" t="str">
        <x:v>Fixed financing fee budget</x:v>
      </x:c>
      <x:c r="B33" s="8" t="str">
        <x:v>Liquidity-first</x:v>
      </x:c>
      <x:c r="C33" s="8" t="str">
        <x:v>No feasible solution</x:v>
      </x:c>
      <x:c r="D33" s="8" t="str">
        <x:v>No feasible solution</x:v>
      </x:c>
      <x:c r="E33" s="8" t="str">
        <x:v>cash / year 2; headroom -564.79</x:v>
      </x:c>
      <x:c r="F33" s="24" t="n">
        <x:v>5</x:v>
      </x:c>
    </x:row>
    <x:row r="34" ht="60" customHeight="1">
      <x:c r="A34" s="8" t="str">
        <x:v>Fixed financing fee budget</x:v>
      </x:c>
      <x:c r="B34" s="8" t="str">
        <x:v>Mixed consideration</x:v>
      </x:c>
      <x:c r="C34" s="8" t="str">
        <x:v>No feasible solution</x:v>
      </x:c>
      <x:c r="D34" s="8" t="str">
        <x:v>No feasible solution</x:v>
      </x:c>
      <x:c r="E34" s="8" t="str">
        <x:v>cash / year 1; headroom -4.95</x:v>
      </x:c>
      <x:c r="F34" s="24" t="n">
        <x:v>5</x:v>
      </x:c>
    </x:row>
    <x:row r="35" ht="60" customHeight="1">
      <x:c r="A35" s="8" t="str">
        <x:v>Reverse revenue decline (fraction)</x:v>
      </x:c>
      <x:c r="B35" s="8" t="str">
        <x:v>Cash-first</x:v>
      </x:c>
      <x:c r="C35" s="8" t="n">
        <x:v>0</x:v>
      </x:c>
      <x:c r="D35" s="8"/>
      <x:c r="E35" s="8" t="str">
        <x:v>Already failing at starting point; cash / year 1; headroom -151.71</x:v>
      </x:c>
      <x:c r="F35" s="24" t="n">
        <x:v>0.01</x:v>
      </x:c>
    </x:row>
    <x:row r="36" ht="60" customHeight="1">
      <x:c r="A36" s="8" t="str">
        <x:v>Reverse revenue decline (fraction)</x:v>
      </x:c>
      <x:c r="B36" s="8" t="str">
        <x:v>Liquidity-first</x:v>
      </x:c>
      <x:c r="C36" s="8" t="n">
        <x:v>0</x:v>
      </x:c>
      <x:c r="D36" s="8"/>
      <x:c r="E36" s="8" t="str">
        <x:v>Already failing at starting point; cash / year 2; headroom -733.84</x:v>
      </x:c>
      <x:c r="F36" s="24" t="n">
        <x:v>0.01</x:v>
      </x:c>
    </x:row>
    <x:row r="37" ht="60" customHeight="1">
      <x:c r="A37" s="8" t="str">
        <x:v>Reverse revenue decline (fraction)</x:v>
      </x:c>
      <x:c r="B37" s="8" t="str">
        <x:v>Mixed consideration</x:v>
      </x:c>
      <x:c r="C37" s="8" t="n">
        <x:v>0</x:v>
      </x:c>
      <x:c r="D37" s="8"/>
      <x:c r="E37" s="8" t="str">
        <x:v>Already failing at starting point; cash / year 1; headroom -68.51</x:v>
      </x:c>
      <x:c r="F37" s="24" t="n">
        <x:v>0.01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5" hidden="0" customWidth="1"/>
    <x:col min="2" max="2" width="2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90" hidden="0" customWidth="1"/>
  </x:cols>
  <x:sheetData>
    <x:row r="2" ht="42" customHeight="1">
      <x:c r="A2" s="5" t="str">
        <x:v>PUBLIC INFORMATION | Public comparisons</x:v>
      </x:c>
      <x:c r="B2" s="5"/>
      <x:c r="C2" s="5"/>
      <x:c r="D2" s="5"/>
      <x:c r="E2" s="5"/>
      <x:c r="F2" s="5"/>
      <x:c r="G2" s="5"/>
      <x:c r="H2" s="5"/>
      <x:c r="I2" s="5"/>
    </x:row>
    <x:row r="3" ht="42" customHeight="1">
      <x:c r="A3" s="4" t="str">
        <x:v>Conditional model snapshots; strict recommendation remains blocked. USD millions unless stated.</x:v>
      </x:c>
      <x:c r="B3" s="4"/>
      <x:c r="C3" s="4"/>
      <x:c r="D3" s="4"/>
      <x:c r="E3" s="4"/>
      <x:c r="F3" s="4"/>
      <x:c r="G3" s="4"/>
      <x:c r="H3" s="4"/>
      <x:c r="I3" s="4"/>
    </x:row>
    <x:row r="4" ht="42" customHeight="1">
      <x:c r="A4" s="7" t="str">
        <x:v>Scenario</x:v>
      </x:c>
      <x:c r="B4" s="7" t="str">
        <x:v>Structure</x:v>
      </x:c>
      <x:c r="C4" s="7" t="str">
        <x:v>Passes analytical screens</x:v>
      </x:c>
      <x:c r="D4" s="7" t="str">
        <x:v>New debt</x:v>
      </x:c>
      <x:c r="E4" s="7" t="str">
        <x:v>Minimum cash</x:v>
      </x:c>
      <x:c r="F4" s="7" t="str">
        <x:v>Five-year interest</x:v>
      </x:c>
      <x:c r="G4" s="7" t="str">
        <x:v>Common dilution fraction</x:v>
      </x:c>
      <x:c r="H4" s="7" t="str">
        <x:v>First breach</x:v>
      </x:c>
      <x:c r="I4" s="7" t="str">
        <x:v>Assumption changes</x:v>
      </x:c>
    </x:row>
    <x:row r="5" ht="60" customHeight="1">
      <x:c r="A5" s="8" t="str">
        <x:v>Base</x:v>
      </x:c>
      <x:c r="B5" s="8" t="str">
        <x:v>Cash-first</x:v>
      </x:c>
      <x:c r="C5" s="17" t="b">
        <x:v>0</x:v>
      </x:c>
      <x:c r="D5" s="8" t="n">
        <x:v>2691.362087132146</x:v>
      </x:c>
      <x:c r="E5" s="8" t="n">
        <x:v>-1904.4458177454808</x:v>
      </x:c>
      <x:c r="F5" s="8" t="n">
        <x:v>1208.2474244083112</x:v>
      </x:c>
      <x:c r="G5" s="22" t="n">
        <x:v>0</x:v>
      </x:c>
      <x:c r="H5" s="8" t="str">
        <x:v>{"period": 1, "year": 1, "constraint": "cash", "headroom": -151.7087785450933}</x:v>
      </x:c>
      <x:c r="I5" s="8" t="str">
        <x:v>{}</x:v>
      </x:c>
    </x:row>
    <x:row r="6" ht="60" customHeight="1">
      <x:c r="A6" s="8" t="str">
        <x:v>Base</x:v>
      </x:c>
      <x:c r="B6" s="8" t="str">
        <x:v>Liquidity-first</x:v>
      </x:c>
      <x:c r="C6" s="17" t="b">
        <x:v>0</x:v>
      </x:c>
      <x:c r="D6" s="8" t="n">
        <x:v>2949.1952696544217</x:v>
      </x:c>
      <x:c r="E6" s="8" t="n">
        <x:v>-1840.5015998529639</x:v>
      </x:c>
      <x:c r="F6" s="8" t="n">
        <x:v>1261.0725768554014</x:v>
      </x:c>
      <x:c r="G6" s="22" t="n">
        <x:v>0</x:v>
      </x:c>
      <x:c r="H6" s="8" t="str">
        <x:v>{"period": 2, "year": 2, "constraint": "cash", "headroom": -733.8431788712214}</x:v>
      </x:c>
      <x:c r="I6" s="8" t="str">
        <x:v>{}</x:v>
      </x:c>
    </x:row>
    <x:row r="7" ht="60" customHeight="1">
      <x:c r="A7" s="8" t="str">
        <x:v>Base</x:v>
      </x:c>
      <x:c r="B7" s="8" t="str">
        <x:v>Mixed consideration</x:v>
      </x:c>
      <x:c r="C7" s="17" t="b">
        <x:v>0</x:v>
      </x:c>
      <x:c r="D7" s="8" t="n">
        <x:v>1521.2325116219422</x:v>
      </x:c>
      <x:c r="E7" s="8" t="n">
        <x:v>-1615.6857259822552</x:v>
      </x:c>
      <x:c r="F7" s="8" t="n">
        <x:v>798.4176708665848</x:v>
      </x:c>
      <x:c r="G7" s="22" t="n">
        <x:v>0.06517517078138706</x:v>
      </x:c>
      <x:c r="H7" s="8" t="str">
        <x:v>{"period": 1, "year": 1, "constraint": "cash", "headroom": -68.51256572631758}</x:v>
      </x:c>
      <x:c r="I7" s="8" t="str">
        <x:v>{}</x:v>
      </x:c>
    </x:row>
    <x:row r="8" ht="60" customHeight="1">
      <x:c r="A8" s="8" t="str">
        <x:v>Envelope cash 0%, awards 0%, CFO access 0%</x:v>
      </x:c>
      <x:c r="B8" s="8" t="str">
        <x:v>Cash-first</x:v>
      </x:c>
      <x:c r="C8" s="17" t="b">
        <x:v>0</x:v>
      </x:c>
      <x:c r="D8" s="8" t="n">
        <x:v>2842.2465676136053</x:v>
      </x:c>
      <x:c r="E8" s="8" t="n">
        <x:v>-11047.388501254762</x:v>
      </x:c>
      <x:c r="F8" s="8" t="n">
        <x:v>1276.869298664762</x:v>
      </x:c>
      <x:c r="G8" s="22" t="n">
        <x:v>0</x:v>
      </x:c>
      <x:c r="H8" s="8" t="str">
        <x:v>{"period": 0, "year": 0, "constraint": "cash", "headroom": -750.0}</x:v>
      </x:c>
      <x:c r="I8" s="8" t="str">
        <x:v>{"cash_access": 0.0, "award_fraction": 0.0, "operating_cash_access": 0.0}</x:v>
      </x:c>
    </x:row>
    <x:row r="9" ht="60" customHeight="1">
      <x:c r="A9" s="8" t="str">
        <x:v>Envelope cash 0%, awards 0%, CFO access 0%</x:v>
      </x:c>
      <x:c r="B9" s="8" t="str">
        <x:v>Liquidity-first</x:v>
      </x:c>
      <x:c r="C9" s="17" t="b">
        <x:v>0</x:v>
      </x:c>
      <x:c r="D9" s="8" t="n">
        <x:v>2842.2465676136053</x:v>
      </x:c>
      <x:c r="E9" s="8" t="n">
        <x:v>-11047.388501254762</x:v>
      </x:c>
      <x:c r="F9" s="8" t="n">
        <x:v>1276.869298664762</x:v>
      </x:c>
      <x:c r="G9" s="22" t="n">
        <x:v>0</x:v>
      </x:c>
      <x:c r="H9" s="8" t="str">
        <x:v>{"period": 0, "year": 0, "constraint": "cash", "headroom": -750.0}</x:v>
      </x:c>
      <x:c r="I9" s="8" t="str">
        <x:v>{"cash_access": 0.0, "award_fraction": 0.0, "operating_cash_access": 0.0}</x:v>
      </x:c>
    </x:row>
    <x:row r="10" ht="60" customHeight="1">
      <x:c r="A10" s="8" t="str">
        <x:v>Envelope cash 0%, awards 0%, CFO access 0%</x:v>
      </x:c>
      <x:c r="B10" s="8" t="str">
        <x:v>Mixed consideration</x:v>
      </x:c>
      <x:c r="C10" s="17" t="b">
        <x:v>0</x:v>
      </x:c>
      <x:c r="D10" s="8" t="n">
        <x:v>1672.1169921034013</x:v>
      </x:c>
      <x:c r="E10" s="8" t="n">
        <x:v>-10637.843149826189</x:v>
      </x:c>
      <x:c r="F10" s="8" t="n">
        <x:v>867.3239472361905</x:v>
      </x:c>
      <x:c r="G10" s="22" t="n">
        <x:v>0.06517517078138706</x:v>
      </x:c>
      <x:c r="H10" s="8" t="str">
        <x:v>{"period": 0, "year": 0, "constraint": "cash", "headroom": -750.0}</x:v>
      </x:c>
      <x:c r="I10" s="8" t="str">
        <x:v>{"cash_access": 0.0, "award_fraction": 0.0, "operating_cash_access": 0.0}</x:v>
      </x:c>
    </x:row>
    <x:row r="11" ht="60" customHeight="1">
      <x:c r="A11" s="8" t="str">
        <x:v>Envelope cash 0%, awards 0%, CFO access 100%</x:v>
      </x:c>
      <x:c r="B11" s="8" t="str">
        <x:v>Cash-first</x:v>
      </x:c>
      <x:c r="C11" s="17" t="b">
        <x:v>0</x:v>
      </x:c>
      <x:c r="D11" s="8" t="n">
        <x:v>2842.2465676136053</x:v>
      </x:c>
      <x:c r="E11" s="8" t="n">
        <x:v>-2646.504144210047</x:v>
      </x:c>
      <x:c r="F11" s="8" t="n">
        <x:v>1276.869298664762</x:v>
      </x:c>
      <x:c r="G11" s="22" t="n">
        <x:v>0</x:v>
      </x:c>
      <x:c r="H11" s="8" t="str">
        <x:v>{"period": 0, "year": 0, "constraint": "cash", "headroom": -750.0}</x:v>
      </x:c>
      <x:c r="I11" s="8" t="str">
        <x:v>{"cash_access": 0.0, "award_fraction": 0.0, "operating_cash_access": 1.0}</x:v>
      </x:c>
    </x:row>
    <x:row r="12" ht="60" customHeight="1">
      <x:c r="A12" s="8" t="str">
        <x:v>Envelope cash 0%, awards 0%, CFO access 100%</x:v>
      </x:c>
      <x:c r="B12" s="8" t="str">
        <x:v>Liquidity-first</x:v>
      </x:c>
      <x:c r="C12" s="17" t="b">
        <x:v>0</x:v>
      </x:c>
      <x:c r="D12" s="8" t="n">
        <x:v>2842.2465676136053</x:v>
      </x:c>
      <x:c r="E12" s="8" t="n">
        <x:v>-2646.504144210047</x:v>
      </x:c>
      <x:c r="F12" s="8" t="n">
        <x:v>1276.869298664762</x:v>
      </x:c>
      <x:c r="G12" s="22" t="n">
        <x:v>0</x:v>
      </x:c>
      <x:c r="H12" s="8" t="str">
        <x:v>{"period": 0, "year": 0, "constraint": "cash", "headroom": -750.0}</x:v>
      </x:c>
      <x:c r="I12" s="8" t="str">
        <x:v>{"cash_access": 0.0, "award_fraction": 0.0, "operating_cash_access": 1.0}</x:v>
      </x:c>
    </x:row>
    <x:row r="13" ht="60" customHeight="1">
      <x:c r="A13" s="8" t="str">
        <x:v>Envelope cash 0%, awards 0%, CFO access 100%</x:v>
      </x:c>
      <x:c r="B13" s="8" t="str">
        <x:v>Mixed consideration</x:v>
      </x:c>
      <x:c r="C13" s="17" t="b">
        <x:v>0</x:v>
      </x:c>
      <x:c r="D13" s="8" t="n">
        <x:v>1672.1169921034013</x:v>
      </x:c>
      <x:c r="E13" s="8" t="n">
        <x:v>-2347.5360376671897</x:v>
      </x:c>
      <x:c r="F13" s="8" t="n">
        <x:v>867.3239472361905</x:v>
      </x:c>
      <x:c r="G13" s="22" t="n">
        <x:v>0.06517517078138706</x:v>
      </x:c>
      <x:c r="H13" s="8" t="str">
        <x:v>{"period": 0, "year": 0, "constraint": "cash", "headroom": -750.0}</x:v>
      </x:c>
      <x:c r="I13" s="8" t="str">
        <x:v>{"cash_access": 0.0, "award_fraction": 0.0, "operating_cash_access": 1.0}</x:v>
      </x:c>
    </x:row>
    <x:row r="14" ht="60" customHeight="1">
      <x:c r="A14" s="8" t="str">
        <x:v>Envelope cash 0%, awards 100%, CFO access 0%</x:v>
      </x:c>
      <x:c r="B14" s="8" t="str">
        <x:v>Cash-first</x:v>
      </x:c>
      <x:c r="C14" s="17" t="b">
        <x:v>0</x:v>
      </x:c>
      <x:c r="D14" s="8" t="n">
        <x:v>2949.1952696544217</x:v>
      </x:c>
      <x:c r="E14" s="8" t="n">
        <x:v>-11084.820546969047</x:v>
      </x:c>
      <x:c r="F14" s="8" t="n">
        <x:v>1314.3013443790478</x:v>
      </x:c>
      <x:c r="G14" s="22" t="n">
        <x:v>0</x:v>
      </x:c>
      <x:c r="H14" s="8" t="str">
        <x:v>{"period": 0, "year": 0, "constraint": "cash", "headroom": -750.0}</x:v>
      </x:c>
      <x:c r="I14" s="8" t="str">
        <x:v>{"cash_access": 0.0, "award_fraction": 1.0, "operating_cash_access": 0.0}</x:v>
      </x:c>
    </x:row>
    <x:row r="15" ht="60" customHeight="1">
      <x:c r="A15" s="8" t="str">
        <x:v>Envelope cash 0%, awards 100%, CFO access 0%</x:v>
      </x:c>
      <x:c r="B15" s="8" t="str">
        <x:v>Liquidity-first</x:v>
      </x:c>
      <x:c r="C15" s="17" t="b">
        <x:v>0</x:v>
      </x:c>
      <x:c r="D15" s="8" t="n">
        <x:v>2949.1952696544217</x:v>
      </x:c>
      <x:c r="E15" s="8" t="n">
        <x:v>-11084.820546969047</x:v>
      </x:c>
      <x:c r="F15" s="8" t="n">
        <x:v>1314.3013443790478</x:v>
      </x:c>
      <x:c r="G15" s="22" t="n">
        <x:v>0</x:v>
      </x:c>
      <x:c r="H15" s="8" t="str">
        <x:v>{"period": 0, "year": 0, "constraint": "cash", "headroom": -750.0}</x:v>
      </x:c>
      <x:c r="I15" s="8" t="str">
        <x:v>{"cash_access": 0.0, "award_fraction": 1.0, "operating_cash_access": 0.0}</x:v>
      </x:c>
    </x:row>
    <x:row r="16" ht="60" customHeight="1">
      <x:c r="A16" s="8" t="str">
        <x:v>Envelope cash 0%, awards 100%, CFO access 0%</x:v>
      </x:c>
      <x:c r="B16" s="8" t="str">
        <x:v>Mixed consideration</x:v>
      </x:c>
      <x:c r="C16" s="17" t="b">
        <x:v>0</x:v>
      </x:c>
      <x:c r="D16" s="8" t="n">
        <x:v>1779.0656941442176</x:v>
      </x:c>
      <x:c r="E16" s="8" t="n">
        <x:v>-10675.275195540475</x:v>
      </x:c>
      <x:c r="F16" s="8" t="n">
        <x:v>904.7559929504763</x:v>
      </x:c>
      <x:c r="G16" s="22" t="n">
        <x:v>0.06517517078138706</x:v>
      </x:c>
      <x:c r="H16" s="8" t="str">
        <x:v>{"period": 0, "year": 0, "constraint": "cash", "headroom": -750.0}</x:v>
      </x:c>
      <x:c r="I16" s="8" t="str">
        <x:v>{"cash_access": 0.0, "award_fraction": 1.0, "operating_cash_access": 0.0}</x:v>
      </x:c>
    </x:row>
    <x:row r="17" ht="60" customHeight="1">
      <x:c r="A17" s="8" t="str">
        <x:v>Envelope cash 0%, awards 100%, CFO access 100%</x:v>
      </x:c>
      <x:c r="B17" s="8" t="str">
        <x:v>Cash-first</x:v>
      </x:c>
      <x:c r="C17" s="17" t="b">
        <x:v>0</x:v>
      </x:c>
      <x:c r="D17" s="8" t="n">
        <x:v>2949.1952696544217</x:v>
      </x:c>
      <x:c r="E17" s="8" t="n">
        <x:v>-2673.829537581476</x:v>
      </x:c>
      <x:c r="F17" s="8" t="n">
        <x:v>1314.3013443790478</x:v>
      </x:c>
      <x:c r="G17" s="22" t="n">
        <x:v>0</x:v>
      </x:c>
      <x:c r="H17" s="8" t="str">
        <x:v>{"period": 0, "year": 0, "constraint": "cash", "headroom": -750.0}</x:v>
      </x:c>
      <x:c r="I17" s="8" t="str">
        <x:v>{"cash_access": 0.0, "award_fraction": 1.0, "operating_cash_access": 1.0}</x:v>
      </x:c>
    </x:row>
    <x:row r="18" ht="60" customHeight="1">
      <x:c r="A18" s="8" t="str">
        <x:v>Envelope cash 0%, awards 100%, CFO access 100%</x:v>
      </x:c>
      <x:c r="B18" s="8" t="str">
        <x:v>Liquidity-first</x:v>
      </x:c>
      <x:c r="C18" s="17" t="b">
        <x:v>0</x:v>
      </x:c>
      <x:c r="D18" s="8" t="n">
        <x:v>2949.1952696544217</x:v>
      </x:c>
      <x:c r="E18" s="8" t="n">
        <x:v>-2673.829537581476</x:v>
      </x:c>
      <x:c r="F18" s="8" t="n">
        <x:v>1314.3013443790478</x:v>
      </x:c>
      <x:c r="G18" s="22" t="n">
        <x:v>0</x:v>
      </x:c>
      <x:c r="H18" s="8" t="str">
        <x:v>{"period": 0, "year": 0, "constraint": "cash", "headroom": -750.0}</x:v>
      </x:c>
      <x:c r="I18" s="8" t="str">
        <x:v>{"cash_access": 0.0, "award_fraction": 1.0, "operating_cash_access": 1.0}</x:v>
      </x:c>
    </x:row>
    <x:row r="19" ht="60" customHeight="1">
      <x:c r="A19" s="8" t="str">
        <x:v>Envelope cash 0%, awards 100%, CFO access 100%</x:v>
      </x:c>
      <x:c r="B19" s="8" t="str">
        <x:v>Mixed consideration</x:v>
      </x:c>
      <x:c r="C19" s="17" t="b">
        <x:v>0</x:v>
      </x:c>
      <x:c r="D19" s="8" t="n">
        <x:v>1779.0656941442176</x:v>
      </x:c>
      <x:c r="E19" s="8" t="n">
        <x:v>-2374.8614310386183</x:v>
      </x:c>
      <x:c r="F19" s="8" t="n">
        <x:v>904.7559929504763</x:v>
      </x:c>
      <x:c r="G19" s="22" t="n">
        <x:v>0.06517517078138706</x:v>
      </x:c>
      <x:c r="H19" s="8" t="str">
        <x:v>{"period": 0, "year": 0, "constraint": "cash", "headroom": -750.0}</x:v>
      </x:c>
      <x:c r="I19" s="8" t="str">
        <x:v>{"cash_access": 0.0, "award_fraction": 1.0, "operating_cash_access": 1.0}</x:v>
      </x:c>
    </x:row>
    <x:row r="20" ht="60" customHeight="1">
      <x:c r="A20" s="8" t="str">
        <x:v>Envelope cash 100%, awards 0%, CFO access 0%</x:v>
      </x:c>
      <x:c r="B20" s="8" t="str">
        <x:v>Cash-first</x:v>
      </x:c>
      <x:c r="C20" s="17" t="b">
        <x:v>0</x:v>
      </x:c>
      <x:c r="D20" s="8" t="n">
        <x:v>2243.3669501009117</x:v>
      </x:c>
      <x:c r="E20" s="8" t="n">
        <x:v>-10087.780635125318</x:v>
      </x:c>
      <x:c r="F20" s="8" t="n">
        <x:v>1067.2614325353193</x:v>
      </x:c>
      <x:c r="G20" s="22" t="n">
        <x:v>0</x:v>
      </x:c>
      <x:c r="H20" s="8" t="str">
        <x:v>{"period": 1, "year": 1, "constraint": "cash", "headroom": -2110.675439857064}</x:v>
      </x:c>
      <x:c r="I20" s="8" t="str">
        <x:v>{"cash_access": 1.0, "award_fraction": 0.0, "operating_cash_access": 0.0}</x:v>
      </x:c>
    </x:row>
    <x:row r="21" ht="60" customHeight="1">
      <x:c r="A21" s="8" t="str">
        <x:v>Envelope cash 100%, awards 0%, CFO access 0%</x:v>
      </x:c>
      <x:c r="B21" s="8" t="str">
        <x:v>Liquidity-first</x:v>
      </x:c>
      <x:c r="C21" s="17" t="b">
        <x:v>0</x:v>
      </x:c>
      <x:c r="D21" s="8" t="n">
        <x:v>2842.2465676136053</x:v>
      </x:c>
      <x:c r="E21" s="8" t="n">
        <x:v>-9710.486476092323</x:v>
      </x:c>
      <x:c r="F21" s="8" t="n">
        <x:v>1276.869298664762</x:v>
      </x:c>
      <x:c r="G21" s="22" t="n">
        <x:v>0</x:v>
      </x:c>
      <x:c r="H21" s="8" t="str">
        <x:v>{"period": 1, "year": 1, "constraint": "cash", "headroom": -1565.6949879205126}</x:v>
      </x:c>
      <x:c r="I21" s="8" t="str">
        <x:v>{"cash_access": 1.0, "award_fraction": 0.0, "operating_cash_access": 0.0}</x:v>
      </x:c>
    </x:row>
    <x:row r="22" ht="60" customHeight="1">
      <x:c r="A22" s="8" t="str">
        <x:v>Envelope cash 100%, awards 0%, CFO access 0%</x:v>
      </x:c>
      <x:c r="B22" s="8" t="str">
        <x:v>Mixed consideration</x:v>
      </x:c>
      <x:c r="C22" s="17" t="b">
        <x:v>0</x:v>
      </x:c>
      <x:c r="D22" s="8" t="n">
        <x:v>1073.2373745907078</x:v>
      </x:c>
      <x:c r="E22" s="8" t="n">
        <x:v>-9678.235283696748</x:v>
      </x:c>
      <x:c r="F22" s="8" t="n">
        <x:v>657.7160811067478</x:v>
      </x:c>
      <x:c r="G22" s="22" t="n">
        <x:v>0.06517517078138706</x:v>
      </x:c>
      <x:c r="H22" s="8" t="str">
        <x:v>{"period": 1, "year": 1, "constraint": "cash", "headroom": -2028.7663695713495}</x:v>
      </x:c>
      <x:c r="I22" s="8" t="str">
        <x:v>{"cash_access": 1.0, "award_fraction": 0.0, "operating_cash_access": 0.0}</x:v>
      </x:c>
    </x:row>
    <x:row r="23" ht="60" customHeight="1">
      <x:c r="A23" s="8" t="str">
        <x:v>Envelope cash 100%, awards 0%, CFO access 100%</x:v>
      </x:c>
      <x:c r="B23" s="8" t="str">
        <x:v>Cash-first</x:v>
      </x:c>
      <x:c r="C23" s="17" t="b">
        <x:v>0</x:v>
      </x:c>
      <x:c r="D23" s="8" t="n">
        <x:v>2243.3669501009117</x:v>
      </x:c>
      <x:c r="E23" s="8" t="n">
        <x:v>-1782.8545616135589</x:v>
      </x:c>
      <x:c r="F23" s="8" t="n">
        <x:v>1053.957899214754</x:v>
      </x:c>
      <x:c r="G23" s="22" t="n">
        <x:v>0</x:v>
      </x:c>
      <x:c r="H23" s="8" t="str">
        <x:v>{"period": 1, "year": 1, "constraint": "cash", "headroom": -119.85632430217208}</x:v>
      </x:c>
      <x:c r="I23" s="8" t="str">
        <x:v>{"cash_access": 1.0, "award_fraction": 0.0, "operating_cash_access": 1.0}</x:v>
      </x:c>
    </x:row>
    <x:row r="24" ht="60" customHeight="1">
      <x:c r="A24" s="8" t="str">
        <x:v>Envelope cash 100%, awards 0%, CFO access 100%</x:v>
      </x:c>
      <x:c r="B24" s="8" t="str">
        <x:v>Liquidity-first</x:v>
      </x:c>
      <x:c r="C24" s="17" t="b">
        <x:v>0</x:v>
      </x:c>
      <x:c r="D24" s="8" t="n">
        <x:v>2842.2465676136053</x:v>
      </x:c>
      <x:c r="E24" s="8" t="n">
        <x:v>-1747.3974602686376</x:v>
      </x:c>
      <x:c r="F24" s="8" t="n">
        <x:v>1128.9763518995164</x:v>
      </x:c>
      <x:c r="G24" s="22" t="n">
        <x:v>0</x:v>
      </x:c>
      <x:c r="H24" s="8" t="str">
        <x:v>{"period": 2, "year": 2, "constraint": "cash", "headroom": -708.8809372644133}</x:v>
      </x:c>
      <x:c r="I24" s="8" t="str">
        <x:v>{"cash_access": 1.0, "award_fraction": 0.0, "operating_cash_access": 1.0}</x:v>
      </x:c>
    </x:row>
    <x:row r="25" ht="60" customHeight="1">
      <x:c r="A25" s="8" t="str">
        <x:v>Envelope cash 100%, awards 0%, CFO access 100%</x:v>
      </x:c>
      <x:c r="B25" s="8" t="str">
        <x:v>Mixed consideration</x:v>
      </x:c>
      <x:c r="C25" s="17" t="b">
        <x:v>0</x:v>
      </x:c>
      <x:c r="D25" s="8" t="n">
        <x:v>1073.2373745907078</x:v>
      </x:c>
      <x:c r="E25" s="8" t="n">
        <x:v>-1486.5081201998469</x:v>
      </x:c>
      <x:c r="F25" s="8" t="n">
        <x:v>646.0097252485588</x:v>
      </x:c>
      <x:c r="G25" s="22" t="n">
        <x:v>0.06517517078138706</x:v>
      </x:c>
      <x:c r="H25" s="8" t="str">
        <x:v>{"period": 1, "year": 1, "constraint": "cash", "headroom": -36.66011148339669}</x:v>
      </x:c>
      <x:c r="I25" s="8" t="str">
        <x:v>{"cash_access": 1.0, "award_fraction": 0.0, "operating_cash_access": 1.0}</x:v>
      </x:c>
    </x:row>
    <x:row r="26" ht="60" customHeight="1">
      <x:c r="A26" s="8" t="str">
        <x:v>Envelope cash 100%, awards 100%, CFO access 0%</x:v>
      </x:c>
      <x:c r="B26" s="8" t="str">
        <x:v>Cash-first</x:v>
      </x:c>
      <x:c r="C26" s="17" t="b">
        <x:v>0</x:v>
      </x:c>
      <x:c r="D26" s="8" t="n">
        <x:v>2350.315652141728</x:v>
      </x:c>
      <x:c r="E26" s="8" t="n">
        <x:v>-10125.212680839604</x:v>
      </x:c>
      <x:c r="F26" s="8" t="n">
        <x:v>1104.693478249605</x:v>
      </x:c>
      <x:c r="G26" s="22" t="n">
        <x:v>0</x:v>
      </x:c>
      <x:c r="H26" s="8" t="str">
        <x:v>{"period": 1, "year": 1, "constraint": "cash", "headroom": -2118.161848999921}</x:v>
      </x:c>
      <x:c r="I26" s="8" t="str">
        <x:v>{"cash_access": 1.0, "award_fraction": 1.0, "operating_cash_access": 0.0}</x:v>
      </x:c>
    </x:row>
    <x:row r="27" ht="60" customHeight="1">
      <x:c r="A27" s="8" t="str">
        <x:v>Envelope cash 100%, awards 100%, CFO access 0%</x:v>
      </x:c>
      <x:c r="B27" s="8" t="str">
        <x:v>Liquidity-first</x:v>
      </x:c>
      <x:c r="C27" s="17" t="b">
        <x:v>0</x:v>
      </x:c>
      <x:c r="D27" s="8" t="n">
        <x:v>2949.1952696544217</x:v>
      </x:c>
      <x:c r="E27" s="8" t="n">
        <x:v>-9747.918521806609</x:v>
      </x:c>
      <x:c r="F27" s="8" t="n">
        <x:v>1314.3013443790478</x:v>
      </x:c>
      <x:c r="G27" s="22" t="n">
        <x:v>0</x:v>
      </x:c>
      <x:c r="H27" s="8" t="str">
        <x:v>{"period": 1, "year": 1, "constraint": "cash", "headroom": -1573.1813970633698}</x:v>
      </x:c>
      <x:c r="I27" s="8" t="str">
        <x:v>{"cash_access": 1.0, "award_fraction": 1.0, "operating_cash_access": 0.0}</x:v>
      </x:c>
    </x:row>
    <x:row r="28" ht="60" customHeight="1">
      <x:c r="A28" s="8" t="str">
        <x:v>Envelope cash 100%, awards 100%, CFO access 0%</x:v>
      </x:c>
      <x:c r="B28" s="8" t="str">
        <x:v>Mixed consideration</x:v>
      </x:c>
      <x:c r="C28" s="17" t="b">
        <x:v>0</x:v>
      </x:c>
      <x:c r="D28" s="8" t="n">
        <x:v>1180.186076631524</x:v>
      </x:c>
      <x:c r="E28" s="8" t="n">
        <x:v>-9715.667329411033</x:v>
      </x:c>
      <x:c r="F28" s="8" t="n">
        <x:v>695.1481268210335</x:v>
      </x:c>
      <x:c r="G28" s="22" t="n">
        <x:v>0.06517517078138706</x:v>
      </x:c>
      <x:c r="H28" s="8" t="str">
        <x:v>{"period": 1, "year": 1, "constraint": "cash", "headroom": -2036.2527787142067}</x:v>
      </x:c>
      <x:c r="I28" s="8" t="str">
        <x:v>{"cash_access": 1.0, "award_fraction": 1.0, "operating_cash_access": 0.0}</x:v>
      </x:c>
    </x:row>
    <x:row r="29" ht="60" customHeight="1">
      <x:c r="A29" s="8" t="str">
        <x:v>Envelope cash 100%, awards 100%, CFO access 100%</x:v>
      </x:c>
      <x:c r="B29" s="8" t="str">
        <x:v>Cash-first</x:v>
      </x:c>
      <x:c r="C29" s="17" t="b">
        <x:v>0</x:v>
      </x:c>
      <x:c r="D29" s="8" t="n">
        <x:v>2350.315652141728</x:v>
      </x:c>
      <x:c r="E29" s="8" t="n">
        <x:v>-1811.8817227318611</x:v>
      </x:c>
      <x:c r="F29" s="8" t="n">
        <x:v>1090.791032197611</x:v>
      </x:c>
      <x:c r="G29" s="22" t="n">
        <x:v>0</x:v>
      </x:c>
      <x:c r="H29" s="8" t="str">
        <x:v>{"period": 1, "year": 1, "constraint": "cash", "headroom": -127.46037701727437}</x:v>
      </x:c>
      <x:c r="I29" s="8" t="str">
        <x:v>{"cash_access": 1.0, "award_fraction": 1.0, "operating_cash_access": 1.0}</x:v>
      </x:c>
    </x:row>
    <x:row r="30" ht="60" customHeight="1">
      <x:c r="A30" s="8" t="str">
        <x:v>Envelope cash 100%, awards 100%, CFO access 100%</x:v>
      </x:c>
      <x:c r="B30" s="8" t="str">
        <x:v>Liquidity-first</x:v>
      </x:c>
      <x:c r="C30" s="17" t="b">
        <x:v>0</x:v>
      </x:c>
      <x:c r="D30" s="8" t="n">
        <x:v>2949.1952696544217</x:v>
      </x:c>
      <x:c r="E30" s="8" t="n">
        <x:v>-1772.1859063671632</x:v>
      </x:c>
      <x:c r="F30" s="8" t="n">
        <x:v>1167.4894350940306</x:v>
      </x:c>
      <x:c r="G30" s="22" t="n">
        <x:v>0</x:v>
      </x:c>
      <x:c r="H30" s="8" t="str">
        <x:v>{"period": 2, "year": 2, "constraint": "cash", "headroom": -716.7642554997713}</x:v>
      </x:c>
      <x:c r="I30" s="8" t="str">
        <x:v>{"cash_access": 1.0, "award_fraction": 1.0, "operating_cash_access": 1.0}</x:v>
      </x:c>
    </x:row>
    <x:row r="31" ht="60" customHeight="1">
      <x:c r="A31" s="8" t="str">
        <x:v>Envelope cash 100%, awards 100%, CFO access 100%</x:v>
      </x:c>
      <x:c r="B31" s="8" t="str">
        <x:v>Mixed consideration</x:v>
      </x:c>
      <x:c r="C31" s="17" t="b">
        <x:v>0</x:v>
      </x:c>
      <x:c r="D31" s="8" t="n">
        <x:v>1180.186076631524</x:v>
      </x:c>
      <x:c r="E31" s="8" t="n">
        <x:v>-1517.3463506385085</x:v>
      </x:c>
      <x:c r="F31" s="8" t="n">
        <x:v>682.3936736828445</x:v>
      </x:c>
      <x:c r="G31" s="22" t="n">
        <x:v>0.06517517078138706</x:v>
      </x:c>
      <x:c r="H31" s="8" t="str">
        <x:v>{"period": 1, "year": 1, "constraint": "cash", "headroom": -44.264164198498975}</x:v>
      </x:c>
      <x:c r="I31" s="8" t="str">
        <x:v>{"cash_access": 1.0, "award_fraction": 1.0, "operating_cash_access": 1.0}</x:v>
      </x:c>
    </x:row>
    <x:row r="32" ht="60" customHeight="1">
      <x:c r="A32" s="8" t="str">
        <x:v>Operating downside</x:v>
      </x:c>
      <x:c r="B32" s="8" t="str">
        <x:v>Cash-first</x:v>
      </x:c>
      <x:c r="C32" s="17" t="b">
        <x:v>0</x:v>
      </x:c>
      <x:c r="D32" s="8" t="n">
        <x:v>2691.362087132146</x:v>
      </x:c>
      <x:c r="E32" s="8" t="n">
        <x:v>-6848.383690566336</x:v>
      </x:c>
      <x:c r="F32" s="8" t="n">
        <x:v>1208.2474244083112</x:v>
      </x:c>
      <x:c r="G32" s="22" t="n">
        <x:v>0</x:v>
      </x:c>
      <x:c r="H32" s="8" t="str">
        <x:v>{"period": 1, "year": 1, "constraint": "cash", "headroom": -439.33558292009565}</x:v>
      </x:c>
      <x:c r="I32" s="8" t="str">
        <x:v>{"growth": [-0.05, -0.1], "margin_shock": -0.01, "synergy": 0.0, "integration_multiplier": 2.0}</x:v>
      </x:c>
    </x:row>
    <x:row r="33" ht="60" customHeight="1">
      <x:c r="A33" s="8" t="str">
        <x:v>Operating downside</x:v>
      </x:c>
      <x:c r="B33" s="8" t="str">
        <x:v>Liquidity-first</x:v>
      </x:c>
      <x:c r="C33" s="17" t="b">
        <x:v>0</x:v>
      </x:c>
      <x:c r="D33" s="8" t="n">
        <x:v>2949.1952696544217</x:v>
      </x:c>
      <x:c r="E33" s="8" t="n">
        <x:v>-6680.012950049274</x:v>
      </x:c>
      <x:c r="F33" s="8" t="n">
        <x:v>1297.0451724689829</x:v>
      </x:c>
      <x:c r="G33" s="22" t="n">
        <x:v>0</x:v>
      </x:c>
      <x:c r="H33" s="8" t="str">
        <x:v>{"period": 1, "year": 1, "constraint": "cash", "headroom": -204.99100332559965}</x:v>
      </x:c>
      <x:c r="I33" s="8" t="str">
        <x:v>{"growth": [-0.05, -0.1], "margin_shock": -0.01, "synergy": 0.0, "integration_multiplier": 2.0}</x:v>
      </x:c>
    </x:row>
    <x:row r="34" ht="60" customHeight="1">
      <x:c r="A34" s="8" t="str">
        <x:v>Operating downside</x:v>
      </x:c>
      <x:c r="B34" s="8" t="str">
        <x:v>Mixed consideration</x:v>
      </x:c>
      <x:c r="C34" s="17" t="b">
        <x:v>0</x:v>
      </x:c>
      <x:c r="D34" s="8" t="n">
        <x:v>1521.2325116219422</x:v>
      </x:c>
      <x:c r="E34" s="8" t="n">
        <x:v>-6465.777062225159</x:v>
      </x:c>
      <x:c r="F34" s="8" t="n">
        <x:v>805.2547986025969</x:v>
      </x:c>
      <x:c r="G34" s="22" t="n">
        <x:v>0.06517517078138706</x:v>
      </x:c>
      <x:c r="H34" s="8" t="str">
        <x:v>{"period": 1, "year": 1, "constraint": "cash", "headroom": -356.13937010132}</x:v>
      </x:c>
      <x:c r="I34" s="8" t="str">
        <x:v>{"growth": [-0.05, -0.1], "margin_shock": -0.01, "synergy": 0.0, "integration_multiplier": 2.0}</x:v>
      </x:c>
    </x:row>
    <x:row r="35" ht="60" customHeight="1">
      <x:c r="A35" s="8" t="str">
        <x:v>No discretionary dividends</x:v>
      </x:c>
      <x:c r="B35" s="8" t="str">
        <x:v>Cash-first</x:v>
      </x:c>
      <x:c r="C35" s="17" t="b">
        <x:v>0</x:v>
      </x:c>
      <x:c r="D35" s="8" t="n">
        <x:v>2468.5299200307436</x:v>
      </x:c>
      <x:c r="E35" s="8" t="n">
        <x:v>-195.19965206893502</x:v>
      </x:c>
      <x:c r="F35" s="8" t="n">
        <x:v>1042.8924236768532</x:v>
      </x:c>
      <x:c r="G35" s="22" t="n">
        <x:v>0</x:v>
      </x:c>
      <x:c r="H35" s="8" t="str">
        <x:v>{"period": 2, "year": 2, "constraint": "cash", "headroom": -303.26316797355264}</x:v>
      </x:c>
      <x:c r="I35" s="8" t="str">
        <x:v>{"dividend_factor": 0.0}</x:v>
      </x:c>
    </x:row>
    <x:row r="36" ht="60" customHeight="1">
      <x:c r="A36" s="8" t="str">
        <x:v>No discretionary dividends</x:v>
      </x:c>
      <x:c r="B36" s="8" t="str">
        <x:v>Liquidity-first</x:v>
      </x:c>
      <x:c r="C36" s="17" t="b">
        <x:v>0</x:v>
      </x:c>
      <x:c r="D36" s="8" t="n">
        <x:v>2949.1952696544217</x:v>
      </x:c>
      <x:c r="E36" s="8" t="n">
        <x:v>-218.95549873693034</x:v>
      </x:c>
      <x:c r="F36" s="8" t="n">
        <x:v>1082.743426483453</x:v>
      </x:c>
      <x:c r="G36" s="22" t="n">
        <x:v>0</x:v>
      </x:c>
      <x:c r="H36" s="8" t="str">
        <x:v>{"period": 2, "year": 2, "constraint": "cash", "headroom": -314.62283312093234}</x:v>
      </x:c>
      <x:c r="I36" s="8" t="str">
        <x:v>{"dividend_factor": 0.0}</x:v>
      </x:c>
    </x:row>
    <x:row r="37" ht="60" customHeight="1">
      <x:c r="A37" s="8" t="str">
        <x:v>No discretionary dividends</x:v>
      </x:c>
      <x:c r="B37" s="8" t="str">
        <x:v>Mixed consideration</x:v>
      </x:c>
      <x:c r="C37" s="17" t="b">
        <x:v>0</x:v>
      </x:c>
      <x:c r="D37" s="8" t="n">
        <x:v>1298.4003445205394</x:v>
      </x:c>
      <x:c r="E37" s="8" t="n">
        <x:v>0</x:v>
      </x:c>
      <x:c r="F37" s="8" t="n">
        <x:v>622.8721947864002</x:v>
      </x:c>
      <x:c r="G37" s="22" t="n">
        <x:v>0.06517517078138706</x:v>
      </x:c>
      <x:c r="H37" s="8" t="str">
        <x:v>{"period": 2, "year": 2, "constraint": "cash", "headroom": -217.01150110590913}</x:v>
      </x:c>
      <x:c r="I37" s="8" t="str">
        <x:v>{"dividend_factor": 0.0}</x:v>
      </x:c>
    </x:row>
    <x:row r="38" ht="60" customHeight="1">
      <x:c r="A38" s="8" t="str">
        <x:v>Double distributions</x:v>
      </x:c>
      <x:c r="B38" s="8" t="str">
        <x:v>Cash-first</x:v>
      </x:c>
      <x:c r="C38" s="17" t="b">
        <x:v>0</x:v>
      </x:c>
      <x:c r="D38" s="8" t="n">
        <x:v>2914.194254233549</x:v>
      </x:c>
      <x:c r="E38" s="8" t="n">
        <x:v>-3906.040908632807</x:v>
      </x:c>
      <x:c r="F38" s="8" t="n">
        <x:v>1284.9908227580345</x:v>
      </x:c>
      <x:c r="G38" s="22" t="n">
        <x:v>0</x:v>
      </x:c>
      <x:c r="H38" s="8" t="str">
        <x:v>{"period": 1, "year": 1, "constraint": "cash", "headroom": -555.7752989760029}</x:v>
      </x:c>
      <x:c r="I38" s="8" t="str">
        <x:v>{"dividend_factor": 2.0}</x:v>
      </x:c>
    </x:row>
    <x:row r="39" ht="60" customHeight="1">
      <x:c r="A39" s="8" t="str">
        <x:v>Double distributions</x:v>
      </x:c>
      <x:c r="B39" s="8" t="str">
        <x:v>Liquidity-first</x:v>
      </x:c>
      <x:c r="C39" s="17" t="b">
        <x:v>0</x:v>
      </x:c>
      <x:c r="D39" s="8" t="n">
        <x:v>2949.1952696544217</x:v>
      </x:c>
      <x:c r="E39" s="8" t="n">
        <x:v>-3881.2396091177625</x:v>
      </x:c>
      <x:c r="F39" s="8" t="n">
        <x:v>1297.0451724689829</x:v>
      </x:c>
      <x:c r="G39" s="22" t="n">
        <x:v>0</x:v>
      </x:c>
      <x:c r="H39" s="8" t="str">
        <x:v>{"period": 1, "year": 1, "constraint": "cash", "headroom": -523.9628760599722}</x:v>
      </x:c>
      <x:c r="I39" s="8" t="str">
        <x:v>{"dividend_factor": 2.0}</x:v>
      </x:c>
    </x:row>
    <x:row r="40" ht="60" customHeight="1">
      <x:c r="A40" s="8" t="str">
        <x:v>Double distributions</x:v>
      </x:c>
      <x:c r="B40" s="8" t="str">
        <x:v>Mixed consideration</x:v>
      </x:c>
      <x:c r="C40" s="17" t="b">
        <x:v>0</x:v>
      </x:c>
      <x:c r="D40" s="8" t="n">
        <x:v>1744.0646787233454</x:v>
      </x:c>
      <x:c r="E40" s="8" t="n">
        <x:v>-3588.4537002844313</x:v>
      </x:c>
      <x:c r="F40" s="8" t="n">
        <x:v>881.9981969523202</x:v>
      </x:c>
      <x:c r="G40" s="22" t="n">
        <x:v>0.06517517078138706</x:v>
      </x:c>
      <x:c r="H40" s="8" t="str">
        <x:v>{"period": 1, "year": 1, "constraint": "cash", "headroom": -472.57908615722715}</x:v>
      </x:c>
      <x:c r="I40" s="8" t="str">
        <x:v>{"dividend_factor": 2.0}</x:v>
      </x:c>
    </x:row>
    <x:row r="41" ht="60" customHeight="1">
      <x:c r="A41" s="8" t="str">
        <x:v>High rates/spreads</x:v>
      </x:c>
      <x:c r="B41" s="8" t="str">
        <x:v>Cash-first</x:v>
      </x:c>
      <x:c r="C41" s="17" t="b">
        <x:v>0</x:v>
      </x:c>
      <x:c r="D41" s="8" t="n">
        <x:v>2691.362087132146</x:v>
      </x:c>
      <x:c r="E41" s="8" t="n">
        <x:v>-2291.0976606312333</x:v>
      </x:c>
      <x:c r="F41" s="8" t="n">
        <x:v>1737.9074831559174</x:v>
      </x:c>
      <x:c r="G41" s="22" t="n">
        <x:v>0</x:v>
      </x:c>
      <x:c r="H41" s="8" t="str">
        <x:v>{"period": 1, "year": 1, "constraint": "cash", "headroom": -230.2965514893516}</x:v>
      </x:c>
      <x:c r="I41" s="8" t="str">
        <x:v>{"benchmark": 0.065, "spread": 0.045}</x:v>
      </x:c>
    </x:row>
    <x:row r="42" ht="60" customHeight="1">
      <x:c r="A42" s="8" t="str">
        <x:v>High rates/spreads</x:v>
      </x:c>
      <x:c r="B42" s="8" t="str">
        <x:v>Liquidity-first</x:v>
      </x:c>
      <x:c r="C42" s="17" t="b">
        <x:v>0</x:v>
      </x:c>
      <x:c r="D42" s="8" t="n">
        <x:v>2949.1952696544217</x:v>
      </x:c>
      <x:c r="E42" s="8" t="n">
        <x:v>-2145.44150782802</x:v>
      </x:c>
      <x:c r="F42" s="8" t="n">
        <x:v>1877.446801536973</x:v>
      </x:c>
      <x:c r="G42" s="22" t="n">
        <x:v>0</x:v>
      </x:c>
      <x:c r="H42" s="8" t="str">
        <x:v>{"period": 1, "year": 1, "constraint": "cash", "headroom": -3.4807008245061297}</x:v>
      </x:c>
      <x:c r="I42" s="8" t="str">
        <x:v>{"benchmark": 0.065, "spread": 0.045}</x:v>
      </x:c>
    </x:row>
    <x:row r="43" ht="60" customHeight="1">
      <x:c r="A43" s="8" t="str">
        <x:v>High rates/spreads</x:v>
      </x:c>
      <x:c r="B43" s="8" t="str">
        <x:v>Mixed consideration</x:v>
      </x:c>
      <x:c r="C43" s="17" t="b">
        <x:v>0</x:v>
      </x:c>
      <x:c r="D43" s="8" t="n">
        <x:v>1521.2325116219422</x:v>
      </x:c>
      <x:c r="E43" s="8" t="n">
        <x:v>-1805.40495694676</x:v>
      </x:c>
      <x:c r="F43" s="8" t="n">
        <x:v>1104.633356889795</x:v>
      </x:c>
      <x:c r="G43" s="22" t="n">
        <x:v>0.06517517078138706</x:v>
      </x:c>
      <x:c r="H43" s="8" t="str">
        <x:v>{"period": 1, "year": 1, "constraint": "cash", "headroom": -112.93255506567834}</x:v>
      </x:c>
      <x:c r="I43" s="8" t="str">
        <x:v>{"benchmark": 0.065, "spread": 0.045}</x:v>
      </x:c>
    </x:row>
    <x:row r="44" ht="60" customHeight="1">
      <x:c r="A44" s="8" t="str">
        <x:v>Low rates</x:v>
      </x:c>
      <x:c r="B44" s="8" t="str">
        <x:v>Cash-first</x:v>
      </x:c>
      <x:c r="C44" s="17" t="b">
        <x:v>0</x:v>
      </x:c>
      <x:c r="D44" s="8" t="n">
        <x:v>2691.362087132146</x:v>
      </x:c>
      <x:c r="E44" s="8" t="n">
        <x:v>-1723.0228252442457</x:v>
      </x:c>
      <x:c r="F44" s="8" t="n">
        <x:v>941.4810052664604</x:v>
      </x:c>
      <x:c r="G44" s="22" t="n">
        <x:v>0</x:v>
      </x:c>
      <x:c r="H44" s="8" t="str">
        <x:v>{"period": 1, "year": 1, "constraint": "cash", "headroom": -112.41489207296343}</x:v>
      </x:c>
      <x:c r="I44" s="8" t="str">
        <x:v>{"benchmark": 0.025}</x:v>
      </x:c>
    </x:row>
    <x:row r="45" ht="60" customHeight="1">
      <x:c r="A45" s="8" t="str">
        <x:v>Low rates</x:v>
      </x:c>
      <x:c r="B45" s="8" t="str">
        <x:v>Liquidity-first</x:v>
      </x:c>
      <x:c r="C45" s="17" t="b">
        <x:v>0</x:v>
      </x:c>
      <x:c r="D45" s="8" t="n">
        <x:v>2949.1952696544217</x:v>
      </x:c>
      <x:c r="E45" s="8" t="n">
        <x:v>-1672.8361773808087</x:v>
      </x:c>
      <x:c r="F45" s="8" t="n">
        <x:v>972.410010541553</x:v>
      </x:c>
      <x:c r="G45" s="22" t="n">
        <x:v>0</x:v>
      </x:c>
      <x:c r="H45" s="8" t="str">
        <x:v>{"period": 2, "year": 2, "constraint": "cash", "headroom": -691.2809494891281}</x:v>
      </x:c>
      <x:c r="I45" s="8" t="str">
        <x:v>{"benchmark": 0.025}</x:v>
      </x:c>
    </x:row>
    <x:row r="46" ht="60" customHeight="1">
      <x:c r="A46" s="8" t="str">
        <x:v>Low rates</x:v>
      </x:c>
      <x:c r="B46" s="8" t="str">
        <x:v>Mixed consideration</x:v>
      </x:c>
      <x:c r="C46" s="17" t="b">
        <x:v>0</x:v>
      </x:c>
      <x:c r="D46" s="8" t="n">
        <x:v>1521.2325116219422</x:v>
      </x:c>
      <x:c r="E46" s="8" t="n">
        <x:v>-1507.7451518876087</x:v>
      </x:c>
      <x:c r="F46" s="8" t="n">
        <x:v>650.553870736932</x:v>
      </x:c>
      <x:c r="G46" s="22" t="n">
        <x:v>0.06517517078138706</x:v>
      </x:c>
      <x:c r="H46" s="8" t="str">
        <x:v>{"period": 1, "year": 1, "constraint": "cash", "headroom": -46.30257105663702}</x:v>
      </x:c>
      <x:c r="I46" s="8" t="str">
        <x:v>{"benchmark": 0.025}</x:v>
      </x:c>
    </x:row>
    <x:row r="47" ht="60" customHeight="1">
      <x:c r="A47" s="8" t="str">
        <x:v>Financing fees 3%</x:v>
      </x:c>
      <x:c r="B47" s="8" t="str">
        <x:v>Cash-first</x:v>
      </x:c>
      <x:c r="C47" s="17" t="b">
        <x:v>0</x:v>
      </x:c>
      <x:c r="D47" s="8" t="n">
        <x:v>2719.1080880304157</x:v>
      </x:c>
      <x:c r="E47" s="8" t="n">
        <x:v>-1911.9764153412816</x:v>
      </x:c>
      <x:c r="F47" s="8" t="n">
        <x:v>1217.8031471176753</x:v>
      </x:c>
      <x:c r="G47" s="22" t="n">
        <x:v>0</x:v>
      </x:c>
      <x:c r="H47" s="8" t="str">
        <x:v>{"period": 1, "year": 1, "constraint": "cash", "headroom": -153.6815192089598}</x:v>
      </x:c>
      <x:c r="I47" s="8" t="str">
        <x:v>{"fee": 0.03}</x:v>
      </x:c>
    </x:row>
    <x:row r="48" ht="60" customHeight="1">
      <x:c r="A48" s="8" t="str">
        <x:v>Financing fees 3%</x:v>
      </x:c>
      <x:c r="B48" s="8" t="str">
        <x:v>Liquidity-first</x:v>
      </x:c>
      <x:c r="C48" s="17" t="b">
        <x:v>0</x:v>
      </x:c>
      <x:c r="D48" s="8" t="n">
        <x:v>2979.5993445993126</x:v>
      </x:c>
      <x:c r="E48" s="8" t="n">
        <x:v>-1847.5486210749636</x:v>
      </x:c>
      <x:c r="F48" s="8" t="n">
        <x:v>1272.021327475656</x:v>
      </x:c>
      <x:c r="G48" s="22" t="n">
        <x:v>0</x:v>
      </x:c>
      <x:c r="H48" s="8" t="str">
        <x:v>{"period": 2, "year": 2, "constraint": "cash", "headroom": -736.0843000243399}</x:v>
      </x:c>
      <x:c r="I48" s="8" t="str">
        <x:v>{"fee": 0.03}</x:v>
      </x:c>
    </x:row>
    <x:row r="49" ht="60" customHeight="1">
      <x:c r="A49" s="8" t="str">
        <x:v>Financing fees 3%</x:v>
      </x:c>
      <x:c r="B49" s="8" t="str">
        <x:v>Mixed consideration</x:v>
      </x:c>
      <x:c r="C49" s="17" t="b">
        <x:v>0</x:v>
      </x:c>
      <x:c r="D49" s="8" t="n">
        <x:v>1536.9153210201066</x:v>
      </x:c>
      <x:c r="E49" s="8" t="n">
        <x:v>-1620.2078013409782</x:v>
      </x:c>
      <x:c r="F49" s="8" t="n">
        <x:v>803.7529626238404</x:v>
      </x:c>
      <x:c r="G49" s="22" t="n">
        <x:v>0.06517517078138706</x:v>
      </x:c>
      <x:c r="H49" s="8" t="str">
        <x:v>{"period": 1, "year": 1, "constraint": "cash", "headroom": -69.62761347452681}</x:v>
      </x:c>
      <x:c r="I49" s="8" t="str">
        <x:v>{"fee": 0.03}</x:v>
      </x:c>
    </x:row>
    <x:row r="50" ht="60" customHeight="1">
      <x:c r="A50" s="8" t="str">
        <x:v>Preclose CFO downside</x:v>
      </x:c>
      <x:c r="B50" s="8" t="str">
        <x:v>Cash-first</x:v>
      </x:c>
      <x:c r="C50" s="17" t="b">
        <x:v>0</x:v>
      </x:c>
      <x:c r="D50" s="8" t="n">
        <x:v>2955.2156778176864</x:v>
      </x:c>
      <x:c r="E50" s="8" t="n">
        <x:v>-2165.054329628795</x:v>
      </x:c>
      <x:c r="F50" s="8" t="n">
        <x:v>1299.1186010404112</x:v>
      </x:c>
      <x:c r="G50" s="22" t="n">
        <x:v>0</x:v>
      </x:c>
      <x:c r="H50" s="8" t="str">
        <x:v>{"period": 0, "year": 0, "constraint": "cash", "headroom": -188.99548112817024}</x:v>
      </x:c>
      <x:c r="I50" s="8" t="str">
        <x:v>{"bridge_cfo_factors": [0.5, 0.0]}</x:v>
      </x:c>
    </x:row>
    <x:row r="51" ht="60" customHeight="1">
      <x:c r="A51" s="8" t="str">
        <x:v>Preclose CFO downside</x:v>
      </x:c>
      <x:c r="B51" s="8" t="str">
        <x:v>Liquidity-first</x:v>
      </x:c>
      <x:c r="C51" s="17" t="b">
        <x:v>0</x:v>
      </x:c>
      <x:c r="D51" s="8" t="n">
        <x:v>2955.2156778176864</x:v>
      </x:c>
      <x:c r="E51" s="8" t="n">
        <x:v>-2165.054329628795</x:v>
      </x:c>
      <x:c r="F51" s="8" t="n">
        <x:v>1299.1186010404112</x:v>
      </x:c>
      <x:c r="G51" s="22" t="n">
        <x:v>0</x:v>
      </x:c>
      <x:c r="H51" s="8" t="str">
        <x:v>{"period": 0, "year": 0, "constraint": "cash", "headroom": -188.99548112817024}</x:v>
      </x:c>
      <x:c r="I51" s="8" t="str">
        <x:v>{"bridge_cfo_factors": [0.5, 0.0]}</x:v>
      </x:c>
    </x:row>
    <x:row r="52" ht="60" customHeight="1">
      <x:c r="A52" s="8" t="str">
        <x:v>Preclose CFO downside</x:v>
      </x:c>
      <x:c r="B52" s="8" t="str">
        <x:v>Mixed consideration</x:v>
      </x:c>
      <x:c r="C52" s="17" t="b">
        <x:v>0</x:v>
      </x:c>
      <x:c r="D52" s="8" t="n">
        <x:v>1785.0861023074826</x:v>
      </x:c>
      <x:c r="E52" s="8" t="n">
        <x:v>-1847.4671212804194</x:v>
      </x:c>
      <x:c r="F52" s="8" t="n">
        <x:v>896.1259752346971</x:v>
      </x:c>
      <x:c r="G52" s="22" t="n">
        <x:v>0.06517517078138706</x:v>
      </x:c>
      <x:c r="H52" s="8" t="str">
        <x:v>{"period": 0, "year": 0, "constraint": "cash", "headroom": -188.99548112817024}</x:v>
      </x:c>
      <x:c r="I52" s="8" t="str">
        <x:v>{"bridge_cfo_factors": [0.5, 0.0]}</x:v>
      </x:c>
    </x:row>
    <x:row r="53" ht="60" customHeight="1">
      <x:c r="A53" s="8" t="str">
        <x:v>Full ABL payoff stress</x:v>
      </x:c>
      <x:c r="B53" s="8" t="str">
        <x:v>Cash-first</x:v>
      </x:c>
      <x:c r="C53" s="17" t="b">
        <x:v>0</x:v>
      </x:c>
      <x:c r="D53" s="8" t="n">
        <x:v>3303.6069850913295</x:v>
      </x:c>
      <x:c r="E53" s="8" t="n">
        <x:v>-2070.616429990379</x:v>
      </x:c>
      <x:c r="F53" s="8" t="n">
        <x:v>1419.104567265454</x:v>
      </x:c>
      <x:c r="G53" s="22" t="n">
        <x:v>0</x:v>
      </x:c>
      <x:c r="H53" s="8" t="str">
        <x:v>{"period": 1, "year": 1, "constraint": "cash", "headroom": -195.23939078999126}</x:v>
      </x:c>
      <x:c r="I53" s="8" t="str">
        <x:v>{"extra_abl_payoff": 600.0}</x:v>
      </x:c>
    </x:row>
    <x:row r="54" ht="60" customHeight="1">
      <x:c r="A54" s="8" t="str">
        <x:v>Full ABL payoff stress</x:v>
      </x:c>
      <x:c r="B54" s="8" t="str">
        <x:v>Liquidity-first</x:v>
      </x:c>
      <x:c r="C54" s="17" t="b">
        <x:v>0</x:v>
      </x:c>
      <x:c r="D54" s="8" t="n">
        <x:v>3561.4401676136054</x:v>
      </x:c>
      <x:c r="E54" s="8" t="n">
        <x:v>-1957.8760038698435</x:v>
      </x:c>
      <x:c r="F54" s="8" t="n">
        <x:v>1487.6310857040721</x:v>
      </x:c>
      <x:c r="G54" s="22" t="n">
        <x:v>0</x:v>
      </x:c>
      <x:c r="H54" s="8" t="str">
        <x:v>{"period": 2, "year": 2, "constraint": "cash", "headroom": -750.0}</x:v>
      </x:c>
      <x:c r="I54" s="8" t="str">
        <x:v>{"extra_abl_payoff": 600.0}</x:v>
      </x:c>
    </x:row>
    <x:row r="55" ht="60" customHeight="1">
      <x:c r="A55" s="8" t="str">
        <x:v>Full ABL payoff stress</x:v>
      </x:c>
      <x:c r="B55" s="8" t="str">
        <x:v>Mixed consideration</x:v>
      </x:c>
      <x:c r="C55" s="17" t="b">
        <x:v>0</x:v>
      </x:c>
      <x:c r="D55" s="8" t="n">
        <x:v>2133.477409581126</x:v>
      </x:c>
      <x:c r="E55" s="8" t="n">
        <x:v>-1755.8467239140814</x:v>
      </x:c>
      <x:c r="F55" s="8" t="n">
        <x:v>1015.7003723615212</x:v>
      </x:c>
      <x:c r="G55" s="22" t="n">
        <x:v>0.06517517078138706</x:v>
      </x:c>
      <x:c r="H55" s="8" t="str">
        <x:v>{"period": 1, "year": 1, "constraint": "cash", "headroom": -112.0431779712153}</x:v>
      </x:c>
      <x:c r="I55" s="8" t="str">
        <x:v>{"extra_abl_payoff": 600.0}</x:v>
      </x:c>
    </x:row>
    <x:row r="56" ht="60" customHeight="1">
      <x:c r="A56" s="8" t="str">
        <x:v>Disclosed other liabilities reserved</x:v>
      </x:c>
      <x:c r="B56" s="8" t="str">
        <x:v>Cash-first</x:v>
      </x:c>
      <x:c r="C56" s="17" t="b">
        <x:v>0</x:v>
      </x:c>
      <x:c r="D56" s="8" t="n">
        <x:v>3485.399842234187</x:v>
      </x:c>
      <x:c r="E56" s="8" t="n">
        <x:v>-2119.9571929332365</x:v>
      </x:c>
      <x:c r="F56" s="8" t="n">
        <x:v>1481.7140272654542</x:v>
      </x:c>
      <x:c r="G56" s="22" t="n">
        <x:v>0</x:v>
      </x:c>
      <x:c r="H56" s="8" t="str">
        <x:v>{"period": 1, "year": 1, "constraint": "cash", "headroom": -208.16486293284868}</x:v>
      </x:c>
      <x:c r="I56" s="8" t="str">
        <x:v>{"other_liability_reserve": 1.0}</x:v>
      </x:c>
    </x:row>
    <x:row r="57" ht="60" customHeight="1">
      <x:c r="A57" s="8" t="str">
        <x:v>Disclosed other liabilities reserved</x:v>
      </x:c>
      <x:c r="B57" s="8" t="str">
        <x:v>Liquidity-first</x:v>
      </x:c>
      <x:c r="C57" s="17" t="b">
        <x:v>0</x:v>
      </x:c>
      <x:c r="D57" s="8" t="n">
        <x:v>3743.2330247564623</x:v>
      </x:c>
      <x:c r="E57" s="8" t="n">
        <x:v>-1988.6658162355964</x:v>
      </x:c>
      <x:c r="F57" s="8" t="n">
        <x:v>1555.9101839126374</x:v>
      </x:c>
      <x:c r="G57" s="22" t="n">
        <x:v>0</x:v>
      </x:c>
      <x:c r="H57" s="8" t="str">
        <x:v>{"period": 2, "year": 2, "constraint": "cash", "headroom": -750.0}</x:v>
      </x:c>
      <x:c r="I57" s="8" t="str">
        <x:v>{"other_liability_reserve": 1.0}</x:v>
      </x:c>
    </x:row>
    <x:row r="58" ht="60" customHeight="1">
      <x:c r="A58" s="8" t="str">
        <x:v>Disclosed other liabilities reserved</x:v>
      </x:c>
      <x:c r="B58" s="8" t="str">
        <x:v>Mixed consideration</x:v>
      </x:c>
      <x:c r="C58" s="17" t="b">
        <x:v>0</x:v>
      </x:c>
      <x:c r="D58" s="8" t="n">
        <x:v>2315.2702667239832</x:v>
      </x:c>
      <x:c r="E58" s="8" t="n">
        <x:v>-1802.3699845848605</x:v>
      </x:c>
      <x:c r="F58" s="8" t="n">
        <x:v>1078.7214014597398</x:v>
      </x:c>
      <x:c r="G58" s="22" t="n">
        <x:v>0.06517517078138706</x:v>
      </x:c>
      <x:c r="H58" s="8" t="str">
        <x:v>{"period": 1, "year": 1, "constraint": "cash", "headroom": -124.9686501140726}</x:v>
      </x:c>
      <x:c r="I58" s="8" t="str">
        <x:v>{"other_liability_reserve": 1.0}</x:v>
      </x:c>
    </x:row>
    <x:row r="59" ht="60" customHeight="1">
      <x:c r="A59" s="8" t="str">
        <x:v>Purchase commitments incremental stress</x:v>
      </x:c>
      <x:c r="B59" s="8" t="str">
        <x:v>Cash-first</x:v>
      </x:c>
      <x:c r="C59" s="17" t="b">
        <x:v>0</x:v>
      </x:c>
      <x:c r="D59" s="8" t="n">
        <x:v>2875.035556519901</x:v>
      </x:c>
      <x:c r="E59" s="8" t="n">
        <x:v>-1954.29700141895</x:v>
      </x:c>
      <x:c r="F59" s="8" t="n">
        <x:v>1271.5045672654542</x:v>
      </x:c>
      <x:c r="G59" s="22" t="n">
        <x:v>0</x:v>
      </x:c>
      <x:c r="H59" s="8" t="str">
        <x:v>{"period": 1, "year": 1, "constraint": "cash", "headroom": -164.76796221856227}</x:v>
      </x:c>
      <x:c r="I59" s="8" t="str">
        <x:v>{"purchase_commitment_reserve": 1.0}</x:v>
      </x:c>
    </x:row>
    <x:row r="60" ht="60" customHeight="1">
      <x:c r="A60" s="8" t="str">
        <x:v>Purchase commitments incremental stress</x:v>
      </x:c>
      <x:c r="B60" s="8" t="str">
        <x:v>Liquidity-first</x:v>
      </x:c>
      <x:c r="C60" s="17" t="b">
        <x:v>0</x:v>
      </x:c>
      <x:c r="D60" s="8" t="n">
        <x:v>3132.8687390421765</x:v>
      </x:c>
      <x:c r="E60" s="8" t="n">
        <x:v>-1883.0732235264331</x:v>
      </x:c>
      <x:c r="F60" s="8" t="n">
        <x:v>1327.2148625696873</x:v>
      </x:c>
      <x:c r="G60" s="22" t="n">
        <x:v>0</x:v>
      </x:c>
      <x:c r="H60" s="8" t="str">
        <x:v>{"period": 2, "year": 2, "constraint": "cash", "headroom": -747.3819725446908}</x:v>
      </x:c>
      <x:c r="I60" s="8" t="str">
        <x:v>{"purchase_commitment_reserve": 1.0}</x:v>
      </x:c>
    </x:row>
    <x:row r="61" ht="60" customHeight="1">
      <x:c r="A61" s="8" t="str">
        <x:v>Purchase commitments incremental stress</x:v>
      </x:c>
      <x:c r="B61" s="8" t="str">
        <x:v>Mixed consideration</x:v>
      </x:c>
      <x:c r="C61" s="17" t="b">
        <x:v>0</x:v>
      </x:c>
      <x:c r="D61" s="8" t="n">
        <x:v>1704.9059810096974</x:v>
      </x:c>
      <x:c r="E61" s="8" t="n">
        <x:v>-1668.647236186337</x:v>
      </x:c>
      <x:c r="F61" s="8" t="n">
        <x:v>860.903385152299</x:v>
      </x:c>
      <x:c r="G61" s="22" t="n">
        <x:v>0.06517517078138706</x:v>
      </x:c>
      <x:c r="H61" s="8" t="str">
        <x:v>{"period": 1, "year": 1, "constraint": "cash", "headroom": -81.57174939978711}</x:v>
      </x:c>
      <x:c r="I61" s="8" t="str">
        <x:v>{"purchase_commitment_reserve": 1.0}</x:v>
      </x:c>
    </x:row>
    <x:row r="62" ht="60" customHeight="1">
      <x:c r="A62" s="8" t="str">
        <x:v>Lease tail frontloaded</x:v>
      </x:c>
      <x:c r="B62" s="8" t="str">
        <x:v>Cash-first</x:v>
      </x:c>
      <x:c r="C62" s="17" t="b">
        <x:v>0</x:v>
      </x:c>
      <x:c r="D62" s="8" t="n">
        <x:v>2691.362087132146</x:v>
      </x:c>
      <x:c r="E62" s="8" t="n">
        <x:v>-1906.9688420654809</x:v>
      </x:c>
      <x:c r="F62" s="8" t="n">
        <x:v>1213.040608408311</x:v>
      </x:c>
      <x:c r="G62" s="22" t="n">
        <x:v>0</x:v>
      </x:c>
      <x:c r="H62" s="8" t="str">
        <x:v>{"period": 1, "year": 1, "constraint": "cash", "headroom": -151.44525854509288}</x:v>
      </x:c>
      <x:c r="I62" s="8" t="str">
        <x:v>{"lease_tail_cash": 41.0, "lease_rate": 0.064}</x:v>
      </x:c>
    </x:row>
    <x:row r="63" ht="60" customHeight="1">
      <x:c r="A63" s="8" t="str">
        <x:v>Lease tail frontloaded</x:v>
      </x:c>
      <x:c r="B63" s="8" t="str">
        <x:v>Liquidity-first</x:v>
      </x:c>
      <x:c r="C63" s="17" t="b">
        <x:v>0</x:v>
      </x:c>
      <x:c r="D63" s="8" t="n">
        <x:v>2949.1952696544217</x:v>
      </x:c>
      <x:c r="E63" s="8" t="n">
        <x:v>-1842.2651004638437</x:v>
      </x:c>
      <x:c r="F63" s="8" t="n">
        <x:v>1265.7715859114014</x:v>
      </x:c>
      <x:c r="G63" s="22" t="n">
        <x:v>0</x:v>
      </x:c>
      <x:c r="H63" s="8" t="str">
        <x:v>{"period": 2, "year": 2, "constraint": "cash", "headroom": -733.5720530792213}</x:v>
      </x:c>
      <x:c r="I63" s="8" t="str">
        <x:v>{"lease_tail_cash": 41.0, "lease_rate": 0.064}</x:v>
      </x:c>
    </x:row>
    <x:row r="64" ht="60" customHeight="1">
      <x:c r="A64" s="8" t="str">
        <x:v>Lease tail frontloaded</x:v>
      </x:c>
      <x:c r="B64" s="8" t="str">
        <x:v>Mixed consideration</x:v>
      </x:c>
      <x:c r="C64" s="17" t="b">
        <x:v>0</x:v>
      </x:c>
      <x:c r="D64" s="8" t="n">
        <x:v>1521.2325116219422</x:v>
      </x:c>
      <x:c r="E64" s="8" t="n">
        <x:v>-1617.2395700811358</x:v>
      </x:c>
      <x:c r="F64" s="8" t="n">
        <x:v>803.1904655225849</x:v>
      </x:c>
      <x:c r="G64" s="22" t="n">
        <x:v>0.06517517078138706</x:v>
      </x:c>
      <x:c r="H64" s="8" t="str">
        <x:v>{"period": 1, "year": 1, "constraint": "cash", "headroom": -68.2490457263176}</x:v>
      </x:c>
      <x:c r="I64" s="8" t="str">
        <x:v>{"lease_tail_cash": 41.0, "lease_rate": 0.064}</x:v>
      </x:c>
    </x:row>
    <x:row r="65" ht="60" customHeight="1">
      <x:c r="A65" s="8" t="str">
        <x:v>Assumed term refinancing</x:v>
      </x:c>
      <x:c r="B65" s="8" t="str">
        <x:v>Cash-first</x:v>
      </x:c>
      <x:c r="C65" s="17" t="b">
        <x:v>0</x:v>
      </x:c>
      <x:c r="D65" s="8" t="n">
        <x:v>2691.362087132146</x:v>
      </x:c>
      <x:c r="E65" s="8" t="n">
        <x:v>-1944.4458177454808</x:v>
      </x:c>
      <x:c r="F65" s="8" t="n">
        <x:v>1208.2474244083112</x:v>
      </x:c>
      <x:c r="G65" s="22" t="n">
        <x:v>0</x:v>
      </x:c>
      <x:c r="H65" s="8" t="str">
        <x:v>{"period": 1, "year": 1, "constraint": "cash", "headroom": -151.7087785450933}</x:v>
      </x:c>
      <x:c r="I65" s="8" t="str">
        <x:v>{"refinance": true}</x:v>
      </x:c>
    </x:row>
    <x:row r="66" ht="60" customHeight="1">
      <x:c r="A66" s="8" t="str">
        <x:v>Assumed term refinancing</x:v>
      </x:c>
      <x:c r="B66" s="8" t="str">
        <x:v>Liquidity-first</x:v>
      </x:c>
      <x:c r="C66" s="17" t="b">
        <x:v>0</x:v>
      </x:c>
      <x:c r="D66" s="8" t="n">
        <x:v>2949.1952696544217</x:v>
      </x:c>
      <x:c r="E66" s="8" t="n">
        <x:v>-1880.5015998529639</x:v>
      </x:c>
      <x:c r="F66" s="8" t="n">
        <x:v>1261.0725768554014</x:v>
      </x:c>
      <x:c r="G66" s="22" t="n">
        <x:v>0</x:v>
      </x:c>
      <x:c r="H66" s="8" t="str">
        <x:v>{"period": 2, "year": 2, "constraint": "cash", "headroom": -733.8431788712214}</x:v>
      </x:c>
      <x:c r="I66" s="8" t="str">
        <x:v>{"refinance": true}</x:v>
      </x:c>
    </x:row>
    <x:row r="67" ht="60" customHeight="1">
      <x:c r="A67" s="8" t="str">
        <x:v>Assumed term refinancing</x:v>
      </x:c>
      <x:c r="B67" s="8" t="str">
        <x:v>Mixed consideration</x:v>
      </x:c>
      <x:c r="C67" s="17" t="b">
        <x:v>0</x:v>
      </x:c>
      <x:c r="D67" s="8" t="n">
        <x:v>1521.2325116219422</x:v>
      </x:c>
      <x:c r="E67" s="8" t="n">
        <x:v>-1644.8933902053966</x:v>
      </x:c>
      <x:c r="F67" s="8" t="n">
        <x:v>798.4176708665848</x:v>
      </x:c>
      <x:c r="G67" s="22" t="n">
        <x:v>0.06517517078138706</x:v>
      </x:c>
      <x:c r="H67" s="8" t="str">
        <x:v>{"period": 1, "year": 1, "constraint": "cash", "headroom": -68.51256572631758}</x:v>
      </x:c>
      <x:c r="I67" s="8" t="str">
        <x:v>{"refinance": true}</x:v>
      </x:c>
    </x:row>
    <x:row r="68" ht="60" customHeight="1">
      <x:c r="A68" s="8" t="str">
        <x:v>Cash floor 500</x:v>
      </x:c>
      <x:c r="B68" s="8" t="str">
        <x:v>Cash-first</x:v>
      </x:c>
      <x:c r="C68" s="17" t="b">
        <x:v>0</x:v>
      </x:c>
      <x:c r="D68" s="8" t="n">
        <x:v>2436.2600463158196</x:v>
      </x:c>
      <x:c r="E68" s="8" t="n">
        <x:v>-2085.20806264344</x:v>
      </x:c>
      <x:c r="F68" s="8" t="n">
        <x:v>1120.3902815511683</x:v>
      </x:c>
      <x:c r="G68" s="22" t="n">
        <x:v>0</x:v>
      </x:c>
      <x:c r="H68" s="8" t="str">
        <x:v>{"period": 1, "year": 1, "constraint": "cash", "headroom": -133.57102344305213}</x:v>
      </x:c>
      <x:c r="I68" s="8" t="str">
        <x:v>{"cash_floor": 500.0}</x:v>
      </x:c>
    </x:row>
    <x:row r="69" ht="60" customHeight="1">
      <x:c r="A69" s="8" t="str">
        <x:v>Cash floor 500</x:v>
      </x:c>
      <x:c r="B69" s="8" t="str">
        <x:v>Liquidity-first</x:v>
      </x:c>
      <x:c r="C69" s="17" t="b">
        <x:v>0</x:v>
      </x:c>
      <x:c r="D69" s="8" t="n">
        <x:v>2949.1952696544217</x:v>
      </x:c>
      <x:c r="E69" s="8" t="n">
        <x:v>-1986.393361923292</x:v>
      </x:c>
      <x:c r="F69" s="8" t="n">
        <x:v>1203.90714817515</x:v>
      </x:c>
      <x:c r="G69" s="22" t="n">
        <x:v>0</x:v>
      </x:c>
      <x:c r="H69" s="8" t="str">
        <x:v>{"period": 2, "year": 2, "constraint": "cash", "headroom": -658.6907038781329}</x:v>
      </x:c>
      <x:c r="I69" s="8" t="str">
        <x:v>{"cash_floor": 500.0}</x:v>
      </x:c>
    </x:row>
    <x:row r="70" ht="60" customHeight="1">
      <x:c r="A70" s="8" t="str">
        <x:v>Cash floor 500</x:v>
      </x:c>
      <x:c r="B70" s="8" t="str">
        <x:v>Mixed consideration</x:v>
      </x:c>
      <x:c r="C70" s="17" t="b">
        <x:v>0</x:v>
      </x:c>
      <x:c r="D70" s="8" t="n">
        <x:v>1266.1304708056157</x:v>
      </x:c>
      <x:c r="E70" s="8" t="n">
        <x:v>-1767.6208542950644</x:v>
      </x:c>
      <x:c r="F70" s="8" t="n">
        <x:v>717.3976557454541</x:v>
      </x:c>
      <x:c r="G70" s="22" t="n">
        <x:v>0.06517517078138706</x:v>
      </x:c>
      <x:c r="H70" s="8" t="str">
        <x:v>{"period": 1, "year": 1, "constraint": "cash", "headroom": -50.37481062427668}</x:v>
      </x:c>
      <x:c r="I70" s="8" t="str">
        <x:v>{"cash_floor": 500.0}</x:v>
      </x:c>
    </x:row>
    <x:row r="71" ht="60" customHeight="1">
      <x:c r="A71" s="8" t="str">
        <x:v>Cash floor 1000</x:v>
      </x:c>
      <x:c r="B71" s="8" t="str">
        <x:v>Cash-first</x:v>
      </x:c>
      <x:c r="C71" s="17" t="b">
        <x:v>0</x:v>
      </x:c>
      <x:c r="D71" s="8" t="n">
        <x:v>2946.4641279484727</x:v>
      </x:c>
      <x:c r="E71" s="8" t="n">
        <x:v>-1776.6455616235455</x:v>
      </x:c>
      <x:c r="F71" s="8" t="n">
        <x:v>1283.2814667408704</x:v>
      </x:c>
      <x:c r="G71" s="22" t="n">
        <x:v>0</x:v>
      </x:c>
      <x:c r="H71" s="8" t="str">
        <x:v>{"period": 1, "year": 1, "constraint": "cash", "headroom": -169.84653364713427}</x:v>
      </x:c>
      <x:c r="I71" s="8" t="str">
        <x:v>{"cash_floor": 1000.0}</x:v>
      </x:c>
    </x:row>
    <x:row r="72" ht="60" customHeight="1">
      <x:c r="A72" s="8" t="str">
        <x:v>Cash floor 1000</x:v>
      </x:c>
      <x:c r="B72" s="8" t="str">
        <x:v>Liquidity-first</x:v>
      </x:c>
      <x:c r="C72" s="17" t="b">
        <x:v>0</x:v>
      </x:c>
      <x:c r="D72" s="8" t="n">
        <x:v>2949.1952696544217</x:v>
      </x:c>
      <x:c r="E72" s="8" t="n">
        <x:v>-1774.756556538059</x:v>
      </x:c>
      <x:c r="F72" s="8" t="n">
        <x:v>1284.2106011492342</x:v>
      </x:c>
      <x:c r="G72" s="22" t="n">
        <x:v>0</x:v>
      </x:c>
      <x:c r="H72" s="8" t="str">
        <x:v>{"period": 1, "year": 1, "constraint": "cash", "headroom": -167.36419895059726}</x:v>
      </x:c>
      <x:c r="I72" s="8" t="str">
        <x:v>{"cash_floor": 1000.0}</x:v>
      </x:c>
    </x:row>
    <x:row r="73" ht="60" customHeight="1">
      <x:c r="A73" s="8" t="str">
        <x:v>Cash floor 1000</x:v>
      </x:c>
      <x:c r="B73" s="8" t="str">
        <x:v>Mixed consideration</x:v>
      </x:c>
      <x:c r="C73" s="17" t="b">
        <x:v>0</x:v>
      </x:c>
      <x:c r="D73" s="8" t="n">
        <x:v>1776.3345524382687</x:v>
      </x:c>
      <x:c r="E73" s="8" t="n">
        <x:v>-1439.2433790434798</x:v>
      </x:c>
      <x:c r="F73" s="8" t="n">
        <x:v>885.2033851522991</x:v>
      </x:c>
      <x:c r="G73" s="22" t="n">
        <x:v>0.06517517078138706</x:v>
      </x:c>
      <x:c r="H73" s="8" t="str">
        <x:v>{"period": 1, "year": 1, "constraint": "cash", "headroom": -86.65032082835819}</x:v>
      </x:c>
      <x:c r="I73" s="8" t="str">
        <x:v>{"cash_floor": 1000.0}</x:v>
      </x:c>
    </x:row>
    <x:row r="74" ht="60" customHeight="1">
      <x:c r="A74" s="8" t="str">
        <x:v>Tighter leverage and coverage</x:v>
      </x:c>
      <x:c r="B74" s="8" t="str">
        <x:v>Cash-first</x:v>
      </x:c>
      <x:c r="C74" s="17" t="b">
        <x:v>0</x:v>
      </x:c>
      <x:c r="D74" s="8" t="n">
        <x:v>2691.362087132146</x:v>
      </x:c>
      <x:c r="E74" s="8" t="n">
        <x:v>-1904.4458177454808</x:v>
      </x:c>
      <x:c r="F74" s="8" t="n">
        <x:v>1208.2474244083112</x:v>
      </x:c>
      <x:c r="G74" s="22" t="n">
        <x:v>0</x:v>
      </x:c>
      <x:c r="H74" s="8" t="str">
        <x:v>{"period": 1, "year": 1, "constraint": "cash", "headroom": -151.7087785450933}</x:v>
      </x:c>
      <x:c r="I74" s="8" t="str">
        <x:v>{"max_leverage": 2.0, "min_coverage": 5.0}</x:v>
      </x:c>
    </x:row>
    <x:row r="75" ht="60" customHeight="1">
      <x:c r="A75" s="8" t="str">
        <x:v>Tighter leverage and coverage</x:v>
      </x:c>
      <x:c r="B75" s="8" t="str">
        <x:v>Liquidity-first</x:v>
      </x:c>
      <x:c r="C75" s="17" t="b">
        <x:v>0</x:v>
      </x:c>
      <x:c r="D75" s="8" t="n">
        <x:v>2949.1952696544217</x:v>
      </x:c>
      <x:c r="E75" s="8" t="n">
        <x:v>-1840.5015998529639</x:v>
      </x:c>
      <x:c r="F75" s="8" t="n">
        <x:v>1261.0725768554014</x:v>
      </x:c>
      <x:c r="G75" s="22" t="n">
        <x:v>0</x:v>
      </x:c>
      <x:c r="H75" s="8" t="str">
        <x:v>{"period": 2, "year": 2, "constraint": "cash", "headroom": -733.8431788712214}</x:v>
      </x:c>
      <x:c r="I75" s="8" t="str">
        <x:v>{"max_leverage": 2.0, "min_coverage": 5.0}</x:v>
      </x:c>
    </x:row>
    <x:row r="76" ht="60" customHeight="1">
      <x:c r="A76" s="8" t="str">
        <x:v>Tighter leverage and coverage</x:v>
      </x:c>
      <x:c r="B76" s="8" t="str">
        <x:v>Mixed consideration</x:v>
      </x:c>
      <x:c r="C76" s="17" t="b">
        <x:v>0</x:v>
      </x:c>
      <x:c r="D76" s="8" t="n">
        <x:v>1521.2325116219422</x:v>
      </x:c>
      <x:c r="E76" s="8" t="n">
        <x:v>-1615.6857259822552</x:v>
      </x:c>
      <x:c r="F76" s="8" t="n">
        <x:v>798.4176708665848</x:v>
      </x:c>
      <x:c r="G76" s="22" t="n">
        <x:v>0.06517517078138706</x:v>
      </x:c>
      <x:c r="H76" s="8" t="str">
        <x:v>{"period": 1, "year": 1, "constraint": "cash", "headroom": -68.51256572631758}</x:v>
      </x:c>
      <x:c r="I76" s="8" t="str">
        <x:v>{"max_leverage": 2.0, "min_coverage": 5.0}</x:v>
      </x:c>
    </x:row>
    <x:row r="77" ht="60" customHeight="1">
      <x:c r="A77" s="8" t="str">
        <x:v>Lower reinvestment</x:v>
      </x:c>
      <x:c r="B77" s="8" t="str">
        <x:v>Cash-first</x:v>
      </x:c>
      <x:c r="C77" s="17" t="b">
        <x:v>0</x:v>
      </x:c>
      <x:c r="D77" s="8" t="n">
        <x:v>2529.5683065533717</x:v>
      </x:c>
      <x:c r="E77" s="8" t="n">
        <x:v>-247.12334474576144</x:v>
      </x:c>
      <x:c r="F77" s="8" t="n">
        <x:v>1071.7644104264805</x:v>
      </x:c>
      <x:c r="G77" s="22" t="n">
        <x:v>0</x:v>
      </x:c>
      <x:c r="H77" s="8" t="str">
        <x:v>{"period": 2, "year": 2, "constraint": "cash", "headroom": -328.15443778676814}</x:v>
      </x:c>
      <x:c r="I77" s="8" t="str">
        <x:v>{"gross_annual_capex": [900.0, 240.0]}</x:v>
      </x:c>
    </x:row>
    <x:row r="78" ht="60" customHeight="1">
      <x:c r="A78" s="8" t="str">
        <x:v>Lower reinvestment</x:v>
      </x:c>
      <x:c r="B78" s="8" t="str">
        <x:v>Liquidity-first</x:v>
      </x:c>
      <x:c r="C78" s="17" t="b">
        <x:v>0</x:v>
      </x:c>
      <x:c r="D78" s="8" t="n">
        <x:v>2949.1952696544217</x:v>
      </x:c>
      <x:c r="E78" s="8" t="n">
        <x:v>-267.8625010027905</x:v>
      </x:c>
      <x:c r="F78" s="8" t="n">
        <x:v>1106.5548426832622</x:v>
      </x:c>
      <x:c r="G78" s="22" t="n">
        <x:v>0</x:v>
      </x:c>
      <x:c r="H78" s="8" t="str">
        <x:v>{"period": 2, "year": 2, "constraint": "cash", "headroom": -338.0715699273974}</x:v>
      </x:c>
      <x:c r="I78" s="8" t="str">
        <x:v>{"gross_annual_capex": [900.0, 240.0]}</x:v>
      </x:c>
    </x:row>
    <x:row r="79" ht="60" customHeight="1">
      <x:c r="A79" s="8" t="str">
        <x:v>Lower reinvestment</x:v>
      </x:c>
      <x:c r="B79" s="8" t="str">
        <x:v>Mixed consideration</x:v>
      </x:c>
      <x:c r="C79" s="17" t="b">
        <x:v>0</x:v>
      </x:c>
      <x:c r="D79" s="8" t="n">
        <x:v>1359.438731043168</x:v>
      </x:c>
      <x:c r="E79" s="8" t="n">
        <x:v>0</x:v>
      </x:c>
      <x:c r="F79" s="8" t="n">
        <x:v>651.658727794896</x:v>
      </x:c>
      <x:c r="G79" s="22" t="n">
        <x:v>0.06517517078138706</x:v>
      </x:c>
      <x:c r="H79" s="8" t="str">
        <x:v>{"period": 2, "year": 2, "constraint": "cash", "headroom": -241.9027709191247}</x:v>
      </x:c>
      <x:c r="I79" s="8" t="str">
        <x:v>{"gross_annual_capex": [900.0, 240.0]}</x:v>
      </x:c>
    </x:row>
    <x:row r="80" ht="60" customHeight="1">
      <x:c r="A80" s="8" t="str">
        <x:v>High reinvestment</x:v>
      </x:c>
      <x:c r="B80" s="8" t="str">
        <x:v>Cash-first</x:v>
      </x:c>
      <x:c r="C80" s="17" t="b">
        <x:v>0</x:v>
      </x:c>
      <x:c r="D80" s="8" t="n">
        <x:v>2853.1558677109206</x:v>
      </x:c>
      <x:c r="E80" s="8" t="n">
        <x:v>-4027.347640279928</x:v>
      </x:c>
      <x:c r="F80" s="8" t="n">
        <x:v>1263.9692024396413</x:v>
      </x:c>
      <x:c r="G80" s="22" t="n">
        <x:v>0</x:v>
      </x:c>
      <x:c r="H80" s="8" t="str">
        <x:v>{"period": 1, "year": 1, "constraint": "cash", "headroom": -564.2123163442444}</x:v>
      </x:c>
      <x:c r="I80" s="8" t="str">
        <x:v>{"gross_annual_capex": [1500.0, 400.0]}</x:v>
      </x:c>
    </x:row>
    <x:row r="81" ht="60" customHeight="1">
      <x:c r="A81" s="8" t="str">
        <x:v>High reinvestment</x:v>
      </x:c>
      <x:c r="B81" s="8" t="str">
        <x:v>Liquidity-first</x:v>
      </x:c>
      <x:c r="C81" s="17" t="b">
        <x:v>0</x:v>
      </x:c>
      <x:c r="D81" s="8" t="n">
        <x:v>2949.1952696544217</x:v>
      </x:c>
      <x:c r="E81" s="8" t="n">
        <x:v>-3959.295272535587</x:v>
      </x:c>
      <x:c r="F81" s="8" t="n">
        <x:v>1297.0451724689829</x:v>
      </x:c>
      <x:c r="G81" s="22" t="n">
        <x:v>0</x:v>
      </x:c>
      <x:c r="H81" s="8" t="str">
        <x:v>{"period": 1, "year": 1, "constraint": "cash", "headroom": -476.92210391779656}</x:v>
      </x:c>
      <x:c r="I81" s="8" t="str">
        <x:v>{"gross_annual_capex": [1500.0, 400.0]}</x:v>
      </x:c>
    </x:row>
    <x:row r="82" ht="60" customHeight="1">
      <x:c r="A82" s="8" t="str">
        <x:v>High reinvestment</x:v>
      </x:c>
      <x:c r="B82" s="8" t="str">
        <x:v>Mixed consideration</x:v>
      </x:c>
      <x:c r="C82" s="17" t="b">
        <x:v>0</x:v>
      </x:c>
      <x:c r="D82" s="8" t="n">
        <x:v>1683.0262922007166</x:v>
      </x:c>
      <x:c r="E82" s="8" t="n">
        <x:v>-3709.7604319315524</x:v>
      </x:c>
      <x:c r="F82" s="8" t="n">
        <x:v>860.9765766339269</x:v>
      </x:c>
      <x:c r="G82" s="22" t="n">
        <x:v>0.06517517078138706</x:v>
      </x:c>
      <x:c r="H82" s="8" t="str">
        <x:v>{"period": 1, "year": 1, "constraint": "cash", "headroom": -481.01610352546874}</x:v>
      </x:c>
      <x:c r="I82" s="8" t="str">
        <x:v>{"gross_annual_capex": [1500.0, 400.0]}</x:v>
      </x:c>
    </x:row>
    <x:row r="83" ht="60" customHeight="1">
      <x:c r="A83" s="8" t="str">
        <x:v>Lower reinvestment and dividends suspended</x:v>
      </x:c>
      <x:c r="B83" s="8" t="str">
        <x:v>Cash-first</x:v>
      </x:c>
      <x:c r="C83" s="17" t="b">
        <x:v>0</x:v>
      </x:c>
      <x:c r="D83" s="8" t="n">
        <x:v>2306.736139451969</x:v>
      </x:c>
      <x:c r="E83" s="8" t="n">
        <x:v>0</x:v>
      </x:c>
      <x:c r="F83" s="8" t="n">
        <x:v>826.181798106716</x:v>
      </x:c>
      <x:c r="G83" s="22" t="n">
        <x:v>0</x:v>
      </x:c>
      <x:c r="H83" s="8" t="str">
        <x:v>{"period": 5, "year": 5, "constraint": "cash", "headroom": -750.0}</x:v>
      </x:c>
      <x:c r="I83" s="8" t="str">
        <x:v>{"gross_annual_capex": [900.0, 240.0], "dividend_factor": 0.0}</x:v>
      </x:c>
    </x:row>
    <x:row r="84" ht="60" customHeight="1">
      <x:c r="A84" s="8" t="str">
        <x:v>Lower reinvestment and dividends suspended</x:v>
      </x:c>
      <x:c r="B84" s="8" t="str">
        <x:v>Liquidity-first</x:v>
      </x:c>
      <x:c r="C84" s="17" t="b">
        <x:v>0</x:v>
      </x:c>
      <x:c r="D84" s="8" t="n">
        <x:v>2949.1952696544217</x:v>
      </x:c>
      <x:c r="E84" s="8" t="n">
        <x:v>0</x:v>
      </x:c>
      <x:c r="F84" s="8" t="n">
        <x:v>884.9581971675909</x:v>
      </x:c>
      <x:c r="G84" s="22" t="n">
        <x:v>0</x:v>
      </x:c>
      <x:c r="H84" s="8" t="str">
        <x:v>{"period": 5, "year": 5, "constraint": "cash", "headroom": -750.0}</x:v>
      </x:c>
      <x:c r="I84" s="8" t="str">
        <x:v>{"gross_annual_capex": [900.0, 240.0], "dividend_factor": 0.0}</x:v>
      </x:c>
    </x:row>
    <x:row r="85" ht="60" customHeight="1">
      <x:c r="A85" s="8" t="str">
        <x:v>Lower reinvestment and dividends suspended</x:v>
      </x:c>
      <x:c r="B85" s="8" t="str">
        <x:v>Mixed consideration</x:v>
      </x:c>
      <x:c r="C85" s="17" t="b">
        <x:v>1</x:v>
      </x:c>
      <x:c r="D85" s="8" t="n">
        <x:v>1136.606563941765</x:v>
      </x:c>
      <x:c r="E85" s="8" t="n">
        <x:v>750</x:v>
      </x:c>
      <x:c r="F85" s="8" t="n">
        <x:v>402.2895012573041</x:v>
      </x:c>
      <x:c r="G85" s="22" t="n">
        <x:v>0.06517517078138706</x:v>
      </x:c>
      <x:c r="H85" s="8"/>
      <x:c r="I85" s="8" t="str">
        <x:v>{"gross_annual_capex": [900.0, 240.0], "dividend_factor": 0.0}</x:v>
      </x:c>
    </x:row>
    <x:row r="86" ht="60" customHeight="1">
      <x:c r="A86" s="8" t="str">
        <x:v>Lower reinvestment, no dividends, delayed synergies</x:v>
      </x:c>
      <x:c r="B86" s="8" t="str">
        <x:v>Cash-first</x:v>
      </x:c>
      <x:c r="C86" s="17" t="b">
        <x:v>0</x:v>
      </x:c>
      <x:c r="D86" s="8" t="n">
        <x:v>2306.736139451969</x:v>
      </x:c>
      <x:c r="E86" s="8" t="n">
        <x:v>0</x:v>
      </x:c>
      <x:c r="F86" s="8" t="n">
        <x:v>849.8362722482659</x:v>
      </x:c>
      <x:c r="G86" s="22" t="n">
        <x:v>0</x:v>
      </x:c>
      <x:c r="H86" s="8" t="str">
        <x:v>{"period": 5, "year": 5, "constraint": "cash", "headroom": -750.0}</x:v>
      </x:c>
      <x:c r="I86" s="8" t="str">
        <x:v>{"gross_annual_capex": [900.0, 240.0], "dividend_factor": 0.0, "synergy": 0.0}</x:v>
      </x:c>
    </x:row>
    <x:row r="87" ht="60" customHeight="1">
      <x:c r="A87" s="8" t="str">
        <x:v>Lower reinvestment, no dividends, delayed synergies</x:v>
      </x:c>
      <x:c r="B87" s="8" t="str">
        <x:v>Liquidity-first</x:v>
      </x:c>
      <x:c r="C87" s="17" t="b">
        <x:v>0</x:v>
      </x:c>
      <x:c r="D87" s="8" t="n">
        <x:v>2949.1952696544217</x:v>
      </x:c>
      <x:c r="E87" s="8" t="n">
        <x:v>0</x:v>
      </x:c>
      <x:c r="F87" s="8" t="n">
        <x:v>908.612671309141</x:v>
      </x:c>
      <x:c r="G87" s="22" t="n">
        <x:v>0</x:v>
      </x:c>
      <x:c r="H87" s="8" t="str">
        <x:v>{"period": 5, "year": 5, "constraint": "cash", "headroom": -750.0}</x:v>
      </x:c>
      <x:c r="I87" s="8" t="str">
        <x:v>{"gross_annual_capex": [900.0, 240.0], "dividend_factor": 0.0, "synergy": 0.0}</x:v>
      </x:c>
    </x:row>
    <x:row r="88" ht="60" customHeight="1">
      <x:c r="A88" s="8" t="str">
        <x:v>Lower reinvestment, no dividends, delayed synergies</x:v>
      </x:c>
      <x:c r="B88" s="8" t="str">
        <x:v>Mixed consideration</x:v>
      </x:c>
      <x:c r="C88" s="17" t="b">
        <x:v>1</x:v>
      </x:c>
      <x:c r="D88" s="8" t="n">
        <x:v>1136.606563941765</x:v>
      </x:c>
      <x:c r="E88" s="8" t="n">
        <x:v>750</x:v>
      </x:c>
      <x:c r="F88" s="8" t="n">
        <x:v>408.39196124553513</x:v>
      </x:c>
      <x:c r="G88" s="22" t="n">
        <x:v>0.06517517078138706</x:v>
      </x:c>
      <x:c r="H88" s="8"/>
      <x:c r="I88" s="8" t="str">
        <x:v>{"gross_annual_capex": [900.0, 240.0], "dividend_factor": 0.0, "synergy": 0.0}</x:v>
      </x:c>
    </x:row>
    <x:row r="89" ht="60" customHeight="1">
      <x:c r="A89" s="8" t="str">
        <x:v>Central cost downside</x:v>
      </x:c>
      <x:c r="B89" s="8" t="str">
        <x:v>Cash-first</x:v>
      </x:c>
      <x:c r="C89" s="17" t="b">
        <x:v>0</x:v>
      </x:c>
      <x:c r="D89" s="8" t="n">
        <x:v>2691.362087132146</x:v>
      </x:c>
      <x:c r="E89" s="8" t="n">
        <x:v>-5568.801674711363</x:v>
      </x:c>
      <x:c r="F89" s="8" t="n">
        <x:v>1208.2474244083112</x:v>
      </x:c>
      <x:c r="G89" s="22" t="n">
        <x:v>0</x:v>
      </x:c>
      <x:c r="H89" s="8" t="str">
        <x:v>{"period": 1, "year": 1, "constraint": "cash", "headroom": -193.62826510509672}</x:v>
      </x:c>
      <x:c r="I89" s="8" t="str">
        <x:v>{"growth": [-0.05, -0.1]}</x:v>
      </x:c>
    </x:row>
    <x:row r="90" ht="60" customHeight="1">
      <x:c r="A90" s="8" t="str">
        <x:v>Central cost downside</x:v>
      </x:c>
      <x:c r="B90" s="8" t="str">
        <x:v>Liquidity-first</x:v>
      </x:c>
      <x:c r="C90" s="17" t="b">
        <x:v>0</x:v>
      </x:c>
      <x:c r="D90" s="8" t="n">
        <x:v>2949.1952696544217</x:v>
      </x:c>
      <x:c r="E90" s="8" t="n">
        <x:v>-5430.516218970519</x:v>
      </x:c>
      <x:c r="F90" s="8" t="n">
        <x:v>1285.6446044119511</x:v>
      </x:c>
      <x:c r="G90" s="22" t="n">
        <x:v>0</x:v>
      </x:c>
      <x:c r="H90" s="8" t="str">
        <x:v>{"period": 2, "year": 2, "constraint": "cash", "headroom": -980.076666164545}</x:v>
      </x:c>
      <x:c r="I90" s="8" t="str">
        <x:v>{"growth": [-0.05, -0.1]}</x:v>
      </x:c>
    </x:row>
    <x:row r="91" ht="60" customHeight="1">
      <x:c r="A91" s="8" t="str">
        <x:v>Central cost downside</x:v>
      </x:c>
      <x:c r="B91" s="8" t="str">
        <x:v>Mixed consideration</x:v>
      </x:c>
      <x:c r="C91" s="17" t="b">
        <x:v>0</x:v>
      </x:c>
      <x:c r="D91" s="8" t="n">
        <x:v>1521.2325116219422</x:v>
      </x:c>
      <x:c r="E91" s="8" t="n">
        <x:v>-5186.195046370187</x:v>
      </x:c>
      <x:c r="F91" s="8" t="n">
        <x:v>805.2547986025969</x:v>
      </x:c>
      <x:c r="G91" s="22" t="n">
        <x:v>0.06517517078138706</x:v>
      </x:c>
      <x:c r="H91" s="8" t="str">
        <x:v>{"period": 1, "year": 1, "constraint": "cash", "headroom": -110.43205228632075}</x:v>
      </x:c>
      <x:c r="I91" s="8" t="str">
        <x:v>{"growth": [-0.05, -0.1]}</x:v>
      </x:c>
    </x:row>
    <x:row r="92" ht="60" customHeight="1">
      <x:c r="A92" s="8" t="str">
        <x:v>More fixed cost behaviour</x:v>
      </x:c>
      <x:c r="B92" s="8" t="str">
        <x:v>Cash-first</x:v>
      </x:c>
      <x:c r="C92" s="17" t="b">
        <x:v>0</x:v>
      </x:c>
      <x:c r="D92" s="8" t="n">
        <x:v>2691.362087132146</x:v>
      </x:c>
      <x:c r="E92" s="8" t="n">
        <x:v>-8703.892225859674</x:v>
      </x:c>
      <x:c r="F92" s="8" t="n">
        <x:v>1208.2474244083112</x:v>
      </x:c>
      <x:c r="G92" s="22" t="n">
        <x:v>0</x:v>
      </x:c>
      <x:c r="H92" s="8" t="str">
        <x:v>{"period": 1, "year": 1, "constraint": "cash", "headroom": -365.02107712509627}</x:v>
      </x:c>
      <x:c r="I92" s="8" t="str">
        <x:v>{"variable_cost_share": [0.65, 0.65], "growth": [-0.05, -0.1]}</x:v>
      </x:c>
    </x:row>
    <x:row r="93" ht="60" customHeight="1">
      <x:c r="A93" s="8" t="str">
        <x:v>More fixed cost behaviour</x:v>
      </x:c>
      <x:c r="B93" s="8" t="str">
        <x:v>Liquidity-first</x:v>
      </x:c>
      <x:c r="C93" s="17" t="b">
        <x:v>0</x:v>
      </x:c>
      <x:c r="D93" s="8" t="n">
        <x:v>2949.1952696544217</x:v>
      </x:c>
      <x:c r="E93" s="8" t="n">
        <x:v>-8540.29707154929</x:v>
      </x:c>
      <x:c r="F93" s="8" t="n">
        <x:v>1297.0451724689829</x:v>
      </x:c>
      <x:c r="G93" s="22" t="n">
        <x:v>0</x:v>
      </x:c>
      <x:c r="H93" s="8" t="str">
        <x:v>{"period": 1, "year": 1, "constraint": "cash", "headroom": -130.67649753060027}</x:v>
      </x:c>
      <x:c r="I93" s="8" t="str">
        <x:v>{"variable_cost_share": [0.65, 0.65], "growth": [-0.05, -0.1]}</x:v>
      </x:c>
    </x:row>
    <x:row r="94" ht="60" customHeight="1">
      <x:c r="A94" s="8" t="str">
        <x:v>More fixed cost behaviour</x:v>
      </x:c>
      <x:c r="B94" s="8" t="str">
        <x:v>Mixed consideration</x:v>
      </x:c>
      <x:c r="C94" s="17" t="b">
        <x:v>0</x:v>
      </x:c>
      <x:c r="D94" s="8" t="n">
        <x:v>1521.2325116219422</x:v>
      </x:c>
      <x:c r="E94" s="8" t="n">
        <x:v>-8299.612457520898</x:v>
      </x:c>
      <x:c r="F94" s="8" t="n">
        <x:v>805.2547986025969</x:v>
      </x:c>
      <x:c r="G94" s="22" t="n">
        <x:v>0.06517517078138706</x:v>
      </x:c>
      <x:c r="H94" s="8" t="str">
        <x:v>{"period": 1, "year": 1, "constraint": "cash", "headroom": -281.82486430632065}</x:v>
      </x:c>
      <x:c r="I94" s="8" t="str">
        <x:v>{"variable_cost_share": [0.65, 0.65], "growth": [-0.05, -0.1]}</x:v>
      </x:c>
    </x:row>
    <x:row r="95" ht="60" customHeight="1">
      <x:c r="A95" s="8" t="str">
        <x:v>More variable cost behaviour</x:v>
      </x:c>
      <x:c r="B95" s="8" t="str">
        <x:v>Cash-first</x:v>
      </x:c>
      <x:c r="C95" s="17" t="b">
        <x:v>0</x:v>
      </x:c>
      <x:c r="D95" s="8" t="n">
        <x:v>2691.362087132146</x:v>
      </x:c>
      <x:c r="E95" s="8" t="n">
        <x:v>-2725.338690839778</x:v>
      </x:c>
      <x:c r="F95" s="8" t="n">
        <x:v>1196.4957524551562</x:v>
      </x:c>
      <x:c r="G95" s="22" t="n">
        <x:v>0</x:v>
      </x:c>
      <x:c r="H95" s="8" t="str">
        <x:v>{"period": 1, "year": 1, "constraint": "cash", "headroom": -22.235453085096196}</x:v>
      </x:c>
      <x:c r="I95" s="8" t="str">
        <x:v>{"variable_cost_share": [0.95, 0.95], "growth": [-0.05, -0.1]}</x:v>
      </x:c>
    </x:row>
    <x:row r="96" ht="60" customHeight="1">
      <x:c r="A96" s="8" t="str">
        <x:v>More variable cost behaviour</x:v>
      </x:c>
      <x:c r="B96" s="8" t="str">
        <x:v>Liquidity-first</x:v>
      </x:c>
      <x:c r="C96" s="17" t="b">
        <x:v>0</x:v>
      </x:c>
      <x:c r="D96" s="8" t="n">
        <x:v>2949.1952696544217</x:v>
      </x:c>
      <x:c r="E96" s="8" t="n">
        <x:v>-2716.430622639051</x:v>
      </x:c>
      <x:c r="F96" s="8" t="n">
        <x:v>1224.8200457266023</x:v>
      </x:c>
      <x:c r="G96" s="22" t="n">
        <x:v>0</x:v>
      </x:c>
      <x:c r="H96" s="8" t="str">
        <x:v>{"period": 2, "year": 2, "constraint": "cash", "headroom": -700.4881927840116}</x:v>
      </x:c>
      <x:c r="I96" s="8" t="str">
        <x:v>{"variable_cost_share": [0.95, 0.95], "growth": [-0.05, -0.1]}</x:v>
      </x:c>
    </x:row>
    <x:row r="97" ht="60" customHeight="1">
      <x:c r="A97" s="8" t="str">
        <x:v>More variable cost behaviour</x:v>
      </x:c>
      <x:c r="B97" s="8" t="str">
        <x:v>Mixed consideration</x:v>
      </x:c>
      <x:c r="C97" s="17" t="b">
        <x:v>0</x:v>
      </x:c>
      <x:c r="D97" s="8" t="n">
        <x:v>1521.2325116219422</x:v>
      </x:c>
      <x:c r="E97" s="8" t="n">
        <x:v>-2429.9881363411887</x:v>
      </x:c>
      <x:c r="F97" s="8" t="n">
        <x:v>781.3486581411548</x:v>
      </x:c>
      <x:c r="G97" s="22" t="n">
        <x:v>0.06517517078138706</x:v>
      </x:c>
      <x:c r="H97" s="8" t="str">
        <x:v>{"period": 2, "year": 2, "constraint": "cash", "headroom": -608.1431001688509}</x:v>
      </x:c>
      <x:c r="I97" s="8" t="str">
        <x:v>{"variable_cost_share": [0.95, 0.95], "growth": [-0.05, -0.1]}</x:v>
      </x:c>
    </x:row>
    <x:row r="98" ht="60" customHeight="1">
      <x:c r="A98" s="8" t="str">
        <x:v>Linked lower investment - mild</x:v>
      </x:c>
      <x:c r="B98" s="8" t="str">
        <x:v>Cash-first</x:v>
      </x:c>
      <x:c r="C98" s="17" t="b">
        <x:v>0</x:v>
      </x:c>
      <x:c r="D98" s="8" t="n">
        <x:v>2306.736139451969</x:v>
      </x:c>
      <x:c r="E98" s="8" t="n">
        <x:v>0</x:v>
      </x:c>
      <x:c r="F98" s="8" t="n">
        <x:v>865.8439023635244</x:v>
      </x:c>
      <x:c r="G98" s="22" t="n">
        <x:v>0</x:v>
      </x:c>
      <x:c r="H98" s="8" t="str">
        <x:v>{"period": 5, "year": 5, "constraint": "cash", "headroom": -750.0}</x:v>
      </x:c>
      <x:c r="I98" s="8" t="str">
        <x:v>{"gross_annual_capex": [900.0, 240.0], "dividend_factor": 0.0, "growth": [[0.01, 0.01, 0.01, 0.01, 0.01], [-0.060000000000000005, -0.01, 0.01, 0.01, 0.01]]}</x:v>
      </x:c>
    </x:row>
    <x:row r="99" ht="60" customHeight="1">
      <x:c r="A99" s="8" t="str">
        <x:v>Linked lower investment - mild</x:v>
      </x:c>
      <x:c r="B99" s="8" t="str">
        <x:v>Liquidity-first</x:v>
      </x:c>
      <x:c r="C99" s="17" t="b">
        <x:v>0</x:v>
      </x:c>
      <x:c r="D99" s="8" t="n">
        <x:v>2949.1952696544217</x:v>
      </x:c>
      <x:c r="E99" s="8" t="n">
        <x:v>0</x:v>
      </x:c>
      <x:c r="F99" s="8" t="n">
        <x:v>924.6203014243995</x:v>
      </x:c>
      <x:c r="G99" s="22" t="n">
        <x:v>0</x:v>
      </x:c>
      <x:c r="H99" s="8" t="str">
        <x:v>{"period": 5, "year": 5, "constraint": "cash", "headroom": -750.0}</x:v>
      </x:c>
      <x:c r="I99" s="8" t="str">
        <x:v>{"gross_annual_capex": [900.0, 240.0], "dividend_factor": 0.0, "growth": [[0.01, 0.01, 0.01, 0.01, 0.01], [-0.060000000000000005, -0.01, 0.01, 0.01, 0.01]]}</x:v>
      </x:c>
    </x:row>
    <x:row r="100" ht="60" customHeight="1">
      <x:c r="A100" s="8" t="str">
        <x:v>Linked lower investment - mild</x:v>
      </x:c>
      <x:c r="B100" s="8" t="str">
        <x:v>Mixed consideration</x:v>
      </x:c>
      <x:c r="C100" s="17" t="b">
        <x:v>1</x:v>
      </x:c>
      <x:c r="D100" s="8" t="n">
        <x:v>1136.606563941765</x:v>
      </x:c>
      <x:c r="E100" s="8" t="n">
        <x:v>750</x:v>
      </x:c>
      <x:c r="F100" s="8" t="n">
        <x:v>415.17684541164357</x:v>
      </x:c>
      <x:c r="G100" s="22" t="n">
        <x:v>0.06517517078138706</x:v>
      </x:c>
      <x:c r="H100" s="8"/>
      <x:c r="I100" s="8" t="str">
        <x:v>{"gross_annual_capex": [900.0, 240.0], "dividend_factor": 0.0, "growth": [[0.01, 0.01, 0.01, 0.01, 0.01], [-0.060000000000000005, -0.01, 0.01, 0.01, 0.01]]}</x:v>
      </x:c>
    </x:row>
    <x:row r="101" ht="60" customHeight="1">
      <x:c r="A101" s="8" t="str">
        <x:v>Linked lower investment - stronger</x:v>
      </x:c>
      <x:c r="B101" s="8" t="str">
        <x:v>Cash-first</x:v>
      </x:c>
      <x:c r="C101" s="17" t="b">
        <x:v>0</x:v>
      </x:c>
      <x:c r="D101" s="8" t="n">
        <x:v>2306.736139451969</x:v>
      </x:c>
      <x:c r="E101" s="8" t="n">
        <x:v>0</x:v>
      </x:c>
      <x:c r="F101" s="8" t="n">
        <x:v>886.0199090136566</x:v>
      </x:c>
      <x:c r="G101" s="22" t="n">
        <x:v>0</x:v>
      </x:c>
      <x:c r="H101" s="8" t="str">
        <x:v>{"period": 2, "year": 2, "constraint": "cash", "headroom": -14.072027287589322}</x:v>
      </x:c>
      <x:c r="I101" s="8" t="str">
        <x:v>{"gross_annual_capex": [900.0, 240.0], "dividend_factor": 0.0, "growth": [[0.0, 0.0, 0.0, 0.0, 0.0], [-0.07, -0.02, 0.0, 0.0, 0.0]]}</x:v>
      </x:c>
    </x:row>
    <x:row r="102" ht="60" customHeight="1">
      <x:c r="A102" s="8" t="str">
        <x:v>Linked lower investment - stronger</x:v>
      </x:c>
      <x:c r="B102" s="8" t="str">
        <x:v>Liquidity-first</x:v>
      </x:c>
      <x:c r="C102" s="17" t="b">
        <x:v>0</x:v>
      </x:c>
      <x:c r="D102" s="8" t="n">
        <x:v>2949.1952696544217</x:v>
      </x:c>
      <x:c r="E102" s="8" t="n">
        <x:v>0</x:v>
      </x:c>
      <x:c r="F102" s="8" t="n">
        <x:v>938.3854677981981</x:v>
      </x:c>
      <x:c r="G102" s="22" t="n">
        <x:v>0</x:v>
      </x:c>
      <x:c r="H102" s="8" t="str">
        <x:v>{"period": 2, "year": 2, "constraint": "cash", "headroom": -29.255398828081297}</x:v>
      </x:c>
      <x:c r="I102" s="8" t="str">
        <x:v>{"gross_annual_capex": [900.0, 240.0], "dividend_factor": 0.0, "growth": [[0.0, 0.0, 0.0, 0.0, 0.0], [-0.07, -0.02, 0.0, 0.0, 0.0]]}</x:v>
      </x:c>
    </x:row>
    <x:row r="103" ht="60" customHeight="1">
      <x:c r="A103" s="8" t="str">
        <x:v>Linked lower investment - stronger</x:v>
      </x:c>
      <x:c r="B103" s="8" t="str">
        <x:v>Mixed consideration</x:v>
      </x:c>
      <x:c r="C103" s="17" t="b">
        <x:v>0</x:v>
      </x:c>
      <x:c r="D103" s="8" t="n">
        <x:v>1136.606563941765</x:v>
      </x:c>
      <x:c r="E103" s="8" t="n">
        <x:v>389.66374799717113</x:v>
      </x:c>
      <x:c r="F103" s="8" t="n">
        <x:v>449.81551285742387</x:v>
      </x:c>
      <x:c r="G103" s="22" t="n">
        <x:v>0.06517517078138706</x:v>
      </x:c>
      <x:c r="H103" s="8" t="str">
        <x:v>{"period": 4, "year": 4, "constraint": "cash", "headroom": -23.301394617829487}</x:v>
      </x:c>
      <x:c r="I103" s="8" t="str">
        <x:v>{"gross_annual_capex": [900.0, 240.0], "dividend_factor": 0.0, "growth": [[0.0, 0.0, 0.0, 0.0, 0.0], [-0.07, -0.02, 0.0, 0.0, 0.0]]}</x:v>
      </x:c>
    </x:row>
    <x:row r="104" ht="60" customHeight="1">
      <x:c r="A104" s="8" t="str">
        <x:v>Fixed financing fee budget</x:v>
      </x:c>
      <x:c r="B104" s="8" t="str">
        <x:v>Cash-first</x:v>
      </x:c>
      <x:c r="C104" s="17" t="b">
        <x:v>0</x:v>
      </x:c>
      <x:c r="D104" s="8" t="n">
        <x:v>2691.362087132146</x:v>
      </x:c>
      <x:c r="E104" s="8" t="n">
        <x:v>-1904.4458177454808</x:v>
      </x:c>
      <x:c r="F104" s="8" t="n">
        <x:v>1208.2474244083112</x:v>
      </x:c>
      <x:c r="G104" s="22" t="n">
        <x:v>0</x:v>
      </x:c>
      <x:c r="H104" s="8" t="str">
        <x:v>{"period": 1, "year": 1, "constraint": "cash", "headroom": -151.7087785450933}</x:v>
      </x:c>
      <x:c r="I104" s="8" t="str">
        <x:v>{"fee_convention": "fixed_budget"}</x:v>
      </x:c>
    </x:row>
    <x:row r="105" ht="60" customHeight="1">
      <x:c r="A105" s="8" t="str">
        <x:v>Fixed financing fee budget</x:v>
      </x:c>
      <x:c r="B105" s="8" t="str">
        <x:v>Liquidity-first</x:v>
      </x:c>
      <x:c r="C105" s="17" t="b">
        <x:v>0</x:v>
      </x:c>
      <x:c r="D105" s="8" t="n">
        <x:v>2949.1952696544217</x:v>
      </x:c>
      <x:c r="E105" s="8" t="n">
        <x:v>-1840.5015998529639</x:v>
      </x:c>
      <x:c r="F105" s="8" t="n">
        <x:v>1261.0725768554014</x:v>
      </x:c>
      <x:c r="G105" s="22" t="n">
        <x:v>0</x:v>
      </x:c>
      <x:c r="H105" s="8" t="str">
        <x:v>{"period": 2, "year": 2, "constraint": "cash", "headroom": -733.8431788712214}</x:v>
      </x:c>
      <x:c r="I105" s="8" t="str">
        <x:v>{"fee_convention": "fixed_budget"}</x:v>
      </x:c>
    </x:row>
    <x:row r="106" ht="60" customHeight="1">
      <x:c r="A106" s="8" t="str">
        <x:v>Fixed financing fee budget</x:v>
      </x:c>
      <x:c r="B106" s="8" t="str">
        <x:v>Mixed consideration</x:v>
      </x:c>
      <x:c r="C106" s="17" t="b">
        <x:v>0</x:v>
      </x:c>
      <x:c r="D106" s="8" t="n">
        <x:v>1521.2325116219422</x:v>
      </x:c>
      <x:c r="E106" s="8" t="n">
        <x:v>-1615.6857259822552</x:v>
      </x:c>
      <x:c r="F106" s="8" t="n">
        <x:v>798.4176708665848</x:v>
      </x:c>
      <x:c r="G106" s="22" t="n">
        <x:v>0.06517517078138706</x:v>
      </x:c>
      <x:c r="H106" s="8" t="str">
        <x:v>{"period": 1, "year": 1, "constraint": "cash", "headroom": -68.51256572631758}</x:v>
      </x:c>
      <x:c r="I106" s="8" t="str">
        <x:v>{"fee_convention": "fixed_budget"}</x:v>
      </x:c>
    </x:row>
    <x:row r="107" ht="60" customHeight="1">
      <x:c r="A107" s="8" t="str">
        <x:v>High closing working capital</x:v>
      </x:c>
      <x:c r="B107" s="8" t="str">
        <x:v>Cash-first</x:v>
      </x:c>
      <x:c r="C107" s="17" t="b">
        <x:v>0</x:v>
      </x:c>
      <x:c r="D107" s="8" t="n">
        <x:v>3045.317718634013</x:v>
      </x:c>
      <x:c r="E107" s="8" t="n">
        <x:v>-1799.112331545413</x:v>
      </x:c>
      <x:c r="F107" s="8" t="n">
        <x:v>1208.4700287125445</x:v>
      </x:c>
      <x:c r="G107" s="22" t="n">
        <x:v>0</x:v>
      </x:c>
      <x:c r="H107" s="8" t="str">
        <x:v>{"period": 0, "year": 0, "constraint": "cash", "headroom": -110.89145612817049}</x:v>
      </x:c>
      <x:c r="I107" s="8" t="str">
        <x:v>{"closing_inventory_multiplier": [1.28, 1.25], "closing_payables_multiplier": [1.05, 1.05]}</x:v>
      </x:c>
    </x:row>
    <x:row r="108" ht="60" customHeight="1">
      <x:c r="A108" s="8" t="str">
        <x:v>High closing working capital</x:v>
      </x:c>
      <x:c r="B108" s="8" t="str">
        <x:v>Liquidity-first</x:v>
      </x:c>
      <x:c r="C108" s="17" t="b">
        <x:v>0</x:v>
      </x:c>
      <x:c r="D108" s="8" t="n">
        <x:v>3045.317718634013</x:v>
      </x:c>
      <x:c r="E108" s="8" t="n">
        <x:v>-1799.112331545413</x:v>
      </x:c>
      <x:c r="F108" s="8" t="n">
        <x:v>1208.4700287125445</x:v>
      </x:c>
      <x:c r="G108" s="22" t="n">
        <x:v>0</x:v>
      </x:c>
      <x:c r="H108" s="8" t="str">
        <x:v>{"period": 0, "year": 0, "constraint": "cash", "headroom": -110.89145612817049}</x:v>
      </x:c>
      <x:c r="I108" s="8" t="str">
        <x:v>{"closing_inventory_multiplier": [1.28, 1.25], "closing_payables_multiplier": [1.05, 1.05]}</x:v>
      </x:c>
    </x:row>
    <x:row r="109" ht="60" customHeight="1">
      <x:c r="A109" s="8" t="str">
        <x:v>High closing working capital</x:v>
      </x:c>
      <x:c r="B109" s="8" t="str">
        <x:v>Mixed consideration</x:v>
      </x:c>
      <x:c r="C109" s="17" t="b">
        <x:v>0</x:v>
      </x:c>
      <x:c r="D109" s="8" t="n">
        <x:v>1875.1881431238094</x:v>
      </x:c>
      <x:c r="E109" s="8" t="n">
        <x:v>-1527.9010558839655</x:v>
      </x:c>
      <x:c r="F109" s="8" t="n">
        <x:v>787.0970075347158</x:v>
      </x:c>
      <x:c r="G109" s="22" t="n">
        <x:v>0.06517517078138706</x:v>
      </x:c>
      <x:c r="H109" s="8" t="str">
        <x:v>{"period": 0, "year": 0, "constraint": "cash", "headroom": -110.89145612817049}</x:v>
      </x:c>
      <x:c r="I109" s="8" t="str">
        <x:v>{"closing_inventory_multiplier": [1.28, 1.25], "closing_payables_multiplier": [1.05, 1.05]}</x:v>
      </x:c>
    </x:row>
    <x:row r="110" ht="60" customHeight="1">
      <x:c r="A110" s="8" t="str">
        <x:v>Low closing working capital</x:v>
      </x:c>
      <x:c r="B110" s="8" t="str">
        <x:v>Cash-first</x:v>
      </x:c>
      <x:c r="C110" s="17" t="b">
        <x:v>0</x:v>
      </x:c>
      <x:c r="D110" s="8" t="n">
        <x:v>2320.3743575403105</x:v>
      </x:c>
      <x:c r="E110" s="8" t="n">
        <x:v>-2438.420961107646</x:v>
      </x:c>
      <x:c r="F110" s="8" t="n">
        <x:v>1094.1740667714826</x:v>
      </x:c>
      <x:c r="G110" s="22" t="n">
        <x:v>0</x:v>
      </x:c>
      <x:c r="H110" s="8" t="str">
        <x:v>{"period": 1, "year": 1, "constraint": "cash", "headroom": -750.0}</x:v>
      </x:c>
      <x:c r="I110" s="8" t="str">
        <x:v>{"closing_inventory_multiplier": [1.08, 1.05], "closing_payables_multiplier": [1.25, 1.25]}</x:v>
      </x:c>
    </x:row>
    <x:row r="111" ht="60" customHeight="1">
      <x:c r="A111" s="8" t="str">
        <x:v>Low closing working capital</x:v>
      </x:c>
      <x:c r="B111" s="8" t="str">
        <x:v>Liquidity-first</x:v>
      </x:c>
      <x:c r="C111" s="17" t="b">
        <x:v>0</x:v>
      </x:c>
      <x:c r="D111" s="8" t="n">
        <x:v>2949.1952696544217</x:v>
      </x:c>
      <x:c r="E111" s="8" t="n">
        <x:v>-2033.2376436083864</x:v>
      </x:c>
      <x:c r="F111" s="8" t="n">
        <x:v>1297.0451724689829</x:v>
      </x:c>
      <x:c r="G111" s="22" t="n">
        <x:v>0</x:v>
      </x:c>
      <x:c r="H111" s="8" t="str">
        <x:v>{"period": 1, "year": 1, "constraint": "cash", "headroom": -228.85352395059658}</x:v>
      </x:c>
      <x:c r="I111" s="8" t="str">
        <x:v>{"closing_inventory_multiplier": [1.08, 1.05], "closing_payables_multiplier": [1.25, 1.25]}</x:v>
      </x:c>
    </x:row>
    <x:row r="112" ht="60" customHeight="1">
      <x:c r="A112" s="8" t="str">
        <x:v>Low closing working capital</x:v>
      </x:c>
      <x:c r="B112" s="8" t="str">
        <x:v>Mixed consideration</x:v>
      </x:c>
      <x:c r="C112" s="17" t="b">
        <x:v>0</x:v>
      </x:c>
      <x:c r="D112" s="8" t="n">
        <x:v>1150.244782030106</x:v>
      </x:c>
      <x:c r="E112" s="8" t="n">
        <x:v>-2161.2253877331254</x:v>
      </x:c>
      <x:c r="F112" s="8" t="n">
        <x:v>677.4866245311687</x:v>
      </x:c>
      <x:c r="G112" s="22" t="n">
        <x:v>0.06517517078138706</x:v>
      </x:c>
      <x:c r="H112" s="8" t="str">
        <x:v>{"period": 1, "year": 1, "constraint": "cash", "headroom": -717.1926381523372}</x:v>
      </x:c>
      <x:c r="I112" s="8" t="str">
        <x:v>{"closing_inventory_multiplier": [1.08, 1.05], "closing_payables_multiplier": [1.25, 1.25]}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2" hidden="0" customWidth="1"/>
    <x:col min="2" max="2" width="36" hidden="0" customWidth="1"/>
    <x:col min="3" max="3" width="95" hidden="0" customWidth="1"/>
    <x:col min="4" max="4" width="90" hidden="0" customWidth="1"/>
  </x:cols>
  <x:sheetData>
    <x:row r="2" ht="42" customHeight="1">
      <x:c r="A2" s="5" t="str">
        <x:v>PUBLIC INFORMATION | Public gap assessment</x:v>
      </x:c>
      <x:c r="B2" s="5"/>
      <x:c r="C2" s="5"/>
      <x:c r="D2" s="5"/>
    </x:row>
    <x:row r="3" ht="42" customHeight="1">
      <x:c r="A3" s="4" t="str">
        <x:v>Conditional model snapshots; strict recommendation remains blocked. USD millions unless stated.</x:v>
      </x:c>
      <x:c r="B3" s="4"/>
      <x:c r="C3" s="4"/>
      <x:c r="D3" s="4"/>
    </x:row>
    <x:row r="4" ht="42" customHeight="1">
      <x:c r="A4" s="7" t="str">
        <x:v>Required input</x:v>
      </x:c>
      <x:c r="B4" s="7" t="str">
        <x:v>Classification</x:v>
      </x:c>
      <x:c r="C4" s="7" t="str">
        <x:v>Effect / applicability</x:v>
      </x:c>
      <x:c r="D4" s="7" t="str">
        <x:v>Strict materiality</x:v>
      </x:c>
    </x:row>
    <x:row r="5" ht="130" customHeight="1">
      <x:c r="A5" s="8" t="str">
        <x:v>transaction.share_and_award_treatment</x:v>
      </x:c>
      <x:c r="B5" s="8" t="str">
        <x:v>Private or unavailable information that may be bounded</x:v>
      </x:c>
      <x:c r="C5" s="8" t="str">
        <x:v>Known options have cash payoff between zero and 24 per option; director RSUs between zero and all disclosed RSUs; DSUs use disclosed count. Separate converted employee awards from common consideration. Unknown consent/withholding costs are not claimed bounded.</x:v>
      </x:c>
      <x:c r="D5" s="8" t="str">
        <x:v>Material transaction or unregistered model dependency: unsupported consideration or scope can change financing needs.</x:v>
      </x:c>
    </x:row>
    <x:row r="6" ht="130" customHeight="1">
      <x:c r="A6" s="8" t="str">
        <x:v>acquirer.opening.unrestricted_cash</x:v>
      </x:c>
      <x:c r="B6" s="8" t="str">
        <x:v>Private or unavailable information that may be bounded</x:v>
      </x:c>
      <x:c r="C6" s="8" t="str">
        <x:v>Use verified accounting cash, project closing movements, then test 0-100% cash access. Do not assert the accessible fraction is a historical fact or legal availability.</x:v>
      </x:c>
      <x:c r="D6" s="8" t="str">
        <x:v>Opening liquidity and debt determine spendable cash, financing need and net leverage; a wrong balance can falsely imply funding.</x:v>
      </x:c>
    </x:row>
    <x:row r="7" ht="130" customHeight="1">
      <x:c r="A7" s="8" t="str">
        <x:v>acquirer.opening.cash_restrictions</x:v>
      </x:c>
      <x:c r="B7" s="8" t="str">
        <x:v>Private or unavailable information that may be bounded</x:v>
      </x:c>
      <x:c r="C7" s="8" t="str">
        <x:v>Use verified accounting cash, project closing movements, then test 0-100% cash access. Do not assert the accessible fraction is a historical fact or legal availability.</x:v>
      </x:c>
      <x:c r="D7" s="8" t="str">
        <x:v>Opening liquidity and debt determine spendable cash, financing need and net leverage; a wrong balance can falsely imply funding.</x:v>
      </x:c>
    </x:row>
    <x:row r="8" ht="130" customHeight="1">
      <x:c r="A8" s="8" t="str">
        <x:v>acquirer.opening.debt_principal</x:v>
      </x:c>
      <x:c r="B8" s="8" t="str">
        <x:v>Essential historical facts or contractual provisions</x:v>
      </x:c>
      <x:c r="C8" s="8" t="str">
        <x:v>Model publicly disclosed note principal and FL aggregate finance-lease liability, not unsupported private instrument identities. Test the disclosed DKS other-liability envelope as a conservative extra cash reserve. Completeness of unreported debt is not asserted.</x:v>
      </x:c>
      <x:c r="D8" s="8" t="str">
        <x:v>Opening liquidity and debt determine spendable cash, financing need and net leverage; a wrong balance can falsely imply funding.</x:v>
      </x:c>
    </x:row>
    <x:row r="9" ht="130" customHeight="1">
      <x:c r="A9" s="8" t="str">
        <x:v>acquirer.FY2024.lease_reconciliation</x:v>
      </x:c>
      <x:c r="B9" s="8" t="str">
        <x:v>Private or unavailable information that may be bounded</x:v>
      </x:c>
      <x:c r="C9" s="8" t="str">
        <x:v>Use fixed-note contracts and aggregate disclosed lease cash maturities. Project lease principal using an explicit aggregate interest allocation; vary rate and tail timing. Instrument-level lease schedule and undisclosed early-termination/consent costs remain blocked.</x:v>
      </x:c>
      <x:c r="D9" s="8" t="str">
        <x:v>Latest standalone operating base drives forecast EBITDA, cash taxes, working capital and cash available for debt service.</x:v>
      </x:c>
    </x:row>
    <x:row r="10" ht="130" customHeight="1">
      <x:c r="A10" s="8" t="str">
        <x:v>acquirer.FY2024.dividends_buybacks_commitments</x:v>
      </x:c>
      <x:c r="B10" s="8" t="str">
        <x:v>Private or unavailable information that may be bounded</x:v>
      </x:c>
      <x:c r="C10" s="8" t="str">
        <x:v>Known declarations and accrued payments remain essential facts. Project future distributions at declared per-share rate; test zero/doubled future distributions. DKS disclosed 180 purchase commitments support a full-amount incremental stress, not a bound on all undisclosed FL obligations. Complete exceptional commitments remain unbounded.</x:v>
      </x:c>
      <x:c r="D10" s="8" t="str">
        <x:v>Contractual capital commitments can compete with debt service; discretionary future distributions are separate explicit assumptions.</x:v>
      </x:c>
    </x:row>
    <x:row r="11" ht="130" customHeight="1">
      <x:c r="A11" s="8" t="str">
        <x:v>acquirer.debt.instrument_inventory</x:v>
      </x:c>
      <x:c r="B11" s="8" t="str">
        <x:v>Essential historical facts or contractual provisions</x:v>
      </x:c>
      <x:c r="C11" s="8" t="str">
        <x:v>Model publicly disclosed note principal and FL aggregate finance-lease liability, not unsupported private instrument identities. Test the disclosed DKS other-liability envelope as a conservative extra cash reserve. Completeness of unreported debt is not asserted.</x:v>
      </x:c>
      <x:c r="D11" s="8" t="str">
        <x:v>Instrument rights determine mandatory repayments, coupon resets and legally available borrowing; numerical solvency cannot replace contract evidence.</x:v>
      </x:c>
    </x:row>
    <x:row r="12" ht="130" customHeight="1">
      <x:c r="A12" s="8" t="str">
        <x:v>acquirer.debt.maturity_and_amortisation_schedule</x:v>
      </x:c>
      <x:c r="B12" s="8" t="str">
        <x:v>Private or unavailable information that may be bounded</x:v>
      </x:c>
      <x:c r="C12" s="8" t="str">
        <x:v>Use fixed-note contracts and aggregate disclosed lease cash maturities. Project lease principal using an explicit aggregate interest allocation; vary rate and tail timing. Instrument-level lease schedule and undisclosed early-termination/consent costs remain blocked.</x:v>
      </x:c>
      <x:c r="D12" s="8" t="str">
        <x:v>Instrument rights determine mandatory repayments, coupon resets and legally available borrowing; numerical solvency cannot replace contract evidence.</x:v>
      </x:c>
    </x:row>
    <x:row r="13" ht="130" customHeight="1">
      <x:c r="A13" s="8" t="str">
        <x:v>acquirer.debt.coupons_and_resets</x:v>
      </x:c>
      <x:c r="B13" s="8" t="str">
        <x:v>Private or unavailable information that may be bounded</x:v>
      </x:c>
      <x:c r="C13" s="8" t="str">
        <x:v>Use fixed-note contracts and aggregate disclosed lease cash maturities. Project lease principal using an explicit aggregate interest allocation; vary rate and tail timing. Instrument-level lease schedule and undisclosed early-termination/consent costs remain blocked.</x:v>
      </x:c>
      <x:c r="D13" s="8" t="str">
        <x:v>Instrument rights determine mandatory repayments, coupon resets and legally available borrowing; numerical solvency cannot replace contract evidence.</x:v>
      </x:c>
    </x:row>
    <x:row r="14" ht="130" customHeight="1">
      <x:c r="A14" s="8" t="str">
        <x:v>acquirer.debt.change_of_control</x:v>
      </x:c>
      <x:c r="B14" s="8" t="str">
        <x:v>Essential historical facts or contractual provisions</x:v>
      </x:c>
      <x:c r="C14" s="8" t="str">
        <x:v>Apply public merger ABL termination and elective note redemption provisions; do not require a future ratings event to be historical. Private lease consent obligations are not bounded, so no comprehensive actual-company preference.</x:v>
      </x:c>
      <x:c r="D14" s="8" t="str">
        <x:v>Instrument rights determine mandatory repayments, coupon resets and legally available borrowing; numerical solvency cannot replace contract evidence.</x:v>
      </x:c>
    </x:row>
    <x:row r="15" ht="130" customHeight="1">
      <x:c r="A15" s="8" t="str">
        <x:v>acquirer.debt.refinancing_and_repricing</x:v>
      </x:c>
      <x:c r="B15" s="8" t="str">
        <x:v>Future modelling assumptions</x:v>
      </x:c>
      <x:c r="C15" s="8" t="str">
        <x:v>Retain DKS notes without optional redemption; redeem FL notes under the published call grid. New rates/refinancing are explicit future scenarios, never committed liquidity. DKS make-whole quotes apply only if those notes are called.</x:v>
      </x:c>
      <x:c r="D15" s="8" t="str">
        <x:v>Instrument rights determine mandatory repayments, coupon resets and legally available borrowing; numerical solvency cannot replace contract evidence.</x:v>
      </x:c>
    </x:row>
    <x:row r="16" ht="130" customHeight="1">
      <x:c r="A16" s="8" t="str">
        <x:v>acquirer.debt.covenants_and_restricted_payments</x:v>
      </x:c>
      <x:c r="B16" s="8" t="str">
        <x:v>Specific financing route or compliance claim</x:v>
      </x:c>
      <x:c r="C16" s="8" t="str">
        <x:v>No post-close facility draws. ABL termination/LC treatment is a closing use. Borrowing-base/compliance certificates do not gate no-facility analytical capacity; actual compliance and availability remain blocked.</x:v>
      </x:c>
      <x:c r="D16" s="8" t="str">
        <x:v>Instrument rights determine mandatory repayments, coupon resets and legally available borrowing; numerical solvency cannot replace contract evidence.</x:v>
      </x:c>
    </x:row>
    <x:row r="17" ht="130" customHeight="1">
      <x:c r="A17" s="8" t="str">
        <x:v>target.opening.unrestricted_cash</x:v>
      </x:c>
      <x:c r="B17" s="8" t="str">
        <x:v>Private or unavailable information that may be bounded</x:v>
      </x:c>
      <x:c r="C17" s="8" t="str">
        <x:v>Use verified accounting cash, project closing movements, then test 0-100% cash access. Do not assert the accessible fraction is a historical fact or legal availability.</x:v>
      </x:c>
      <x:c r="D17" s="8" t="str">
        <x:v>Opening liquidity and debt determine spendable cash, financing need and net leverage; a wrong balance can falsely imply funding.</x:v>
      </x:c>
    </x:row>
    <x:row r="18" ht="130" customHeight="1">
      <x:c r="A18" s="8" t="str">
        <x:v>target.opening.cash_restrictions</x:v>
      </x:c>
      <x:c r="B18" s="8" t="str">
        <x:v>Private or unavailable information that may be bounded</x:v>
      </x:c>
      <x:c r="C18" s="8" t="str">
        <x:v>Use verified accounting cash, project closing movements, then test 0-100% cash access. Do not assert the accessible fraction is a historical fact or legal availability.</x:v>
      </x:c>
      <x:c r="D18" s="8" t="str">
        <x:v>Opening liquidity and debt determine spendable cash, financing need and net leverage; a wrong balance can falsely imply funding.</x:v>
      </x:c>
    </x:row>
    <x:row r="19" ht="130" customHeight="1">
      <x:c r="A19" s="8" t="str">
        <x:v>target.FY2024.lease_reconciliation</x:v>
      </x:c>
      <x:c r="B19" s="8" t="str">
        <x:v>Private or unavailable information that may be bounded</x:v>
      </x:c>
      <x:c r="C19" s="8" t="str">
        <x:v>Use fixed-note contracts and aggregate disclosed lease cash maturities. Project lease principal using an explicit aggregate interest allocation; vary rate and tail timing. Instrument-level lease schedule and undisclosed early-termination/consent costs remain blocked.</x:v>
      </x:c>
      <x:c r="D19" s="8" t="str">
        <x:v>Latest standalone operating base drives forecast EBITDA, cash taxes, working capital and cash available for debt service.</x:v>
      </x:c>
    </x:row>
    <x:row r="20" ht="130" customHeight="1">
      <x:c r="A20" s="8" t="str">
        <x:v>target.FY2024.dividends_buybacks_commitments</x:v>
      </x:c>
      <x:c r="B20" s="8" t="str">
        <x:v>Private or unavailable information that may be bounded</x:v>
      </x:c>
      <x:c r="C20" s="8" t="str">
        <x:v>Known declarations and accrued payments remain essential facts. Project future distributions at declared per-share rate; test zero/doubled future distributions. DKS disclosed 180 purchase commitments support a full-amount incremental stress, not a bound on all undisclosed FL obligations. Complete exceptional commitments remain unbounded.</x:v>
      </x:c>
      <x:c r="D20" s="8" t="str">
        <x:v>Contractual capital commitments can compete with debt service; discretionary future distributions are separate explicit assumptions.</x:v>
      </x:c>
    </x:row>
    <x:row r="21" ht="130" customHeight="1">
      <x:c r="A21" s="8" t="str">
        <x:v>target.debt.instrument_inventory</x:v>
      </x:c>
      <x:c r="B21" s="8" t="str">
        <x:v>Essential historical facts or contractual provisions</x:v>
      </x:c>
      <x:c r="C21" s="8" t="str">
        <x:v>Model publicly disclosed note principal and FL aggregate finance-lease liability, not unsupported private instrument identities. Test the disclosed DKS other-liability envelope as a conservative extra cash reserve. Completeness of unreported debt is not asserted.</x:v>
      </x:c>
      <x:c r="D21" s="8" t="str">
        <x:v>Instrument rights determine mandatory repayments, coupon resets and legally available borrowing; numerical solvency cannot replace contract evidence.</x:v>
      </x:c>
    </x:row>
    <x:row r="22" ht="130" customHeight="1">
      <x:c r="A22" s="8" t="str">
        <x:v>target.debt.maturity_and_amortisation_schedule</x:v>
      </x:c>
      <x:c r="B22" s="8" t="str">
        <x:v>Private or unavailable information that may be bounded</x:v>
      </x:c>
      <x:c r="C22" s="8" t="str">
        <x:v>Use fixed-note contracts and aggregate disclosed lease cash maturities. Project lease principal using an explicit aggregate interest allocation; vary rate and tail timing. Instrument-level lease schedule and undisclosed early-termination/consent costs remain blocked.</x:v>
      </x:c>
      <x:c r="D22" s="8" t="str">
        <x:v>Instrument rights determine mandatory repayments, coupon resets and legally available borrowing; numerical solvency cannot replace contract evidence.</x:v>
      </x:c>
    </x:row>
    <x:row r="23" ht="130" customHeight="1">
      <x:c r="A23" s="8" t="str">
        <x:v>target.debt.coupons_and_resets</x:v>
      </x:c>
      <x:c r="B23" s="8" t="str">
        <x:v>Private or unavailable information that may be bounded</x:v>
      </x:c>
      <x:c r="C23" s="8" t="str">
        <x:v>Use fixed-note contracts and aggregate disclosed lease cash maturities. Project lease principal using an explicit aggregate interest allocation; vary rate and tail timing. Instrument-level lease schedule and undisclosed early-termination/consent costs remain blocked.</x:v>
      </x:c>
      <x:c r="D23" s="8" t="str">
        <x:v>Instrument rights determine mandatory repayments, coupon resets and legally available borrowing; numerical solvency cannot replace contract evidence.</x:v>
      </x:c>
    </x:row>
    <x:row r="24" ht="130" customHeight="1">
      <x:c r="A24" s="8" t="str">
        <x:v>target.debt.change_of_control</x:v>
      </x:c>
      <x:c r="B24" s="8" t="str">
        <x:v>Essential historical facts or contractual provisions</x:v>
      </x:c>
      <x:c r="C24" s="8" t="str">
        <x:v>Apply public merger ABL termination and elective note redemption provisions; do not require a future ratings event to be historical. Private lease consent obligations are not bounded, so no comprehensive actual-company preference.</x:v>
      </x:c>
      <x:c r="D24" s="8" t="str">
        <x:v>Instrument rights determine mandatory repayments, coupon resets and legally available borrowing; numerical solvency cannot replace contract evidence.</x:v>
      </x:c>
    </x:row>
    <x:row r="25" ht="130" customHeight="1">
      <x:c r="A25" s="8" t="str">
        <x:v>target.debt.refinancing_and_repricing</x:v>
      </x:c>
      <x:c r="B25" s="8" t="str">
        <x:v>Future modelling assumptions</x:v>
      </x:c>
      <x:c r="C25" s="8" t="str">
        <x:v>Retain DKS notes without optional redemption; redeem FL notes under the published call grid. New rates/refinancing are explicit future scenarios, never committed liquidity. DKS make-whole quotes apply only if those notes are called.</x:v>
      </x:c>
      <x:c r="D25" s="8" t="str">
        <x:v>Instrument rights determine mandatory repayments, coupon resets and legally available borrowing; numerical solvency cannot replace contract evidence.</x:v>
      </x:c>
    </x:row>
    <x:row r="26" ht="130" customHeight="1">
      <x:c r="A26" s="8" t="str">
        <x:v>target.debt.borrowing_base_and_letters_of_credit</x:v>
      </x:c>
      <x:c r="B26" s="8" t="str">
        <x:v>Specific financing route or compliance claim</x:v>
      </x:c>
      <x:c r="C26" s="8" t="str">
        <x:v>No post-close facility draws. ABL termination/LC treatment is a closing use. Borrowing-base/compliance certificates do not gate no-facility analytical capacity; actual compliance and availability remain blocked.</x:v>
      </x:c>
      <x:c r="D26" s="8" t="str">
        <x:v>Instrument rights determine mandatory repayments, coupon resets and legally available borrowing; numerical solvency cannot replace contract evidence.</x:v>
      </x:c>
    </x:row>
    <x:row r="27" ht="130" customHeight="1">
      <x:c r="A27" s="8" t="str">
        <x:v>target.debt.covenants_and_restricted_payments</x:v>
      </x:c>
      <x:c r="B27" s="8" t="str">
        <x:v>Specific financing route or compliance claim</x:v>
      </x:c>
      <x:c r="C27" s="8" t="str">
        <x:v>No post-close facility draws. ABL termination/LC treatment is a closing use. Borrowing-base/compliance certificates do not gate no-facility analytical capacity; actual compliance and availability remain blocked.</x:v>
      </x:c>
      <x:c r="D27" s="8" t="str">
        <x:v>Instrument rights determine mandatory repayments, coupon resets and legally available borrowing; numerical solvency cannot replace contract evidence.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0" hidden="0" customWidth="1"/>
  </x:cols>
  <x:sheetData>
    <x:row r="2" ht="42" customHeight="1">
      <x:c r="A2" s="5" t="str">
        <x:v>Evidence review | Public conventions</x:v>
      </x:c>
    </x:row>
    <x:row r="3" ht="42" customHeight="1">
      <x:c r="A3" s="4" t="str">
        <x:v>USD millions unless stated. Python snapshots; formula calculations are explicitly shown.</x:v>
      </x:c>
    </x:row>
    <x:row r="4" ht="42" customHeight="1">
      <x:c r="A4" s="7" t="str">
        <x:v>Convention / limitation</x:v>
      </x:c>
    </x:row>
    <x:row r="5" ht="100" customHeight="1">
      <x:c r="A5" s="8" t="str">
        <x:v>Under the stated public-information assumptions and analytical thresholds, the model indicates only scoped scenario results; no overall financing preference is issued because material omitted private obligations are not bounded.</x:v>
      </x:c>
    </x:row>
    <x:row r="6" ht="100" customHeight="1">
      <x:c r="A6" s="8" t="str">
        <x:v>The base case has no structure passing all analytical screens. A blank capacity means no tested acquisition borrowing, including zero, passes the fixed operating and distribution policy; it does not establish zero standalone lending capacity.</x:v>
      </x:c>
    </x:row>
    <x:row r="7" ht="100" customHeight="1">
      <x:c r="A7" s="8" t="str">
        <x:v>Under the stated public-information assumptions and analytical thresholds, the model indicates trade-offs between cash preservation, debt service and stock dilution within the specified scope. The tests are a finite scenario set, not proof over all continuous ranges; no universal preference follows.</x:v>
      </x:c>
    </x:row>
    <x:row r="8" ht="100" customHeight="1">
      <x:c r="A8" s="8" t="str">
        <x:v>Passing scenario conditions: Lower reinvestment and dividends suspended — Mixed consideration; Lower reinvestment, no dividends, delayed synergies — Mixed consideration; Linked lower investment - mild — Mixed consideration.</x:v>
      </x:c>
    </x:row>
    <x:row r="9" ht="100" customHeight="1">
      <x:c r="A9" s="8" t="str">
        <x:v>Public-case amounts are USD millions. Projected close: 1 November 2025; annual years 1–5 follow closing. No target opening cash or terminated ABL is counted as available liquidity. Negative cash is an unfunded deficit, not permitted borrowing.</x:v>
      </x:c>
    </x:row>
    <x:row r="10" ht="100" customHeight="1">
      <x:c r="A10" s="8" t="str">
        <x:v>Capacity uses a $25m grid with $5m boundary refinement; narrow feasible regions can be missed. Reverse revenue stress uses one percentage-point steps. Analytical cash/leverage/coverage thresholds are not contractual covenants.</x:v>
      </x:c>
    </x:row>
    <x:row r="11" ht="100" customHeight="1">
      <x:c r="A11" s="8" t="str">
        <x:v>Known-award cash bounds exclude unknown taxes and consent costs. Common-share dilution excludes converted awards. Enterprise value remains unavailable. The $200 reference share value is an illustrative future valuation assumption, not a verified market price.</x:v>
      </x:c>
    </x:row>
    <x:row r="12" ht="100" customHeight="1">
      <x:c r="A12" s="8" t="str">
        <x:v>Forecast limitations: prior-year seasonal cash-flow calibration is imperfect; no actual interim cash rollforward, daily liquidity or legal cash availability is asserted. Base cash access is an assumption. See PUBLIC_CASE_REVIEW.md for every forecast convention and source reference.</x:v>
      </x:c>
    </x:row>
    <x:row r="13" ht="100" customHeight="1">
      <x:c r="A13" s="8" t="str">
        <x:v>Unbounded: Undisclosed lease consent/change-of-control payments: public aggregate maturities do not cap these charges.</x:v>
      </x:c>
    </x:row>
    <x:row r="14" ht="100" customHeight="1">
      <x:c r="A14" s="8" t="str">
        <x:v>Unbounded: Award tax/withholding, exceptional commitments and future changes in capitalization are not completely bounded by announcement-date aggregate counts.</x:v>
      </x:c>
    </x:row>
    <x:row r="15" ht="100" customHeight="1">
      <x:c r="A15" s="8" t="str">
        <x:v>transaction_fees: Transaction expenses only. Award, redemption, collateral and other uses are separate itemised_uses fields.</x:v>
      </x:c>
    </x:row>
    <x:row r="16" ht="100" customHeight="1">
      <x:c r="A16" s="8" t="str">
        <x:v>ownership_dilution: Common-share issuance only, excluding converted awards; not complete diluted ownership.</x:v>
      </x:c>
    </x:row>
    <x:row r="17" ht="100" customHeight="1">
      <x:c r="A17" s="8" t="str">
        <x:v>feasible: Passes analytical cash/leverage/coverage/maturity screens only, not legal compliance.</x:v>
      </x:c>
    </x:row>
    <x:row r="18" ht="100" customHeight="1">
      <x:c r="A18" s="8" t="str">
        <x:v>cash: Model-accessible cash after an explicit assumption, not verified legal availability.</x:v>
      </x:c>
    </x:row>
    <x:row r="19" ht="100" customHeight="1">
      <x:c r="A19" s="8" t="str">
        <x:v>capacity_none: No borrowing point, including zero acquisition debt, passes all model constraints under the fixed operating/funding assumptions; not a claim of zero standalone lending capacity.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2" ht="42" customHeight="1">
      <x:c r="A2" s="5" t="str">
        <x:v>Historical financing scenarios unavailable: insufficient verified evidence</x:v>
      </x:c>
      <x:c r="B2" s="5"/>
      <x:c r="C2" s="5"/>
      <x:c r="D2" s="5"/>
      <x:c r="E2" s="5"/>
      <x:c r="F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</x:row>
    <x:row r="4" ht="42" customHeight="1">
      <x:c r="A4" s="7" t="str">
        <x:v>Structure</x:v>
      </x:c>
      <x:c r="B4" s="7" t="str">
        <x:v>Year</x:v>
      </x:c>
      <x:c r="C4" s="7" t="str">
        <x:v>Closing cash</x:v>
      </x:c>
      <x:c r="D4" s="7" t="str">
        <x:v>Closing debt</x:v>
      </x:c>
      <x:c r="E4" s="7" t="str">
        <x:v>Interest</x:v>
      </x:c>
      <x:c r="F4" s="7" t="str">
        <x:v>Maturity gap</x:v>
      </x:c>
    </x:row>
    <x:row r="5">
      <x:c r="A5" s="25"/>
      <x:c r="B5" s="26"/>
      <x:c r="C5" s="25"/>
      <x:c r="D5" s="25"/>
      <x:c r="E5" s="25"/>
      <x:c r="F5" s="25"/>
    </x:row>
  </x:sheetData>
  <x:mergeCells>
    <x:mergeCell ref="A2:F2"/>
    <x:mergeCell ref="A3:F3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4" hidden="0" customWidth="1"/>
    <x:col min="2" max="2" width="35" hidden="0" customWidth="1"/>
    <x:col min="3" max="3" width="30" hidden="0" customWidth="1"/>
    <x:col min="4" max="4" width="22" hidden="0" customWidth="1"/>
    <x:col min="5" max="5" width="60" hidden="0" customWidth="1"/>
    <x:col min="6" max="6" width="60" hidden="0" customWidth="1"/>
    <x:col min="7" max="7" width="70" hidden="0" customWidth="1"/>
    <x:col min="8" max="8" width="70" hidden="0" customWidth="1"/>
  </x:cols>
  <x:sheetData>
    <x:row r="2" ht="42" customHeight="1">
      <x:c r="A2" s="5" t="str">
        <x:v>Evidence review | Evidence</x:v>
      </x:c>
      <x:c r="B2" s="5"/>
      <x:c r="C2" s="5"/>
      <x:c r="D2" s="5"/>
      <x:c r="E2" s="5"/>
      <x:c r="F2" s="5"/>
      <x:c r="G2" s="5"/>
      <x:c r="H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</x:row>
    <x:row r="4" ht="42" customHeight="1">
      <x:c r="A4" s="7" t="str">
        <x:v>Input</x:v>
      </x:c>
      <x:c r="B4" s="7" t="str">
        <x:v>Value</x:v>
      </x:c>
      <x:c r="C4" s="7" t="str">
        <x:v>Classification</x:v>
      </x:c>
      <x:c r="D4" s="7" t="str">
        <x:v>Blocks recommendation</x:v>
      </x:c>
      <x:c r="E4" s="7" t="str">
        <x:v>Reason</x:v>
      </x:c>
      <x:c r="F4" s="7" t="str">
        <x:v>Affected calculations</x:v>
      </x:c>
      <x:c r="G4" s="7" t="str">
        <x:v>Materiality</x:v>
      </x:c>
      <x:c r="H4" s="7" t="str">
        <x:v>Resolution</x:v>
      </x:c>
    </x:row>
    <x:row r="5" ht="90" customHeight="1">
      <x:c r="A5" s="4" t="str">
        <x:v>acquirer.FY2022.capex</x:v>
      </x:c>
      <x:c r="B5" s="4" t="n">
        <x:v>364.075</x:v>
      </x:c>
      <x:c r="C5" s="4" t="str">
        <x:v>verified fact</x:v>
      </x:c>
      <x:c r="D5" s="16" t="b">
        <x:v>0</x:v>
      </x:c>
      <x:c r="E5" s="4" t="str">
        <x:v>Exact observation supported by reviewed source: dks10k</x:v>
      </x:c>
      <x:c r="F5" s="4" t="str">
        <x:v>Operating forecast, EBITDA, working capital and debt-service cash flow</x:v>
      </x:c>
      <x:c r="G5" s="4" t="str">
        <x:v>Prior-year trend/reconciliation context. Blocks only when historical trend calibration is used; explicit forecast growth does not consume it.</x:v>
      </x:c>
      <x:c r="H5" s="4" t="str">
        <x:v>Review original pre-cutoff fiscal accounts; record exact fiscal dates, units and reconciliation.</x:v>
      </x:c>
    </x:row>
    <x:row r="6" ht="90" customHeight="1">
      <x:c r="A6" s="4" t="str">
        <x:v>acquirer.FY2022.depreciation_amortisation</x:v>
      </x:c>
      <x:c r="B6" s="4" t="n">
        <x:v>365.475</x:v>
      </x:c>
      <x:c r="C6" s="4" t="str">
        <x:v>verified fact</x:v>
      </x:c>
      <x:c r="D6" s="16" t="b">
        <x:v>0</x:v>
      </x:c>
      <x:c r="E6" s="4" t="str">
        <x:v>Exact observation supported by reviewed source: dks10k</x:v>
      </x:c>
      <x:c r="F6" s="4" t="str">
        <x:v>Operating forecast, EBITDA, working capital and debt-service cash flow</x:v>
      </x:c>
      <x:c r="G6" s="4" t="str">
        <x:v>Prior-year trend/reconciliation context. Blocks only when historical trend calibration is used; explicit forecast growth does not consume it.</x:v>
      </x:c>
      <x:c r="H6" s="4" t="str">
        <x:v>Review original pre-cutoff fiscal accounts; record exact fiscal dates, units and reconciliation.</x:v>
      </x:c>
    </x:row>
    <x:row r="7" ht="90" customHeight="1">
      <x:c r="A7" s="4" t="str">
        <x:v>acquirer.FY2022.dividends_buybacks_commitments</x:v>
      </x:c>
      <x:c r="B7" s="4"/>
      <x:c r="C7" s="4" t="str">
        <x:v>missing evidence</x:v>
      </x:c>
      <x:c r="D7" s="16" t="b">
        <x:v>0</x:v>
      </x:c>
      <x:c r="E7" s="4" t="str">
        <x:v>Required observation absent</x:v>
      </x:c>
      <x:c r="F7" s="4" t="str">
        <x:v>Operating forecast, EBITDA, working capital and debt-service cash flow</x:v>
      </x:c>
      <x:c r="G7" s="4" t="str">
        <x:v>Prior-year trend/reconciliation context. Blocks only when historical trend calibration is used; explicit forecast growth does not consume it.</x:v>
      </x:c>
      <x:c r="H7" s="4" t="str">
        <x:v>Review original pre-cutoff fiscal accounts; record exact fiscal dates, units and reconciliation.</x:v>
      </x:c>
    </x:row>
    <x:row r="8" ht="90" customHeight="1">
      <x:c r="A8" s="4" t="str">
        <x:v>acquirer.FY2022.ebitda_reconciliation</x:v>
      </x:c>
      <x:c r="B8" s="4"/>
      <x:c r="C8" s="4" t="str">
        <x:v>missing evidence</x:v>
      </x:c>
      <x:c r="D8" s="16" t="b">
        <x:v>0</x:v>
      </x:c>
      <x:c r="E8" s="4" t="str">
        <x:v>Required observation absent</x:v>
      </x:c>
      <x:c r="F8" s="4" t="str">
        <x:v>Operating forecast, EBITDA, working capital and debt-service cash flow</x:v>
      </x:c>
      <x:c r="G8" s="4" t="str">
        <x:v>Prior-year trend/reconciliation context. Blocks only when historical trend calibration is used; explicit forecast growth does not consume it.</x:v>
      </x:c>
      <x:c r="H8" s="4" t="str">
        <x:v>Review original pre-cutoff fiscal accounts; record exact fiscal dates, units and reconciliation.</x:v>
      </x:c>
    </x:row>
    <x:row r="9" ht="90" customHeight="1">
      <x:c r="A9" s="4" t="str">
        <x:v>acquirer.FY2022.inventory</x:v>
      </x:c>
      <x:c r="B9" s="4"/>
      <x:c r="C9" s="4" t="str">
        <x:v>missing evidence</x:v>
      </x:c>
      <x:c r="D9" s="16" t="b">
        <x:v>0</x:v>
      </x:c>
      <x:c r="E9" s="4" t="str">
        <x:v>Required observation absent</x:v>
      </x:c>
      <x:c r="F9" s="4" t="str">
        <x:v>Operating forecast, EBITDA, working capital and debt-service cash flow</x:v>
      </x:c>
      <x:c r="G9" s="4" t="str">
        <x:v>Prior-year trend/reconciliation context. Blocks only when historical trend calibration is used; explicit forecast growth does not consume it.</x:v>
      </x:c>
      <x:c r="H9" s="4" t="str">
        <x:v>Review original pre-cutoff fiscal accounts; record exact fiscal dates, units and reconciliation.</x:v>
      </x:c>
    </x:row>
    <x:row r="10" ht="90" customHeight="1">
      <x:c r="A10" s="4" t="str">
        <x:v>acquirer.FY2022.lease_reconciliation</x:v>
      </x:c>
      <x:c r="B10" s="4"/>
      <x:c r="C10" s="4" t="str">
        <x:v>missing evidence</x:v>
      </x:c>
      <x:c r="D10" s="16" t="b">
        <x:v>0</x:v>
      </x:c>
      <x:c r="E10" s="4" t="str">
        <x:v>Required observation absent</x:v>
      </x:c>
      <x:c r="F10" s="4" t="str">
        <x:v>Operating forecast, EBITDA, working capital and debt-service cash flow</x:v>
      </x:c>
      <x:c r="G10" s="4" t="str">
        <x:v>Prior-year trend/reconciliation context. Blocks only when historical trend calibration is used; explicit forecast growth does not consume it.</x:v>
      </x:c>
      <x:c r="H10" s="4" t="str">
        <x:v>Review original pre-cutoff fiscal accounts; record exact fiscal dates, units and reconciliation.</x:v>
      </x:c>
    </x:row>
    <x:row r="11" ht="90" customHeight="1">
      <x:c r="A11" s="4" t="str">
        <x:v>acquirer.FY2022.operating_cash_flow</x:v>
      </x:c>
      <x:c r="B11" s="4" t="n">
        <x:v>921.881</x:v>
      </x:c>
      <x:c r="C11" s="4" t="str">
        <x:v>verified fact</x:v>
      </x:c>
      <x:c r="D11" s="16" t="b">
        <x:v>0</x:v>
      </x:c>
      <x:c r="E11" s="4" t="str">
        <x:v>Exact observation supported by reviewed source: dks10k</x:v>
      </x:c>
      <x:c r="F11" s="4" t="str">
        <x:v>Operating forecast, EBITDA, working capital and debt-service cash flow</x:v>
      </x:c>
      <x:c r="G11" s="4" t="str">
        <x:v>Prior-year trend/reconciliation context. Blocks only when historical trend calibration is used; explicit forecast growth does not consume it.</x:v>
      </x:c>
      <x:c r="H11" s="4" t="str">
        <x:v>Review original pre-cutoff fiscal accounts; record exact fiscal dates, units and reconciliation.</x:v>
      </x:c>
    </x:row>
    <x:row r="12" ht="90" customHeight="1">
      <x:c r="A12" s="4" t="str">
        <x:v>acquirer.FY2022.operating_profit</x:v>
      </x:c>
      <x:c r="B12" s="4" t="n">
        <x:v>1463.019</x:v>
      </x:c>
      <x:c r="C12" s="4" t="str">
        <x:v>verified fact</x:v>
      </x:c>
      <x:c r="D12" s="16" t="b">
        <x:v>0</x:v>
      </x:c>
      <x:c r="E12" s="4" t="str">
        <x:v>Exact observation supported by reviewed source: dks10k</x:v>
      </x:c>
      <x:c r="F12" s="4" t="str">
        <x:v>Operating forecast, EBITDA, working capital and debt-service cash flow</x:v>
      </x:c>
      <x:c r="G12" s="4" t="str">
        <x:v>Prior-year trend/reconciliation context. Blocks only when historical trend calibration is used; explicit forecast growth does not consume it.</x:v>
      </x:c>
      <x:c r="H12" s="4" t="str">
        <x:v>Review original pre-cutoff fiscal accounts; record exact fiscal dates, units and reconciliation.</x:v>
      </x:c>
    </x:row>
    <x:row r="13" ht="90" customHeight="1">
      <x:c r="A13" s="4" t="str">
        <x:v>acquirer.FY2022.payables</x:v>
      </x:c>
      <x:c r="B13" s="4"/>
      <x:c r="C13" s="4" t="str">
        <x:v>missing evidence</x:v>
      </x:c>
      <x:c r="D13" s="16" t="b">
        <x:v>0</x:v>
      </x:c>
      <x:c r="E13" s="4" t="str">
        <x:v>Required observation absent</x:v>
      </x:c>
      <x:c r="F13" s="4" t="str">
        <x:v>Operating forecast, EBITDA, working capital and debt-service cash flow</x:v>
      </x:c>
      <x:c r="G13" s="4" t="str">
        <x:v>Prior-year trend/reconciliation context. Blocks only when historical trend calibration is used; explicit forecast growth does not consume it.</x:v>
      </x:c>
      <x:c r="H13" s="4" t="str">
        <x:v>Review original pre-cutoff fiscal accounts; record exact fiscal dates, units and reconciliation.</x:v>
      </x:c>
    </x:row>
    <x:row r="14" ht="90" customHeight="1">
      <x:c r="A14" s="4" t="str">
        <x:v>acquirer.FY2022.receivables</x:v>
      </x:c>
      <x:c r="B14" s="4"/>
      <x:c r="C14" s="4" t="str">
        <x:v>missing evidence</x:v>
      </x:c>
      <x:c r="D14" s="16" t="b">
        <x:v>0</x:v>
      </x:c>
      <x:c r="E14" s="4" t="str">
        <x:v>Required observation absent</x:v>
      </x:c>
      <x:c r="F14" s="4" t="str">
        <x:v>Operating forecast, EBITDA, working capital and debt-service cash flow</x:v>
      </x:c>
      <x:c r="G14" s="4" t="str">
        <x:v>Prior-year trend/reconciliation context. Blocks only when historical trend calibration is used; explicit forecast growth does not consume it.</x:v>
      </x:c>
      <x:c r="H14" s="4" t="str">
        <x:v>Review original pre-cutoff fiscal accounts; record exact fiscal dates, units and reconciliation.</x:v>
      </x:c>
    </x:row>
    <x:row r="15" ht="90" customHeight="1">
      <x:c r="A15" s="4" t="str">
        <x:v>acquirer.FY2022.revenue</x:v>
      </x:c>
      <x:c r="B15" s="4" t="n">
        <x:v>12368.198</x:v>
      </x:c>
      <x:c r="C15" s="4" t="str">
        <x:v>verified fact</x:v>
      </x:c>
      <x:c r="D15" s="16" t="b">
        <x:v>0</x:v>
      </x:c>
      <x:c r="E15" s="4" t="str">
        <x:v>Exact observation supported by reviewed source: dks10k</x:v>
      </x:c>
      <x:c r="F15" s="4" t="str">
        <x:v>Operating forecast, EBITDA, working capital and debt-service cash flow</x:v>
      </x:c>
      <x:c r="G15" s="4" t="str">
        <x:v>Prior-year trend/reconciliation context. Blocks only when historical trend calibration is used; explicit forecast growth does not consume it.</x:v>
      </x:c>
      <x:c r="H15" s="4" t="str">
        <x:v>Review original pre-cutoff fiscal accounts; record exact fiscal dates, units and reconciliation.</x:v>
      </x:c>
    </x:row>
    <x:row r="16" ht="90" customHeight="1">
      <x:c r="A16" s="4" t="str">
        <x:v>acquirer.FY2022.taxes</x:v>
      </x:c>
      <x:c r="B16" s="4" t="n">
        <x:v>306.612</x:v>
      </x:c>
      <x:c r="C16" s="4" t="str">
        <x:v>verified fact</x:v>
      </x:c>
      <x:c r="D16" s="16" t="b">
        <x:v>0</x:v>
      </x:c>
      <x:c r="E16" s="4" t="str">
        <x:v>Exact observation supported by reviewed source: dks10k</x:v>
      </x:c>
      <x:c r="F16" s="4" t="str">
        <x:v>Operating forecast, EBITDA, working capital and debt-service cash flow</x:v>
      </x:c>
      <x:c r="G16" s="4" t="str">
        <x:v>Prior-year trend/reconciliation context. Blocks only when historical trend calibration is used; explicit forecast growth does not consume it.</x:v>
      </x:c>
      <x:c r="H16" s="4" t="str">
        <x:v>Review original pre-cutoff fiscal accounts; record exact fiscal dates, units and reconciliation.</x:v>
      </x:c>
    </x:row>
    <x:row r="17" ht="90" customHeight="1">
      <x:c r="A17" s="4" t="str">
        <x:v>acquirer.FY2023.capex</x:v>
      </x:c>
      <x:c r="B17" s="4" t="n">
        <x:v>587.426</x:v>
      </x:c>
      <x:c r="C17" s="4" t="str">
        <x:v>verified fact</x:v>
      </x:c>
      <x:c r="D17" s="16" t="b">
        <x:v>0</x:v>
      </x:c>
      <x:c r="E17" s="4" t="str">
        <x:v>Exact observation supported by reviewed source: dks10k</x:v>
      </x:c>
      <x:c r="F17" s="4" t="str">
        <x:v>Operating forecast, EBITDA, working capital and debt-service cash flow</x:v>
      </x:c>
      <x:c r="G17" s="4" t="str">
        <x:v>Prior-year trend/reconciliation context. Blocks only when historical trend calibration is used; explicit forecast growth does not consume it.</x:v>
      </x:c>
      <x:c r="H17" s="4" t="str">
        <x:v>Review original pre-cutoff fiscal accounts; record exact fiscal dates, units and reconciliation.</x:v>
      </x:c>
    </x:row>
    <x:row r="18" ht="90" customHeight="1">
      <x:c r="A18" s="4" t="str">
        <x:v>acquirer.FY2023.depreciation_amortisation</x:v>
      </x:c>
      <x:c r="B18" s="4" t="n">
        <x:v>393.933</x:v>
      </x:c>
      <x:c r="C18" s="4" t="str">
        <x:v>verified fact</x:v>
      </x:c>
      <x:c r="D18" s="16" t="b">
        <x:v>0</x:v>
      </x:c>
      <x:c r="E18" s="4" t="str">
        <x:v>Exact observation supported by reviewed source: dks10k</x:v>
      </x:c>
      <x:c r="F18" s="4" t="str">
        <x:v>Operating forecast, EBITDA, working capital and debt-service cash flow</x:v>
      </x:c>
      <x:c r="G18" s="4" t="str">
        <x:v>Prior-year trend/reconciliation context. Blocks only when historical trend calibration is used; explicit forecast growth does not consume it.</x:v>
      </x:c>
      <x:c r="H18" s="4" t="str">
        <x:v>Review original pre-cutoff fiscal accounts; record exact fiscal dates, units and reconciliation.</x:v>
      </x:c>
    </x:row>
    <x:row r="19" ht="90" customHeight="1">
      <x:c r="A19" s="4" t="str">
        <x:v>acquirer.FY2023.dividends_buybacks_commitments</x:v>
      </x:c>
      <x:c r="B19" s="4"/>
      <x:c r="C19" s="4" t="str">
        <x:v>missing evidence</x:v>
      </x:c>
      <x:c r="D19" s="16" t="b">
        <x:v>0</x:v>
      </x:c>
      <x:c r="E19" s="4" t="str">
        <x:v>Required observation absent</x:v>
      </x:c>
      <x:c r="F19" s="4" t="str">
        <x:v>Operating forecast, EBITDA, working capital and debt-service cash flow</x:v>
      </x:c>
      <x:c r="G19" s="4" t="str">
        <x:v>Prior-year trend/reconciliation context. Blocks only when historical trend calibration is used; explicit forecast growth does not consume it.</x:v>
      </x:c>
      <x:c r="H19" s="4" t="str">
        <x:v>Review original pre-cutoff fiscal accounts; record exact fiscal dates, units and reconciliation.</x:v>
      </x:c>
    </x:row>
    <x:row r="20" ht="90" customHeight="1">
      <x:c r="A20" s="4" t="str">
        <x:v>acquirer.FY2023.ebitda_reconciliation</x:v>
      </x:c>
      <x:c r="B20" s="4"/>
      <x:c r="C20" s="4" t="str">
        <x:v>missing evidence</x:v>
      </x:c>
      <x:c r="D20" s="16" t="b">
        <x:v>0</x:v>
      </x:c>
      <x:c r="E20" s="4" t="str">
        <x:v>Required observation absent</x:v>
      </x:c>
      <x:c r="F20" s="4" t="str">
        <x:v>Operating forecast, EBITDA, working capital and debt-service cash flow</x:v>
      </x:c>
      <x:c r="G20" s="4" t="str">
        <x:v>Prior-year trend/reconciliation context. Blocks only when historical trend calibration is used; explicit forecast growth does not consume it.</x:v>
      </x:c>
      <x:c r="H20" s="4" t="str">
        <x:v>Review original pre-cutoff fiscal accounts; record exact fiscal dates, units and reconciliation.</x:v>
      </x:c>
    </x:row>
    <x:row r="21" ht="90" customHeight="1">
      <x:c r="A21" s="4" t="str">
        <x:v>acquirer.FY2023.inventory</x:v>
      </x:c>
      <x:c r="B21" s="4" t="n">
        <x:v>2848.797</x:v>
      </x:c>
      <x:c r="C21" s="4" t="str">
        <x:v>verified fact</x:v>
      </x:c>
      <x:c r="D21" s="16" t="b">
        <x:v>0</x:v>
      </x:c>
      <x:c r="E21" s="4" t="str">
        <x:v>Exact observation supported by reviewed source: dks10k</x:v>
      </x:c>
      <x:c r="F21" s="4" t="str">
        <x:v>Operating forecast, EBITDA, working capital and debt-service cash flow</x:v>
      </x:c>
      <x:c r="G21" s="4" t="str">
        <x:v>Prior-year trend/reconciliation context. Blocks only when historical trend calibration is used; explicit forecast growth does not consume it.</x:v>
      </x:c>
      <x:c r="H21" s="4" t="str">
        <x:v>Review original pre-cutoff fiscal accounts; record exact fiscal dates, units and reconciliation.</x:v>
      </x:c>
    </x:row>
    <x:row r="22" ht="90" customHeight="1">
      <x:c r="A22" s="4" t="str">
        <x:v>acquirer.FY2023.lease_reconciliation</x:v>
      </x:c>
      <x:c r="B22" s="4"/>
      <x:c r="C22" s="4" t="str">
        <x:v>missing evidence</x:v>
      </x:c>
      <x:c r="D22" s="16" t="b">
        <x:v>0</x:v>
      </x:c>
      <x:c r="E22" s="4" t="str">
        <x:v>Required observation absent</x:v>
      </x:c>
      <x:c r="F22" s="4" t="str">
        <x:v>Operating forecast, EBITDA, working capital and debt-service cash flow</x:v>
      </x:c>
      <x:c r="G22" s="4" t="str">
        <x:v>Prior-year trend/reconciliation context. Blocks only when historical trend calibration is used; explicit forecast growth does not consume it.</x:v>
      </x:c>
      <x:c r="H22" s="4" t="str">
        <x:v>Review original pre-cutoff fiscal accounts; record exact fiscal dates, units and reconciliation.</x:v>
      </x:c>
    </x:row>
    <x:row r="23" ht="90" customHeight="1">
      <x:c r="A23" s="4" t="str">
        <x:v>acquirer.FY2023.operating_cash_flow</x:v>
      </x:c>
      <x:c r="B23" s="4" t="n">
        <x:v>1527.335</x:v>
      </x:c>
      <x:c r="C23" s="4" t="str">
        <x:v>verified fact</x:v>
      </x:c>
      <x:c r="D23" s="16" t="b">
        <x:v>0</x:v>
      </x:c>
      <x:c r="E23" s="4" t="str">
        <x:v>Exact observation supported by reviewed source: dks10k</x:v>
      </x:c>
      <x:c r="F23" s="4" t="str">
        <x:v>Operating forecast, EBITDA, working capital and debt-service cash flow</x:v>
      </x:c>
      <x:c r="G23" s="4" t="str">
        <x:v>Prior-year trend/reconciliation context. Blocks only when historical trend calibration is used; explicit forecast growth does not consume it.</x:v>
      </x:c>
      <x:c r="H23" s="4" t="str">
        <x:v>Review original pre-cutoff fiscal accounts; record exact fiscal dates, units and reconciliation.</x:v>
      </x:c>
    </x:row>
    <x:row r="24" ht="90" customHeight="1">
      <x:c r="A24" s="4" t="str">
        <x:v>acquirer.FY2023.operating_profit</x:v>
      </x:c>
      <x:c r="B24" s="4" t="n">
        <x:v>1282.365</x:v>
      </x:c>
      <x:c r="C24" s="4" t="str">
        <x:v>verified fact</x:v>
      </x:c>
      <x:c r="D24" s="16" t="b">
        <x:v>0</x:v>
      </x:c>
      <x:c r="E24" s="4" t="str">
        <x:v>Exact observation supported by reviewed source: dks10k</x:v>
      </x:c>
      <x:c r="F24" s="4" t="str">
        <x:v>Operating forecast, EBITDA, working capital and debt-service cash flow</x:v>
      </x:c>
      <x:c r="G24" s="4" t="str">
        <x:v>Prior-year trend/reconciliation context. Blocks only when historical trend calibration is used; explicit forecast growth does not consume it.</x:v>
      </x:c>
      <x:c r="H24" s="4" t="str">
        <x:v>Review original pre-cutoff fiscal accounts; record exact fiscal dates, units and reconciliation.</x:v>
      </x:c>
    </x:row>
    <x:row r="25" ht="90" customHeight="1">
      <x:c r="A25" s="4" t="str">
        <x:v>acquirer.FY2023.payables</x:v>
      </x:c>
      <x:c r="B25" s="4" t="n">
        <x:v>1288.728</x:v>
      </x:c>
      <x:c r="C25" s="4" t="str">
        <x:v>verified fact</x:v>
      </x:c>
      <x:c r="D25" s="16" t="b">
        <x:v>0</x:v>
      </x:c>
      <x:c r="E25" s="4" t="str">
        <x:v>Exact observation supported by reviewed source: dks10k</x:v>
      </x:c>
      <x:c r="F25" s="4" t="str">
        <x:v>Operating forecast, EBITDA, working capital and debt-service cash flow</x:v>
      </x:c>
      <x:c r="G25" s="4" t="str">
        <x:v>Prior-year trend/reconciliation context. Blocks only when historical trend calibration is used; explicit forecast growth does not consume it.</x:v>
      </x:c>
      <x:c r="H25" s="4" t="str">
        <x:v>Review original pre-cutoff fiscal accounts; record exact fiscal dates, units and reconciliation.</x:v>
      </x:c>
    </x:row>
    <x:row r="26" ht="90" customHeight="1">
      <x:c r="A26" s="4" t="str">
        <x:v>acquirer.FY2023.receivables</x:v>
      </x:c>
      <x:c r="B26" s="4" t="n">
        <x:v>114.877</x:v>
      </x:c>
      <x:c r="C26" s="4" t="str">
        <x:v>verified fact</x:v>
      </x:c>
      <x:c r="D26" s="16" t="b">
        <x:v>0</x:v>
      </x:c>
      <x:c r="E26" s="4" t="str">
        <x:v>Exact observation supported by reviewed source: dks10k</x:v>
      </x:c>
      <x:c r="F26" s="4" t="str">
        <x:v>Operating forecast, EBITDA, working capital and debt-service cash flow</x:v>
      </x:c>
      <x:c r="G26" s="4" t="str">
        <x:v>Prior-year trend/reconciliation context. Blocks only when historical trend calibration is used; explicit forecast growth does not consume it.</x:v>
      </x:c>
      <x:c r="H26" s="4" t="str">
        <x:v>Review original pre-cutoff fiscal accounts; record exact fiscal dates, units and reconciliation.</x:v>
      </x:c>
    </x:row>
    <x:row r="27" ht="90" customHeight="1">
      <x:c r="A27" s="4" t="str">
        <x:v>acquirer.FY2023.revenue</x:v>
      </x:c>
      <x:c r="B27" s="4" t="n">
        <x:v>12984.399</x:v>
      </x:c>
      <x:c r="C27" s="4" t="str">
        <x:v>verified fact</x:v>
      </x:c>
      <x:c r="D27" s="16" t="b">
        <x:v>0</x:v>
      </x:c>
      <x:c r="E27" s="4" t="str">
        <x:v>Exact observation supported by reviewed source: dks10k</x:v>
      </x:c>
      <x:c r="F27" s="4" t="str">
        <x:v>Operating forecast, EBITDA, working capital and debt-service cash flow</x:v>
      </x:c>
      <x:c r="G27" s="4" t="str">
        <x:v>Prior-year trend/reconciliation context. Blocks only when historical trend calibration is used; explicit forecast growth does not consume it.</x:v>
      </x:c>
      <x:c r="H27" s="4" t="str">
        <x:v>Review original pre-cutoff fiscal accounts; record exact fiscal dates, units and reconciliation.</x:v>
      </x:c>
    </x:row>
    <x:row r="28" ht="90" customHeight="1">
      <x:c r="A28" s="4" t="str">
        <x:v>acquirer.FY2023.taxes</x:v>
      </x:c>
      <x:c r="B28" s="4" t="n">
        <x:v>243.244</x:v>
      </x:c>
      <x:c r="C28" s="4" t="str">
        <x:v>verified fact</x:v>
      </x:c>
      <x:c r="D28" s="16" t="b">
        <x:v>0</x:v>
      </x:c>
      <x:c r="E28" s="4" t="str">
        <x:v>Exact observation supported by reviewed source: dks10k</x:v>
      </x:c>
      <x:c r="F28" s="4" t="str">
        <x:v>Operating forecast, EBITDA, working capital and debt-service cash flow</x:v>
      </x:c>
      <x:c r="G28" s="4" t="str">
        <x:v>Prior-year trend/reconciliation context. Blocks only when historical trend calibration is used; explicit forecast growth does not consume it.</x:v>
      </x:c>
      <x:c r="H28" s="4" t="str">
        <x:v>Review original pre-cutoff fiscal accounts; record exact fiscal dates, units and reconciliation.</x:v>
      </x:c>
    </x:row>
    <x:row r="29" ht="90" customHeight="1">
      <x:c r="A29" s="4" t="str">
        <x:v>acquirer.FY2024.capex</x:v>
      </x:c>
      <x:c r="B29" s="4" t="n">
        <x:v>802.565</x:v>
      </x:c>
      <x:c r="C29" s="4" t="str">
        <x:v>verified fact</x:v>
      </x:c>
      <x:c r="D29" s="16" t="b">
        <x:v>1</x:v>
      </x:c>
      <x:c r="E29" s="4" t="str">
        <x:v>Exact observation supported by reviewed source: dks10k</x:v>
      </x:c>
      <x:c r="F29" s="4" t="str">
        <x:v>Operating forecast, EBITDA, working capital and debt-service cash flow</x:v>
      </x:c>
      <x:c r="G29" s="4" t="str">
        <x:v>Latest standalone operating base drives forecast EBITDA, cash taxes, working capital and cash available for debt service.</x:v>
      </x:c>
      <x:c r="H29" s="4" t="str">
        <x:v>Review original pre-cutoff fiscal accounts; record exact fiscal dates, units and reconciliation.</x:v>
      </x:c>
    </x:row>
    <x:row r="30" ht="90" customHeight="1">
      <x:c r="A30" s="4" t="str">
        <x:v>acquirer.FY2024.depreciation_amortisation</x:v>
      </x:c>
      <x:c r="B30" s="4" t="n">
        <x:v>400.409</x:v>
      </x:c>
      <x:c r="C30" s="4" t="str">
        <x:v>verified fact</x:v>
      </x:c>
      <x:c r="D30" s="16" t="b">
        <x:v>1</x:v>
      </x:c>
      <x:c r="E30" s="4" t="str">
        <x:v>Exact observation supported by reviewed source: dks10k</x:v>
      </x:c>
      <x:c r="F30" s="4" t="str">
        <x:v>Operating forecast, EBITDA, working capital and debt-service cash flow</x:v>
      </x:c>
      <x:c r="G30" s="4" t="str">
        <x:v>Latest standalone operating base drives forecast EBITDA, cash taxes, working capital and cash available for debt service.</x:v>
      </x:c>
      <x:c r="H30" s="4" t="str">
        <x:v>Review original pre-cutoff fiscal accounts; record exact fiscal dates, units and reconciliation.</x:v>
      </x:c>
    </x:row>
    <x:row r="31" ht="90" customHeight="1">
      <x:c r="A31" s="4" t="str">
        <x:v>acquirer.FY2024.dividends_buybacks_commitments</x:v>
      </x:c>
      <x:c r="B31" s="4"/>
      <x:c r="C31" s="4" t="str">
        <x:v>missing evidence</x:v>
      </x:c>
      <x:c r="D31" s="16" t="b">
        <x:v>1</x:v>
      </x:c>
      <x:c r="E31" s="4" t="str">
        <x:v>Required observation absent</x:v>
      </x:c>
      <x:c r="F31" s="4" t="str">
        <x:v>Operating forecast, EBITDA, working capital and debt-service cash flow</x:v>
      </x:c>
      <x:c r="G31" s="4" t="str">
        <x:v>Contractual capital commitments can compete with debt service; discretionary future distributions are separate explicit assumptions.</x:v>
      </x:c>
      <x:c r="H31" s="4" t="str">
        <x:v>Review original pre-cutoff fiscal accounts; record exact fiscal dates, units and reconciliation.</x:v>
      </x:c>
    </x:row>
    <x:row r="32" ht="90" customHeight="1">
      <x:c r="A32" s="4" t="str">
        <x:v>acquirer.FY2024.ebitda_reconciliation</x:v>
      </x:c>
      <x:c r="B32" s="4" t="n">
        <x:v>1874.341</x:v>
      </x:c>
      <x:c r="C32" s="4" t="str">
        <x:v>verified fact</x:v>
      </x:c>
      <x:c r="D32" s="16" t="b">
        <x:v>1</x:v>
      </x:c>
      <x:c r="E32" s="4" t="str">
        <x:v>Derived from verified inputs: acquirer.FY2024.operating_profit + acquirer.FY2024.depreciation_amortisation. Simple operating EBITDA; not adjusted EBITDA or contractual EBITDAR.</x:v>
      </x:c>
      <x:c r="F32" s="4" t="str">
        <x:v>Operating forecast, EBITDA, working capital and debt-service cash flow</x:v>
      </x:c>
      <x:c r="G32" s="4" t="str">
        <x:v>Latest standalone operating base drives forecast EBITDA, cash taxes, working capital and cash available for debt service.</x:v>
      </x:c>
      <x:c r="H32" s="4" t="str">
        <x:v>Review original pre-cutoff fiscal accounts; record exact fiscal dates, units and reconciliation.</x:v>
      </x:c>
    </x:row>
    <x:row r="33" ht="90" customHeight="1">
      <x:c r="A33" s="4" t="str">
        <x:v>acquirer.FY2024.inventory</x:v>
      </x:c>
      <x:c r="B33" s="4" t="n">
        <x:v>3349.83</x:v>
      </x:c>
      <x:c r="C33" s="4" t="str">
        <x:v>verified fact</x:v>
      </x:c>
      <x:c r="D33" s="16" t="b">
        <x:v>1</x:v>
      </x:c>
      <x:c r="E33" s="4" t="str">
        <x:v>Exact observation supported by reviewed source: dks10k</x:v>
      </x:c>
      <x:c r="F33" s="4" t="str">
        <x:v>Operating forecast, EBITDA, working capital and debt-service cash flow</x:v>
      </x:c>
      <x:c r="G33" s="4" t="str">
        <x:v>Latest standalone operating base drives forecast EBITDA, cash taxes, working capital and cash available for debt service.</x:v>
      </x:c>
      <x:c r="H33" s="4" t="str">
        <x:v>Review original pre-cutoff fiscal accounts; record exact fiscal dates, units and reconciliation.</x:v>
      </x:c>
    </x:row>
    <x:row r="34" ht="90" customHeight="1">
      <x:c r="A34" s="4" t="str">
        <x:v>acquirer.FY2024.lease_reconciliation</x:v>
      </x:c>
      <x:c r="B34" s="4"/>
      <x:c r="C34" s="4" t="str">
        <x:v>missing evidence</x:v>
      </x:c>
      <x:c r="D34" s="16" t="b">
        <x:v>1</x:v>
      </x:c>
      <x:c r="E34" s="4" t="str">
        <x:v>Required observation absent</x:v>
      </x:c>
      <x:c r="F34" s="4" t="str">
        <x:v>Operating forecast, EBITDA, working capital and debt-service cash flow</x:v>
      </x:c>
      <x:c r="G34" s="4" t="str">
        <x:v>Latest standalone operating base drives forecast EBITDA, cash taxes, working capital and cash available for debt service.</x:v>
      </x:c>
      <x:c r="H34" s="4" t="str">
        <x:v>Review original pre-cutoff fiscal accounts; record exact fiscal dates, units and reconciliation.</x:v>
      </x:c>
    </x:row>
    <x:row r="35" ht="90" customHeight="1">
      <x:c r="A35" s="4" t="str">
        <x:v>acquirer.FY2024.operating_cash_flow</x:v>
      </x:c>
      <x:c r="B35" s="4" t="n">
        <x:v>1311.835</x:v>
      </x:c>
      <x:c r="C35" s="4" t="str">
        <x:v>verified fact</x:v>
      </x:c>
      <x:c r="D35" s="16" t="b">
        <x:v>1</x:v>
      </x:c>
      <x:c r="E35" s="4" t="str">
        <x:v>Exact observation supported by reviewed source: dks10k</x:v>
      </x:c>
      <x:c r="F35" s="4" t="str">
        <x:v>Operating forecast, EBITDA, working capital and debt-service cash flow</x:v>
      </x:c>
      <x:c r="G35" s="4" t="str">
        <x:v>Latest standalone operating base drives forecast EBITDA, cash taxes, working capital and cash available for debt service.</x:v>
      </x:c>
      <x:c r="H35" s="4" t="str">
        <x:v>Review original pre-cutoff fiscal accounts; record exact fiscal dates, units and reconciliation.</x:v>
      </x:c>
    </x:row>
    <x:row r="36" ht="90" customHeight="1">
      <x:c r="A36" s="4" t="str">
        <x:v>acquirer.FY2024.operating_profit</x:v>
      </x:c>
      <x:c r="B36" s="4" t="n">
        <x:v>1473.932</x:v>
      </x:c>
      <x:c r="C36" s="4" t="str">
        <x:v>verified fact</x:v>
      </x:c>
      <x:c r="D36" s="16" t="b">
        <x:v>1</x:v>
      </x:c>
      <x:c r="E36" s="4" t="str">
        <x:v>Exact observation supported by reviewed source: dks10k</x:v>
      </x:c>
      <x:c r="F36" s="4" t="str">
        <x:v>Operating forecast, EBITDA, working capital and debt-service cash flow</x:v>
      </x:c>
      <x:c r="G36" s="4" t="str">
        <x:v>Latest standalone operating base drives forecast EBITDA, cash taxes, working capital and cash available for debt service.</x:v>
      </x:c>
      <x:c r="H36" s="4" t="str">
        <x:v>Review original pre-cutoff fiscal accounts; record exact fiscal dates, units and reconciliation.</x:v>
      </x:c>
    </x:row>
    <x:row r="37" ht="90" customHeight="1">
      <x:c r="A37" s="4" t="str">
        <x:v>acquirer.FY2024.payables</x:v>
      </x:c>
      <x:c r="B37" s="4" t="n">
        <x:v>1497.743</x:v>
      </x:c>
      <x:c r="C37" s="4" t="str">
        <x:v>verified fact</x:v>
      </x:c>
      <x:c r="D37" s="16" t="b">
        <x:v>1</x:v>
      </x:c>
      <x:c r="E37" s="4" t="str">
        <x:v>Exact observation supported by reviewed source: dks10k</x:v>
      </x:c>
      <x:c r="F37" s="4" t="str">
        <x:v>Operating forecast, EBITDA, working capital and debt-service cash flow</x:v>
      </x:c>
      <x:c r="G37" s="4" t="str">
        <x:v>Latest standalone operating base drives forecast EBITDA, cash taxes, working capital and cash available for debt service.</x:v>
      </x:c>
      <x:c r="H37" s="4" t="str">
        <x:v>Review original pre-cutoff fiscal accounts; record exact fiscal dates, units and reconciliation.</x:v>
      </x:c>
    </x:row>
    <x:row r="38" ht="90" customHeight="1">
      <x:c r="A38" s="4" t="str">
        <x:v>acquirer.FY2024.receivables</x:v>
      </x:c>
      <x:c r="B38" s="4" t="n">
        <x:v>214.25</x:v>
      </x:c>
      <x:c r="C38" s="4" t="str">
        <x:v>verified fact</x:v>
      </x:c>
      <x:c r="D38" s="16" t="b">
        <x:v>1</x:v>
      </x:c>
      <x:c r="E38" s="4" t="str">
        <x:v>Exact observation supported by reviewed source: dks10k</x:v>
      </x:c>
      <x:c r="F38" s="4" t="str">
        <x:v>Operating forecast, EBITDA, working capital and debt-service cash flow</x:v>
      </x:c>
      <x:c r="G38" s="4" t="str">
        <x:v>Latest standalone operating base drives forecast EBITDA, cash taxes, working capital and cash available for debt service.</x:v>
      </x:c>
      <x:c r="H38" s="4" t="str">
        <x:v>Review original pre-cutoff fiscal accounts; record exact fiscal dates, units and reconciliation.</x:v>
      </x:c>
    </x:row>
    <x:row r="39" ht="90" customHeight="1">
      <x:c r="A39" s="4" t="str">
        <x:v>acquirer.FY2024.revenue</x:v>
      </x:c>
      <x:c r="B39" s="4" t="n">
        <x:v>13442.849</x:v>
      </x:c>
      <x:c r="C39" s="4" t="str">
        <x:v>verified fact</x:v>
      </x:c>
      <x:c r="D39" s="16" t="b">
        <x:v>1</x:v>
      </x:c>
      <x:c r="E39" s="4" t="str">
        <x:v>Exact observation supported by reviewed source: dks10k</x:v>
      </x:c>
      <x:c r="F39" s="4" t="str">
        <x:v>Operating forecast, EBITDA, working capital and debt-service cash flow</x:v>
      </x:c>
      <x:c r="G39" s="4" t="str">
        <x:v>Latest standalone operating base drives forecast EBITDA, cash taxes, working capital and cash available for debt service.</x:v>
      </x:c>
      <x:c r="H39" s="4" t="str">
        <x:v>Review original pre-cutoff fiscal accounts; record exact fiscal dates, units and reconciliation.</x:v>
      </x:c>
    </x:row>
    <x:row r="40" ht="90" customHeight="1">
      <x:c r="A40" s="4" t="str">
        <x:v>acquirer.FY2024.taxes</x:v>
      </x:c>
      <x:c r="B40" s="4" t="n">
        <x:v>399.467</x:v>
      </x:c>
      <x:c r="C40" s="4" t="str">
        <x:v>verified fact</x:v>
      </x:c>
      <x:c r="D40" s="16" t="b">
        <x:v>1</x:v>
      </x:c>
      <x:c r="E40" s="4" t="str">
        <x:v>Exact observation supported by reviewed source: dks10k</x:v>
      </x:c>
      <x:c r="F40" s="4" t="str">
        <x:v>Operating forecast, EBITDA, working capital and debt-service cash flow</x:v>
      </x:c>
      <x:c r="G40" s="4" t="str">
        <x:v>Latest standalone operating base drives forecast EBITDA, cash taxes, working capital and cash available for debt service.</x:v>
      </x:c>
      <x:c r="H40" s="4" t="str">
        <x:v>Review original pre-cutoff fiscal accounts; record exact fiscal dates, units and reconciliation.</x:v>
      </x:c>
    </x:row>
    <x:row r="41" ht="90" customHeight="1">
      <x:c r="A41" s="4" t="str">
        <x:v>acquirer.debt.borrowing_base_and_letters_of_credit</x:v>
      </x:c>
      <x:c r="B41" s="4" t="str">
        <x:v>{"borrowing_base": 1600.0, "letters_of_credit": 19.9, "basis": "Unsecured commitment ceiling, subject to covenants; not an inventory borrowing base"}</x:v>
      </x:c>
      <x:c r="C41" s="4" t="str">
        <x:v>verified fact</x:v>
      </x:c>
      <x:c r="D41" s="16" t="b">
        <x:v>1</x:v>
      </x:c>
      <x:c r="E41" s="4" t="str">
        <x:v>Exact observation supported by reviewed source: review_dks</x:v>
      </x:c>
      <x:c r="F41" s="4" t="str">
        <x:v>Revolver draw limits</x:v>
      </x:c>
      <x:c r="G41" s="4" t="str">
        <x:v>Instrument rights determine mandatory repayments, coupon resets and legally available borrowing; numerical solvency cannot replace contract evidence.</x:v>
      </x:c>
      <x:c r="H41" s="4" t="str">
        <x:v>Review debt notes and executed agreements for every instrument; reconcile totals, cite sections and document any non-applicability.</x:v>
      </x:c>
    </x:row>
    <x:row r="42" ht="90" customHeight="1">
      <x:c r="A42" s="4" t="str">
        <x:v>acquirer.debt.change_of_control</x:v>
      </x:c>
      <x:c r="B42" s="4"/>
      <x:c r="C42" s="4" t="str">
        <x:v>missing evidence</x:v>
      </x:c>
      <x:c r="D42" s="16" t="b">
        <x:v>1</x:v>
      </x:c>
      <x:c r="E42" s="4" t="str">
        <x:v>Required observation absent</x:v>
      </x:c>
      <x:c r="F42" s="4" t="str">
        <x:v>Required repayment and retained debt</x:v>
      </x:c>
      <x:c r="G42" s="4" t="str">
        <x:v>Instrument rights determine mandatory repayments, coupon resets and legally available borrowing; numerical solvency cannot replace contract evidence.</x:v>
      </x:c>
      <x:c r="H42" s="4" t="str">
        <x:v>Review debt notes and executed agreements for every instrument; reconcile totals, cite sections and document any non-applicability.</x:v>
      </x:c>
    </x:row>
    <x:row r="43" ht="90" customHeight="1">
      <x:c r="A43" s="4" t="str">
        <x:v>acquirer.debt.coupons_and_resets</x:v>
      </x:c>
      <x:c r="B43" s="4"/>
      <x:c r="C43" s="4" t="str">
        <x:v>missing evidence</x:v>
      </x:c>
      <x:c r="D43" s="16" t="b">
        <x:v>1</x:v>
      </x:c>
      <x:c r="E43" s="4" t="str">
        <x:v>Required observation absent</x:v>
      </x:c>
      <x:c r="F43" s="4" t="str">
        <x:v>Cash interest and rate stress</x:v>
      </x:c>
      <x:c r="G43" s="4" t="str">
        <x:v>Instrument rights determine mandatory repayments, coupon resets and legally available borrowing; numerical solvency cannot replace contract evidence.</x:v>
      </x:c>
      <x:c r="H43" s="4" t="str">
        <x:v>Review debt notes and executed agreements for every instrument; reconcile totals, cite sections and document any non-applicability.</x:v>
      </x:c>
    </x:row>
    <x:row r="44" ht="90" customHeight="1">
      <x:c r="A44" s="4" t="str">
        <x:v>acquirer.debt.covenants_and_restricted_payments</x:v>
      </x:c>
      <x:c r="B44" s="4"/>
      <x:c r="C44" s="4" t="str">
        <x:v>missing evidence</x:v>
      </x:c>
      <x:c r="D44" s="16" t="b">
        <x:v>1</x:v>
      </x:c>
      <x:c r="E44" s="4" t="str">
        <x:v>Required observation absent</x:v>
      </x:c>
      <x:c r="F44" s="4" t="str">
        <x:v>Borrowing eligibility and capital allocation</x:v>
      </x:c>
      <x:c r="G44" s="4" t="str">
        <x:v>Instrument rights determine mandatory repayments, coupon resets and legally available borrowing; numerical solvency cannot replace contract evidence.</x:v>
      </x:c>
      <x:c r="H44" s="4" t="str">
        <x:v>Review debt notes and executed agreements for every instrument; reconcile totals, cite sections and document any non-applicability.</x:v>
      </x:c>
    </x:row>
    <x:row r="45" ht="90" customHeight="1">
      <x:c r="A45" s="4" t="str">
        <x:v>acquirer.debt.instrument_inventory</x:v>
      </x:c>
      <x:c r="B45" s="4"/>
      <x:c r="C45" s="4" t="str">
        <x:v>missing evidence</x:v>
      </x:c>
      <x:c r="D45" s="16" t="b">
        <x:v>1</x:v>
      </x:c>
      <x:c r="E45" s="4" t="str">
        <x:v>Required observation absent</x:v>
      </x:c>
      <x:c r="F45" s="4" t="str">
        <x:v>Completeness of instrument debt schedule</x:v>
      </x:c>
      <x:c r="G45" s="4" t="str">
        <x:v>Instrument rights determine mandatory repayments, coupon resets and legally available borrowing; numerical solvency cannot replace contract evidence.</x:v>
      </x:c>
      <x:c r="H45" s="4" t="str">
        <x:v>Review debt notes and executed agreements for every instrument; reconcile totals, cite sections and document any non-applicability.</x:v>
      </x:c>
    </x:row>
    <x:row r="46" ht="90" customHeight="1">
      <x:c r="A46" s="4" t="str">
        <x:v>acquirer.debt.maturity_and_amortisation_schedule</x:v>
      </x:c>
      <x:c r="B46" s="4"/>
      <x:c r="C46" s="4" t="str">
        <x:v>missing evidence</x:v>
      </x:c>
      <x:c r="D46" s="16" t="b">
        <x:v>1</x:v>
      </x:c>
      <x:c r="E46" s="4" t="str">
        <x:v>Required observation absent</x:v>
      </x:c>
      <x:c r="F46" s="4" t="str">
        <x:v>Mandatory repayments and maturity gaps</x:v>
      </x:c>
      <x:c r="G46" s="4" t="str">
        <x:v>Instrument rights determine mandatory repayments, coupon resets and legally available borrowing; numerical solvency cannot replace contract evidence.</x:v>
      </x:c>
      <x:c r="H46" s="4" t="str">
        <x:v>Review debt notes and executed agreements for every instrument; reconcile totals, cite sections and document any non-applicability.</x:v>
      </x:c>
    </x:row>
    <x:row r="47" ht="90" customHeight="1">
      <x:c r="A47" s="4" t="str">
        <x:v>acquirer.debt.refinancing_and_repricing</x:v>
      </x:c>
      <x:c r="B47" s="4"/>
      <x:c r="C47" s="4" t="str">
        <x:v>missing evidence</x:v>
      </x:c>
      <x:c r="D47" s="16" t="b">
        <x:v>1</x:v>
      </x:c>
      <x:c r="E47" s="4" t="str">
        <x:v>Required observation absent</x:v>
      </x:c>
      <x:c r="F47" s="4" t="str">
        <x:v>Refinancing dependence and debt service</x:v>
      </x:c>
      <x:c r="G47" s="4" t="str">
        <x:v>Instrument rights determine mandatory repayments, coupon resets and legally available borrowing; numerical solvency cannot replace contract evidence.</x:v>
      </x:c>
      <x:c r="H47" s="4" t="str">
        <x:v>Review debt notes and executed agreements for every instrument; reconcile totals, cite sections and document any non-applicability.</x:v>
      </x:c>
    </x:row>
    <x:row r="48" ht="90" customHeight="1">
      <x:c r="A48" s="4" t="str">
        <x:v>acquirer.debt.revolver_commitments</x:v>
      </x:c>
      <x:c r="B48" s="4" t="str">
        <x:v>{"commitment": 1600.0, "drawn": 0.0, "maturity_date": "2027-01-14", "uncommitted_incremental_excluded": 500.0}</x:v>
      </x:c>
      <x:c r="C48" s="4" t="str">
        <x:v>verified fact</x:v>
      </x:c>
      <x:c r="D48" s="16" t="b">
        <x:v>1</x:v>
      </x:c>
      <x:c r="E48" s="4" t="str">
        <x:v>Exact observation supported by reviewed source: review_dks</x:v>
      </x:c>
      <x:c r="F48" s="4" t="str">
        <x:v>Eligible committed liquidity</x:v>
      </x:c>
      <x:c r="G48" s="4" t="str">
        <x:v>Instrument rights determine mandatory repayments, coupon resets and legally available borrowing; numerical solvency cannot replace contract evidence.</x:v>
      </x:c>
      <x:c r="H48" s="4" t="str">
        <x:v>Review debt notes and executed agreements for every instrument; reconcile totals, cite sections and document any non-applicability.</x:v>
      </x:c>
    </x:row>
    <x:row r="49" ht="90" customHeight="1">
      <x:c r="A49" s="4" t="str">
        <x:v>acquirer.opening.cash_restrictions</x:v>
      </x:c>
      <x:c r="B49" s="4"/>
      <x:c r="C49" s="4" t="str">
        <x:v>missing evidence</x:v>
      </x:c>
      <x:c r="D49" s="16" t="b">
        <x:v>1</x:v>
      </x:c>
      <x:c r="E49" s="4" t="str">
        <x:v>Required observation absent</x:v>
      </x:c>
      <x:c r="F49" s="4" t="str">
        <x:v>Opening liquidity, retained debt, cash deployment and leverage</x:v>
      </x:c>
      <x:c r="G49" s="4" t="str">
        <x:v>Opening liquidity and debt determine spendable cash, financing need and net leverage; a wrong balance can falsely imply funding.</x:v>
      </x:c>
      <x:c r="H49" s="4" t="str">
        <x:v>Reconcile latest pre-cutoff balance sheet and notes, with balance date and units.</x:v>
      </x:c>
    </x:row>
    <x:row r="50" ht="90" customHeight="1">
      <x:c r="A50" s="4" t="str">
        <x:v>acquirer.opening.debt_carrying_value</x:v>
      </x:c>
      <x:c r="B50" s="4" t="n">
        <x:v>1484.217</x:v>
      </x:c>
      <x:c r="C50" s="4" t="str">
        <x:v>verified fact</x:v>
      </x:c>
      <x:c r="D50" s="16" t="b">
        <x:v>0</x:v>
      </x:c>
      <x:c r="E50" s="4" t="str">
        <x:v>Exact observation supported by reviewed source: dks10k</x:v>
      </x:c>
      <x:c r="F50" s="4" t="str">
        <x:v>Opening liquidity, retained debt, cash deployment and leverage</x:v>
      </x:c>
      <x:c r="G50" s="4" t="str">
        <x:v>Accounting reconciliation only; cash debt service uses verified principal, not carrying value. Missing reconciliation remains disclosed.</x:v>
      </x:c>
      <x:c r="H50" s="4" t="str">
        <x:v>Reconcile latest pre-cutoff balance sheet and notes, with balance date and units.</x:v>
      </x:c>
    </x:row>
    <x:row r="51" ht="90" customHeight="1">
      <x:c r="A51" s="4" t="str">
        <x:v>acquirer.opening.debt_principal</x:v>
      </x:c>
      <x:c r="B51" s="4"/>
      <x:c r="C51" s="4" t="str">
        <x:v>missing evidence</x:v>
      </x:c>
      <x:c r="D51" s="16" t="b">
        <x:v>1</x:v>
      </x:c>
      <x:c r="E51" s="4" t="str">
        <x:v>Required observation absent</x:v>
      </x:c>
      <x:c r="F51" s="4" t="str">
        <x:v>Opening liquidity, retained debt, cash deployment and leverage</x:v>
      </x:c>
      <x:c r="G51" s="4" t="str">
        <x:v>Opening liquidity and debt determine spendable cash, financing need and net leverage; a wrong balance can falsely imply funding.</x:v>
      </x:c>
      <x:c r="H51" s="4" t="str">
        <x:v>Reconcile latest pre-cutoff balance sheet and notes, with balance date and units.</x:v>
      </x:c>
    </x:row>
    <x:row r="52" ht="90" customHeight="1">
      <x:c r="A52" s="4" t="str">
        <x:v>acquirer.opening.unrestricted_cash</x:v>
      </x:c>
      <x:c r="B52" s="4"/>
      <x:c r="C52" s="4" t="str">
        <x:v>missing evidence</x:v>
      </x:c>
      <x:c r="D52" s="16" t="b">
        <x:v>1</x:v>
      </x:c>
      <x:c r="E52" s="4" t="str">
        <x:v>Required observation absent</x:v>
      </x:c>
      <x:c r="F52" s="4" t="str">
        <x:v>Opening liquidity, retained debt, cash deployment and leverage</x:v>
      </x:c>
      <x:c r="G52" s="4" t="str">
        <x:v>Opening liquidity and debt determine spendable cash, financing need and net leverage; a wrong balance can falsely imply funding.</x:v>
      </x:c>
      <x:c r="H52" s="4" t="str">
        <x:v>Reconcile latest pre-cutoff balance sheet and notes, with balance date and units.</x:v>
      </x:c>
    </x:row>
    <x:row r="53" ht="90" customHeight="1">
      <x:c r="A53" s="4" t="str">
        <x:v>assumption.analytical_thresholds</x:v>
      </x:c>
      <x:c r="B53" s="4" t="str">
        <x:v>{"cash_floor": 750.0, "max_leverage": 3.0, "min_coverage": 4.0, "tax_rate": 0.25, "interest_deduction_limit": 1.0}</x:v>
      </x:c>
      <x:c r="C53" s="4" t="str">
        <x:v>explicit modelling assumption</x:v>
      </x:c>
      <x:c r="D53" s="16" t="b">
        <x:v>1</x:v>
      </x:c>
      <x:c r="E53" s="4" t="str">
        <x:v>Analyst screening limits, not lender covenants or verified tax deductibility; test cash floors 500/750/1000 and leverage 2/3/4.</x:v>
      </x:c>
      <x:c r="F53" s="4" t="str">
        <x:v>Forecast, liquidity and scenario comparisons</x:v>
      </x:c>
      <x:c r="G53" s="4" t="str">
        <x:v>Future choice controls forecast or funding mechanics; explicit rationale is required, but it is not a historical fact.</x:v>
      </x:c>
      <x:c r="H53" s="4" t="str">
        <x:v>Record explicit future scenario choice and rationale separately from historical facts.</x:v>
      </x:c>
    </x:row>
    <x:row r="54" ht="90" customHeight="1">
      <x:c r="A54" s="4" t="str">
        <x:v>assumption.capital_allocation</x:v>
      </x:c>
      <x:c r="B54" s="4" t="str">
        <x:v>{"dividends": [0.0, 0.0, 0.0, 0.0, 0.0], "buybacks": [0.0, 0.0, 0.0, 0.0, 0.0], "sweep_fraction": 0.0}</x:v>
      </x:c>
      <x:c r="C54" s="4" t="str">
        <x:v>explicit modelling assumption</x:v>
      </x:c>
      <x:c r="D54" s="16" t="b">
        <x:v>1</x:v>
      </x:c>
      <x:c r="E54" s="4" t="str">
        <x:v>Prospective suspension of discretionary distributions and optional repayments. Existing declared obligations remain separate missing facts, not zeroed.</x:v>
      </x:c>
      <x:c r="F54" s="4" t="str">
        <x:v>Forecast, liquidity and scenario comparisons</x:v>
      </x:c>
      <x:c r="G54" s="4" t="str">
        <x:v>Future choice controls forecast or funding mechanics; explicit rationale is required, but it is not a historical fact.</x:v>
      </x:c>
      <x:c r="H54" s="4" t="str">
        <x:v>Record explicit future scenario choice and rationale separately from historical facts.</x:v>
      </x:c>
    </x:row>
    <x:row r="55" ht="90" customHeight="1">
      <x:c r="A55" s="4" t="str">
        <x:v>assumption.closing_bridge</x:v>
      </x:c>
      <x:c r="B55" s="4" t="str">
        <x:v>{"closing_date": "2025-11-01", "companies": [{"operating": 788.7715500000004, "capex": 845.6421598250608, "dividends": 291.1673650125, "buybacks": 5.0, "projected_lease_principal": 0.0}, {"operating": -70.04999999999973, "capex": 231.25, "dividends": 0.0, "buybacks": 0.0, "projected_lease_principal": 3.6}]}</x:v>
      </x:c>
      <x:c r="C55" s="4" t="str">
        <x:v>explicit modelling assumption</x:v>
      </x:c>
      <x:c r="D55" s="16" t="b">
        <x:v>1</x:v>
      </x:c>
      <x:c r="E55" s="4" t="str">
        <x:v>Projected 39-week bridge removes separately disclosed prior-year trade-WC movements before applying explicit closing-WC forecasts once; capex uses verified FY2024 seasonal calibration; not actual FY2025 interim balances. Lease principal must also map to the debt inventory. Public case applies separate cash-access assumptions. Supersedes frozen-balance diagnostic.</x:v>
      </x:c>
      <x:c r="F55" s="4" t="str">
        <x:v>Forecast, liquidity and scenario comparisons</x:v>
      </x:c>
      <x:c r="G55" s="4" t="str">
        <x:v>Future choice controls forecast or funding mechanics; explicit rationale is required, but it is not a historical fact.</x:v>
      </x:c>
      <x:c r="H55" s="4" t="str">
        <x:v>Record explicit future scenario choice and rationale separately from historical facts.</x:v>
      </x:c>
    </x:row>
    <x:row r="56" ht="90" customHeight="1">
      <x:c r="A56" s="4" t="str">
        <x:v>assumption.financing_terms_and_fees</x:v>
      </x:c>
      <x:c r="B56" s="4" t="str">
        <x:v>{"transaction": {"transaction_fees": 75.0, "financing_fee_rate": 0.02, "ev_other": 0.0, "allow_target_cash": false, "target_cash_rationale": "Conservative future scenario choice; no upstream availability assumed", "acquirer_reference_price": 200.0}, "new_debt": {"kind": "floating", "benchmark": [0.045, 0.045, 0.045, 0.045, 0.045], "spread": 0.025, "fixed_benchmark": 0.045, "maturity": 5.0, "amortisation": 0.02}, "policy": {"refinance": false, "refinance_limit": 0.0, "refinance_tenor": 5.0, "refinance_fee": 0.02}}</x:v>
      </x:c>
      <x:c r="C56" s="4" t="str">
        <x:v>explicit modelling assumption</x:v>
      </x:c>
      <x:c r="D56" s="16" t="b">
        <x:v>1</x:v>
      </x:c>
      <x:c r="E56" s="4" t="str">
        <x:v>Hypothetical future quote: 4.5% benchmark plus 250bp, 2% upfront, 75 transaction costs, stock reference 200. No claim these are committed financing or observed prices. Test rates +/-200bp, spreads +100/+200bp, fees 1/2/3%; historical redemption costs remain separate.</x:v>
      </x:c>
      <x:c r="F56" s="4" t="str">
        <x:v>Forecast, liquidity and scenario comparisons</x:v>
      </x:c>
      <x:c r="G56" s="4" t="str">
        <x:v>Future choice controls forecast or funding mechanics; explicit rationale is required, but it is not a historical fact.</x:v>
      </x:c>
      <x:c r="H56" s="4" t="str">
        <x:v>Record explicit future scenario choice and rationale separately from historical facts.</x:v>
      </x:c>
    </x:row>
    <x:row r="57" ht="90" customHeight="1">
      <x:c r="A57" s="4" t="str">
        <x:v>assumption.operating_forecast</x:v>
      </x:c>
      <x:c r="B57" s="4" t="str">
        <x:v>{"companies": [{"gross_margin": 0.35, "variable_opex": 0.1, "capex_ratio": 0.06, "growth": [0.0, 0.0, 0.0, 0.0, 0.0], "fixed_growth": 0.02, "seasonality": [0.25, 0.25, 0.25, 0.25], "inventory_seasonality": [1.0, 1.0, 1.0, 1.0]}, {"gross_margin": 0.3, "variable_opex": 0.1, "capex_ratio": 0.04, "growth": [-0.05, 0.0, 0.02, 0.02, 0.02], "fixed_growth": 0.02, "seasonality": [0.25, 0.25, 0.25, 0.25], "inventory_seasonality": [1.0, 1.0, 1.0, 1.0]}], "quarterly": {"enabled": false, "label": "No assumed quarterly historical liquidity"}}</x:v>
      </x:c>
      <x:c r="C57" s="4" t="str">
        <x:v>explicit modelling assumption</x:v>
      </x:c>
      <x:c r="D57" s="16" t="b">
        <x:v>1</x:v>
      </x:c>
      <x:c r="E57" s="4" t="str">
        <x:v>Explicit future cost decomposition and growth paths, not reported margins. Calibrate fixed expenses to verified operating EBITDA. Stress revenue and EBITDA margin; preliminary target Q1 deterioration makes flat extrapolation unreliable.</x:v>
      </x:c>
      <x:c r="F57" s="4" t="str">
        <x:v>Forecast, liquidity and scenario comparisons</x:v>
      </x:c>
      <x:c r="G57" s="4" t="str">
        <x:v>Future choice controls forecast or funding mechanics; explicit rationale is required, but it is not a historical fact.</x:v>
      </x:c>
      <x:c r="H57" s="4" t="str">
        <x:v>Record explicit future scenario choice and rationale separately from historical facts.</x:v>
      </x:c>
    </x:row>
    <x:row r="58" ht="90" customHeight="1">
      <x:c r="A58" s="4" t="str">
        <x:v>assumption.synergy_delivery_and_costs</x:v>
      </x:c>
      <x:c r="B58" s="4" t="str">
        <x:v>{"run_rate": 100.0, "ramp": [0.0, 0.5, 1.0, 1.0, 1.0], "integration": [100.0, 50.0, 25.0, 0.0, 0.0]}</x:v>
      </x:c>
      <x:c r="C58" s="4" t="str">
        <x:v>explicit modelling assumption</x:v>
      </x:c>
      <x:c r="D58" s="16" t="b">
        <x:v>1</x:v>
      </x:c>
      <x:c r="E58" s="4" t="str">
        <x:v>Future delivery/cost choices, not management cost guidance. Test run rates 0/100/125, one-year delay and doubled integration costs.</x:v>
      </x:c>
      <x:c r="F58" s="4" t="str">
        <x:v>Forecast, liquidity and scenario comparisons</x:v>
      </x:c>
      <x:c r="G58" s="4" t="str">
        <x:v>Future choice controls forecast or funding mechanics; explicit rationale is required, but it is not a historical fact.</x:v>
      </x:c>
      <x:c r="H58" s="4" t="str">
        <x:v>Record explicit future scenario choice and rationale separately from historical facts.</x:v>
      </x:c>
    </x:row>
    <x:row r="59" ht="90" customHeight="1">
      <x:c r="A59" s="4" t="str">
        <x:v>detail.acquirer.cash</x:v>
      </x:c>
      <x:c r="B59" s="4" t="n">
        <x:v>1689.94</x:v>
      </x:c>
      <x:c r="C59" s="4" t="str">
        <x:v>verified fact</x:v>
      </x:c>
      <x:c r="D59" s="16" t="b">
        <x:v>0</x:v>
      </x:c>
      <x:c r="E59" s="4" t="str">
        <x:v>Exact observation supported by reviewed source: review_dks</x:v>
      </x:c>
      <x:c r="F59" s="4" t="str">
        <x:v>Bounded historical calculation; not complete financing capacity</x:v>
      </x:c>
      <x:c r="G59" s="4" t="str">
        <x:v>Supplementary disclosure; each bounded calculation independently requires verified dependencies. Original financing requirements remain active.</x:v>
      </x:c>
      <x:c r="H59" s="4" t="str">
        <x:v>Review exact pre-cutoff document, units and period.</x:v>
      </x:c>
    </x:row>
    <x:row r="60" ht="90" customHeight="1">
      <x:c r="A60" s="4" t="str">
        <x:v>detail.acquirer.cost_classification</x:v>
      </x:c>
      <x:c r="B60" s="4" t="str">
        <x:v>{"revenue": 13442.849, "cost_of_sales": 8617.153, "sga": 3294.272, "other_operating": 57.492, "operating_profit": 1473.932}</x:v>
      </x:c>
      <x:c r="C60" s="4" t="str">
        <x:v>verified fact</x:v>
      </x:c>
      <x:c r="D60" s="16" t="b">
        <x:v>0</x:v>
      </x:c>
      <x:c r="E60" s="4" t="str">
        <x:v>Exact observation supported by reviewed source: cost_dks</x:v>
      </x:c>
      <x:c r="F60" s="4" t="str">
        <x:v>Bounded historical calculation; not complete financing capacity</x:v>
      </x:c>
      <x:c r="G60" s="4" t="str">
        <x:v>Supplementary disclosure; each bounded calculation independently requires verified dependencies. Original financing requirements remain active.</x:v>
      </x:c>
      <x:c r="H60" s="4" t="str">
        <x:v>Review exact pre-cutoff document, units and period.</x:v>
      </x:c>
    </x:row>
    <x:row r="61" ht="90" customHeight="1">
      <x:c r="A61" s="4" t="str">
        <x:v>detail.acquirer.covenant</x:v>
      </x:c>
      <x:c r="B61" s="4" t="str">
        <x:v>{"maximum_lease_adjusted_leverage": 3.75, "acquisition_elected_limit": 4.25, "election_full_quarters": 4, "definition": "Borrowed debt plus operating lease liabilities / contractual EBITDAR; variable rental costs excluded from rental addback"}</x:v>
      </x:c>
      <x:c r="C61" s="4" t="str">
        <x:v>verified fact</x:v>
      </x:c>
      <x:c r="D61" s="16" t="b">
        <x:v>0</x:v>
      </x:c>
      <x:c r="E61" s="4" t="str">
        <x:v>Exact observation supported by reviewed source: dks_credit</x:v>
      </x:c>
      <x:c r="F61" s="4" t="str">
        <x:v>Bounded historical calculation; not complete financing capacity</x:v>
      </x:c>
      <x:c r="G61" s="4" t="str">
        <x:v>Supplementary disclosure; each bounded calculation independently requires verified dependencies. Original financing requirements remain active.</x:v>
      </x:c>
      <x:c r="H61" s="4" t="str">
        <x:v>Review exact pre-cutoff document, units and period.</x:v>
      </x:c>
    </x:row>
    <x:row r="62" ht="90" customHeight="1">
      <x:c r="A62" s="4" t="str">
        <x:v>detail.acquirer.distributions</x:v>
      </x:c>
      <x:c r="B62" s="4" t="str">
        <x:v>{"dividends": 361.727, "cash_buybacks": 263.021, "accrued_buybacks": 5.0}</x:v>
      </x:c>
      <x:c r="C62" s="4" t="str">
        <x:v>verified fact</x:v>
      </x:c>
      <x:c r="D62" s="16" t="b">
        <x:v>0</x:v>
      </x:c>
      <x:c r="E62" s="4" t="str">
        <x:v>Exact observation supported by reviewed source: public_dks</x:v>
      </x:c>
      <x:c r="F62" s="4" t="str">
        <x:v>Bounded historical calculation; not complete financing capacity</x:v>
      </x:c>
      <x:c r="G62" s="4" t="str">
        <x:v>Supplementary disclosure; each bounded calculation independently requires verified dependencies. Original financing requirements remain active.</x:v>
      </x:c>
      <x:c r="H62" s="4" t="str">
        <x:v>Review exact pre-cutoff document, units and period.</x:v>
      </x:c>
    </x:row>
    <x:row r="63" ht="90" customHeight="1">
      <x:c r="A63" s="4" t="str">
        <x:v>detail.acquirer.leases</x:v>
      </x:c>
      <x:c r="B63" s="4" t="str">
        <x:v>{"operating_cost": 636.744, "short_term": 26.186, "variable": 131.832, "sublease_income": 11.842, "fixed_cash": 708.988, "liability": 3003.543, "uncommenced_commitments": 352.1}</x:v>
      </x:c>
      <x:c r="C63" s="4" t="str">
        <x:v>verified fact</x:v>
      </x:c>
      <x:c r="D63" s="16" t="b">
        <x:v>0</x:v>
      </x:c>
      <x:c r="E63" s="4" t="str">
        <x:v>Exact observation supported by reviewed source: review_dks</x:v>
      </x:c>
      <x:c r="F63" s="4" t="str">
        <x:v>Bounded historical calculation; not complete financing capacity</x:v>
      </x:c>
      <x:c r="G63" s="4" t="str">
        <x:v>Supplementary disclosure; each bounded calculation independently requires verified dependencies. Original financing requirements remain active.</x:v>
      </x:c>
      <x:c r="H63" s="4" t="str">
        <x:v>Review exact pre-cutoff document, units and period.</x:v>
      </x:c>
    </x:row>
    <x:row r="64" ht="90" customHeight="1">
      <x:c r="A64" s="4" t="str">
        <x:v>detail.acquirer.notes</x:v>
      </x:c>
      <x:c r="B64" s="4" t="str">
        <x:v>{"principal_each": 750.0, "coupons": [0.0315, 0.041], "maturities": ["2032-01-15", "2052-01-15"], "day_count": "30/360", "payment_months": [1, 7], "makewhole_spreads_bps": [25, 30]}</x:v>
      </x:c>
      <x:c r="C64" s="4" t="str">
        <x:v>verified fact</x:v>
      </x:c>
      <x:c r="D64" s="16" t="b">
        <x:v>0</x:v>
      </x:c>
      <x:c r="E64" s="4" t="str">
        <x:v>Exact observation supported by reviewed source: dks_indent</x:v>
      </x:c>
      <x:c r="F64" s="4" t="str">
        <x:v>Bounded historical calculation; not complete financing capacity</x:v>
      </x:c>
      <x:c r="G64" s="4" t="str">
        <x:v>Supplementary disclosure; each bounded calculation independently requires verified dependencies. Original financing requirements remain active.</x:v>
      </x:c>
      <x:c r="H64" s="4" t="str">
        <x:v>Review exact pre-cutoff document, units and period.</x:v>
      </x:c>
    </x:row>
    <x:row r="65" ht="90" customHeight="1">
      <x:c r="A65" s="4" t="str">
        <x:v>detail.acquirer.notes_outstanding</x:v>
      </x:c>
      <x:c r="B65" s="4" t="str">
        <x:v>[750.0, 750.0]</x:v>
      </x:c>
      <x:c r="C65" s="4" t="str">
        <x:v>verified fact</x:v>
      </x:c>
      <x:c r="D65" s="16" t="b">
        <x:v>0</x:v>
      </x:c>
      <x:c r="E65" s="4" t="str">
        <x:v>Exact observation supported by reviewed source: review_dks</x:v>
      </x:c>
      <x:c r="F65" s="4" t="str">
        <x:v>Bounded historical calculation; not complete financing capacity</x:v>
      </x:c>
      <x:c r="G65" s="4" t="str">
        <x:v>Supplementary disclosure; each bounded calculation independently requires verified dependencies. Original financing requirements remain active.</x:v>
      </x:c>
      <x:c r="H65" s="4" t="str">
        <x:v>Review exact pre-cutoff document, units and period.</x:v>
      </x:c>
    </x:row>
    <x:row r="66" ht="90" customHeight="1">
      <x:c r="A66" s="4" t="str">
        <x:v>detail.acquirer.other_liabilities</x:v>
      </x:c>
      <x:c r="B66" s="4" t="str">
        <x:v>{"accrued_expenses": 653.324, "current_other": 82.696, "long_term_other": 42.137}</x:v>
      </x:c>
      <x:c r="C66" s="4" t="str">
        <x:v>verified fact</x:v>
      </x:c>
      <x:c r="D66" s="16" t="b">
        <x:v>0</x:v>
      </x:c>
      <x:c r="E66" s="4" t="str">
        <x:v>Exact observation supported by reviewed source: public_dks</x:v>
      </x:c>
      <x:c r="F66" s="4" t="str">
        <x:v>Bounded historical calculation; not complete financing capacity</x:v>
      </x:c>
      <x:c r="G66" s="4" t="str">
        <x:v>Supplementary disclosure; each bounded calculation independently requires verified dependencies. Original financing requirements remain active.</x:v>
      </x:c>
      <x:c r="H66" s="4" t="str">
        <x:v>Review exact pre-cutoff document, units and period.</x:v>
      </x:c>
    </x:row>
    <x:row r="67" ht="90" customHeight="1">
      <x:c r="A67" s="4" t="str">
        <x:v>detail.acquirer.planning_disclosures</x:v>
      </x:c>
      <x:c r="B67" s="4" t="str">
        <x:v>{"fy2025_net_capex_guidance": 1000.0, "declared_quarterly_dividend_per_share": 1.2125, "declaration_date": "2025-03-10", "payment_date": "2025-04-11"}</x:v>
      </x:c>
      <x:c r="C67" s="4" t="str">
        <x:v>verified fact</x:v>
      </x:c>
      <x:c r="D67" s="16" t="b">
        <x:v>0</x:v>
      </x:c>
      <x:c r="E67" s="4" t="str">
        <x:v>Exact observation supported by reviewed source: public_dks</x:v>
      </x:c>
      <x:c r="F67" s="4" t="str">
        <x:v>Bounded historical calculation; not complete financing capacity</x:v>
      </x:c>
      <x:c r="G67" s="4" t="str">
        <x:v>Supplementary disclosure; each bounded calculation independently requires verified dependencies. Original financing requirements remain active.</x:v>
      </x:c>
      <x:c r="H67" s="4" t="str">
        <x:v>Review exact pre-cutoff document, units and period.</x:v>
      </x:c>
    </x:row>
    <x:row r="68" ht="90" customHeight="1">
      <x:c r="A68" s="4" t="str">
        <x:v>detail.acquirer.preliminary_q1</x:v>
      </x:c>
      <x:c r="B68" s="4" t="str">
        <x:v>{"comparable_sales_growth": 0.045, "expected_eps": 3.24, "expected_non_gaap_eps": 3.37}</x:v>
      </x:c>
      <x:c r="C68" s="4" t="str">
        <x:v>verified fact</x:v>
      </x:c>
      <x:c r="D68" s="16" t="b">
        <x:v>0</x:v>
      </x:c>
      <x:c r="E68" s="4" t="str">
        <x:v>Exact observation supported by reviewed source: dks_prelim</x:v>
      </x:c>
      <x:c r="F68" s="4" t="str">
        <x:v>Bounded historical calculation; not complete financing capacity</x:v>
      </x:c>
      <x:c r="G68" s="4" t="str">
        <x:v>Supplementary disclosure; each bounded calculation independently requires verified dependencies. Original financing requirements remain active.</x:v>
      </x:c>
      <x:c r="H68" s="4" t="str">
        <x:v>Review exact pre-cutoff document, units and period.</x:v>
      </x:c>
    </x:row>
    <x:row r="69" ht="90" customHeight="1">
      <x:c r="A69" s="4" t="str">
        <x:v>detail.acquirer.purchase_commitments</x:v>
      </x:c>
      <x:c r="B69" s="4" t="n">
        <x:v>180</x:v>
      </x:c>
      <x:c r="C69" s="4" t="str">
        <x:v>verified fact</x:v>
      </x:c>
      <x:c r="D69" s="16" t="b">
        <x:v>0</x:v>
      </x:c>
      <x:c r="E69" s="4" t="str">
        <x:v>Exact observation supported by reviewed source: review_dks</x:v>
      </x:c>
      <x:c r="F69" s="4" t="str">
        <x:v>Bounded historical calculation; not complete financing capacity</x:v>
      </x:c>
      <x:c r="G69" s="4" t="str">
        <x:v>Supplementary disclosure; each bounded calculation independently requires verified dependencies. Original financing requirements remain active.</x:v>
      </x:c>
      <x:c r="H69" s="4" t="str">
        <x:v>Review exact pre-cutoff document, units and period.</x:v>
      </x:c>
    </x:row>
    <x:row r="70" ht="90" customHeight="1">
      <x:c r="A70" s="4" t="str">
        <x:v>detail.acquirer.ytd_cash_flow</x:v>
      </x:c>
      <x:c r="B70" s="4" t="str">
        <x:v>{"cfo": 680.307, "capex": 565.569}</x:v>
      </x:c>
      <x:c r="C70" s="4" t="str">
        <x:v>verified fact</x:v>
      </x:c>
      <x:c r="D70" s="16" t="b">
        <x:v>0</x:v>
      </x:c>
      <x:c r="E70" s="4" t="str">
        <x:v>Exact observation supported by reviewed source: dks_q3</x:v>
      </x:c>
      <x:c r="F70" s="4" t="str">
        <x:v>Bounded historical calculation; not complete financing capacity</x:v>
      </x:c>
      <x:c r="G70" s="4" t="str">
        <x:v>Supplementary disclosure; each bounded calculation independently requires verified dependencies. Original financing requirements remain active.</x:v>
      </x:c>
      <x:c r="H70" s="4" t="str">
        <x:v>Review exact pre-cutoff document, units and period.</x:v>
      </x:c>
    </x:row>
    <x:row r="71" ht="90" customHeight="1">
      <x:c r="A71" s="4" t="str">
        <x:v>detail.acquirer.ytd_wc_cash</x:v>
      </x:c>
      <x:c r="B71" s="4" t="str">
        <x:v>{"inventory": -877.115, "receivables": -25.055, "payables": 404.685}</x:v>
      </x:c>
      <x:c r="C71" s="4" t="str">
        <x:v>verified fact</x:v>
      </x:c>
      <x:c r="D71" s="16" t="b">
        <x:v>0</x:v>
      </x:c>
      <x:c r="E71" s="4" t="str">
        <x:v>Exact observation supported by reviewed source: wc_dks</x:v>
      </x:c>
      <x:c r="F71" s="4" t="str">
        <x:v>Bounded historical calculation; not complete financing capacity</x:v>
      </x:c>
      <x:c r="G71" s="4" t="str">
        <x:v>Supplementary disclosure; each bounded calculation independently requires verified dependencies. Original financing requirements remain active.</x:v>
      </x:c>
      <x:c r="H71" s="4" t="str">
        <x:v>Review exact pre-cutoff document, units and period.</x:v>
      </x:c>
    </x:row>
    <x:row r="72" ht="90" customHeight="1">
      <x:c r="A72" s="4" t="str">
        <x:v>detail.target.abl</x:v>
      </x:c>
      <x:c r="B72" s="4" t="str">
        <x:v>{"loan_cap": "Minimum of commitment and borrowing base", "springing_fccr": 1.0, "coc_voting_threshold": 0.4, "restriction": "Covenant Compliance Period trigger; restricted payments and collateral eligibility require full contract compliance"}</x:v>
      </x:c>
      <x:c r="C72" s="4" t="str">
        <x:v>verified fact</x:v>
      </x:c>
      <x:c r="D72" s="16" t="b">
        <x:v>0</x:v>
      </x:c>
      <x:c r="E72" s="4" t="str">
        <x:v>Exact observation supported by reviewed source: fl_credit</x:v>
      </x:c>
      <x:c r="F72" s="4" t="str">
        <x:v>Bounded historical calculation; not complete financing capacity</x:v>
      </x:c>
      <x:c r="G72" s="4" t="str">
        <x:v>Supplementary disclosure; each bounded calculation independently requires verified dependencies. Original financing requirements remain active.</x:v>
      </x:c>
      <x:c r="H72" s="4" t="str">
        <x:v>Review exact pre-cutoff document, units and period.</x:v>
      </x:c>
    </x:row>
    <x:row r="73" ht="90" customHeight="1">
      <x:c r="A73" s="4" t="str">
        <x:v>detail.target.cash</x:v>
      </x:c>
      <x:c r="B73" s="4" t="n">
        <x:v>401</x:v>
      </x:c>
      <x:c r="C73" s="4" t="str">
        <x:v>verified fact</x:v>
      </x:c>
      <x:c r="D73" s="16" t="b">
        <x:v>0</x:v>
      </x:c>
      <x:c r="E73" s="4" t="str">
        <x:v>Exact observation supported by reviewed source: review_fl</x:v>
      </x:c>
      <x:c r="F73" s="4" t="str">
        <x:v>Bounded historical calculation; not complete financing capacity</x:v>
      </x:c>
      <x:c r="G73" s="4" t="str">
        <x:v>Supplementary disclosure; each bounded calculation independently requires verified dependencies. Original financing requirements remain active.</x:v>
      </x:c>
      <x:c r="H73" s="4" t="str">
        <x:v>Review exact pre-cutoff document, units and period.</x:v>
      </x:c>
    </x:row>
    <x:row r="74" ht="90" customHeight="1">
      <x:c r="A74" s="4" t="str">
        <x:v>detail.target.cost_classification</x:v>
      </x:c>
      <x:c r="B74" s="4" t="str">
        <x:v>{"revenue": 7988.0, "cost_of_sales": 5666.0, "sga": 1920.0, "separate_da": 202.0, "other_operating": 97.0, "operating_profit": 103.0, "merchandise_cost": 4674.0, "occupancy_buyers": 992.0}</x:v>
      </x:c>
      <x:c r="C74" s="4" t="str">
        <x:v>verified fact</x:v>
      </x:c>
      <x:c r="D74" s="16" t="b">
        <x:v>0</x:v>
      </x:c>
      <x:c r="E74" s="4" t="str">
        <x:v>Exact observation supported by reviewed source: cost_fl</x:v>
      </x:c>
      <x:c r="F74" s="4" t="str">
        <x:v>Bounded historical calculation; not complete financing capacity</x:v>
      </x:c>
      <x:c r="G74" s="4" t="str">
        <x:v>Supplementary disclosure; each bounded calculation independently requires verified dependencies. Original financing requirements remain active.</x:v>
      </x:c>
      <x:c r="H74" s="4" t="str">
        <x:v>Review exact pre-cutoff document, units and period.</x:v>
      </x:c>
    </x:row>
    <x:row r="75" ht="90" customHeight="1">
      <x:c r="A75" s="4" t="str">
        <x:v>detail.target.finance_lease</x:v>
      </x:c>
      <x:c r="B75" s="4" t="n">
        <x:v>50</x:v>
      </x:c>
      <x:c r="C75" s="4" t="str">
        <x:v>verified fact</x:v>
      </x:c>
      <x:c r="D75" s="16" t="b">
        <x:v>0</x:v>
      </x:c>
      <x:c r="E75" s="4" t="str">
        <x:v>Exact observation supported by reviewed source: review_fl</x:v>
      </x:c>
      <x:c r="F75" s="4" t="str">
        <x:v>Bounded historical calculation; not complete financing capacity</x:v>
      </x:c>
      <x:c r="G75" s="4" t="str">
        <x:v>Supplementary disclosure; each bounded calculation independently requires verified dependencies. Original financing requirements remain active.</x:v>
      </x:c>
      <x:c r="H75" s="4" t="str">
        <x:v>Review exact pre-cutoff document, units and period.</x:v>
      </x:c>
    </x:row>
    <x:row r="76" ht="90" customHeight="1">
      <x:c r="A76" s="4" t="str">
        <x:v>detail.target.finance_maturities</x:v>
      </x:c>
      <x:c r="B76" s="4" t="str">
        <x:v>{"annual_cash": [7.0, 6.0, 5.0, 4.0, 4.0], "thereafter_cash": 40.0, "total_cash": 66.0, "unearned_interest": 16.0, "liability": 50.0, "weighted_discount_rate": 0.044}</x:v>
      </x:c>
      <x:c r="C76" s="4" t="str">
        <x:v>verified fact</x:v>
      </x:c>
      <x:c r="D76" s="16" t="b">
        <x:v>0</x:v>
      </x:c>
      <x:c r="E76" s="4" t="str">
        <x:v>Exact observation supported by reviewed source: public_fl</x:v>
      </x:c>
      <x:c r="F76" s="4" t="str">
        <x:v>Bounded historical calculation; not complete financing capacity</x:v>
      </x:c>
      <x:c r="G76" s="4" t="str">
        <x:v>Supplementary disclosure; each bounded calculation independently requires verified dependencies. Original financing requirements remain active.</x:v>
      </x:c>
      <x:c r="H76" s="4" t="str">
        <x:v>Review exact pre-cutoff document, units and period.</x:v>
      </x:c>
    </x:row>
    <x:row r="77" ht="90" customHeight="1">
      <x:c r="A77" s="4" t="str">
        <x:v>detail.target.leases</x:v>
      </x:c>
      <x:c r="B77" s="4" t="str">
        <x:v>{"operating_cost": 643.0, "variable": 272.0, "short_term": 16.0, "fixed_cash": 723.0, "liability_ex_hfs": 2338.0, "hfs_liability": 5.0, "finance_cash": 8.0, "finance_interest": 2.0, "finance_opening": 52.0, "finance_additions": 4.0, "uncommenced_commitments": 41.0}</x:v>
      </x:c>
      <x:c r="C77" s="4" t="str">
        <x:v>verified fact</x:v>
      </x:c>
      <x:c r="D77" s="16" t="b">
        <x:v>0</x:v>
      </x:c>
      <x:c r="E77" s="4" t="str">
        <x:v>Exact observation supported by reviewed source: review_fl</x:v>
      </x:c>
      <x:c r="F77" s="4" t="str">
        <x:v>Bounded historical calculation; not complete financing capacity</x:v>
      </x:c>
      <x:c r="G77" s="4" t="str">
        <x:v>Supplementary disclosure; each bounded calculation independently requires verified dependencies. Original financing requirements remain active.</x:v>
      </x:c>
      <x:c r="H77" s="4" t="str">
        <x:v>Review exact pre-cutoff document, units and period.</x:v>
      </x:c>
    </x:row>
    <x:row r="78" ht="90" customHeight="1">
      <x:c r="A78" s="4" t="str">
        <x:v>detail.target.letters_of_credit</x:v>
      </x:c>
      <x:c r="B78" s="4" t="n">
        <x:v>7</x:v>
      </x:c>
      <x:c r="C78" s="4" t="str">
        <x:v>verified fact</x:v>
      </x:c>
      <x:c r="D78" s="16" t="b">
        <x:v>0</x:v>
      </x:c>
      <x:c r="E78" s="4" t="str">
        <x:v>Exact observation supported by reviewed source: public_fl</x:v>
      </x:c>
      <x:c r="F78" s="4" t="str">
        <x:v>Bounded historical calculation; not complete financing capacity</x:v>
      </x:c>
      <x:c r="G78" s="4" t="str">
        <x:v>Supplementary disclosure; each bounded calculation independently requires verified dependencies. Original financing requirements remain active.</x:v>
      </x:c>
      <x:c r="H78" s="4" t="str">
        <x:v>Review exact pre-cutoff document, units and period.</x:v>
      </x:c>
    </x:row>
    <x:row r="79" ht="90" customHeight="1">
      <x:c r="A79" s="4" t="str">
        <x:v>detail.target.notes_principal</x:v>
      </x:c>
      <x:c r="B79" s="4" t="n">
        <x:v>400</x:v>
      </x:c>
      <x:c r="C79" s="4" t="str">
        <x:v>verified fact</x:v>
      </x:c>
      <x:c r="D79" s="16" t="b">
        <x:v>0</x:v>
      </x:c>
      <x:c r="E79" s="4" t="str">
        <x:v>Exact observation supported by reviewed source: review_fl</x:v>
      </x:c>
      <x:c r="F79" s="4" t="str">
        <x:v>Bounded historical calculation; not complete financing capacity</x:v>
      </x:c>
      <x:c r="G79" s="4" t="str">
        <x:v>Supplementary disclosure; each bounded calculation independently requires verified dependencies. Original financing requirements remain active.</x:v>
      </x:c>
      <x:c r="H79" s="4" t="str">
        <x:v>Review exact pre-cutoff document, units and period.</x:v>
      </x:c>
    </x:row>
    <x:row r="80" ht="90" customHeight="1">
      <x:c r="A80" s="4" t="str">
        <x:v>detail.target.notes_terms</x:v>
      </x:c>
      <x:c r="B80" s="4" t="str">
        <x:v>{"coupon": 0.04, "maturity": "2029-10-01", "redemption_oct2024": 1.02, "redemption_oct2025": 1.01, "redemption_oct2026": 1.0, "coc_offer": 1.01, "trigger": "Change of control AND ratings event; not signing alone"}</x:v>
      </x:c>
      <x:c r="C80" s="4" t="str">
        <x:v>verified fact</x:v>
      </x:c>
      <x:c r="D80" s="16" t="b">
        <x:v>0</x:v>
      </x:c>
      <x:c r="E80" s="4" t="str">
        <x:v>Exact observation supported by reviewed source: fl_indent</x:v>
      </x:c>
      <x:c r="F80" s="4" t="str">
        <x:v>Bounded historical calculation; not complete financing capacity</x:v>
      </x:c>
      <x:c r="G80" s="4" t="str">
        <x:v>Supplementary disclosure; each bounded calculation independently requires verified dependencies. Original financing requirements remain active.</x:v>
      </x:c>
      <x:c r="H80" s="4" t="str">
        <x:v>Review exact pre-cutoff document, units and period.</x:v>
      </x:c>
    </x:row>
    <x:row r="81" ht="90" customHeight="1">
      <x:c r="A81" s="4" t="str">
        <x:v>detail.target.preliminary_q1</x:v>
      </x:c>
      <x:c r="B81" s="4" t="str">
        <x:v>{"comparable_sales_change": -0.026, "expected_net_loss": 363.0, "expected_non_gaap_net_loss": 6.0, "impairments": 276.0}</x:v>
      </x:c>
      <x:c r="C81" s="4" t="str">
        <x:v>verified fact</x:v>
      </x:c>
      <x:c r="D81" s="16" t="b">
        <x:v>0</x:v>
      </x:c>
      <x:c r="E81" s="4" t="str">
        <x:v>Exact observation supported by reviewed source: fl_prelim</x:v>
      </x:c>
      <x:c r="F81" s="4" t="str">
        <x:v>Bounded historical calculation; not complete financing capacity</x:v>
      </x:c>
      <x:c r="G81" s="4" t="str">
        <x:v>Supplementary disclosure; each bounded calculation independently requires verified dependencies. Original financing requirements remain active.</x:v>
      </x:c>
      <x:c r="H81" s="4" t="str">
        <x:v>Review exact pre-cutoff document, units and period.</x:v>
      </x:c>
    </x:row>
    <x:row r="82" ht="90" customHeight="1">
      <x:c r="A82" s="4" t="str">
        <x:v>detail.target.restricted_cash</x:v>
      </x:c>
      <x:c r="B82" s="4" t="str">
        <x:v>{"current": 4.0, "noncurrent": 25.0, "cash_flow_total": 430.0}</x:v>
      </x:c>
      <x:c r="C82" s="4" t="str">
        <x:v>verified fact</x:v>
      </x:c>
      <x:c r="D82" s="16" t="b">
        <x:v>0</x:v>
      </x:c>
      <x:c r="E82" s="4" t="str">
        <x:v>Exact observation supported by reviewed source: review_fl</x:v>
      </x:c>
      <x:c r="F82" s="4" t="str">
        <x:v>Bounded historical calculation; not complete financing capacity</x:v>
      </x:c>
      <x:c r="G82" s="4" t="str">
        <x:v>Supplementary disclosure; each bounded calculation independently requires verified dependencies. Original financing requirements remain active.</x:v>
      </x:c>
      <x:c r="H82" s="4" t="str">
        <x:v>Review exact pre-cutoff document, units and period.</x:v>
      </x:c>
    </x:row>
    <x:row r="83" ht="90" customHeight="1">
      <x:c r="A83" s="4" t="str">
        <x:v>detail.target.ytd_cash_flow</x:v>
      </x:c>
      <x:c r="B83" s="4" t="str">
        <x:v>{"cfo": 98.0, "capex": 185.0}</x:v>
      </x:c>
      <x:c r="C83" s="4" t="str">
        <x:v>verified fact</x:v>
      </x:c>
      <x:c r="D83" s="16" t="b">
        <x:v>0</x:v>
      </x:c>
      <x:c r="E83" s="4" t="str">
        <x:v>Exact observation supported by reviewed source: fl_q3</x:v>
      </x:c>
      <x:c r="F83" s="4" t="str">
        <x:v>Bounded historical calculation; not complete financing capacity</x:v>
      </x:c>
      <x:c r="G83" s="4" t="str">
        <x:v>Supplementary disclosure; each bounded calculation independently requires verified dependencies. Original financing requirements remain active.</x:v>
      </x:c>
      <x:c r="H83" s="4" t="str">
        <x:v>Review exact pre-cutoff document, units and period.</x:v>
      </x:c>
    </x:row>
    <x:row r="84" ht="90" customHeight="1">
      <x:c r="A84" s="4" t="str">
        <x:v>detail.target.ytd_wc_cash</x:v>
      </x:c>
      <x:c r="B84" s="4" t="str">
        <x:v>{"inventory": -243.0, "payables": 137.0}</x:v>
      </x:c>
      <x:c r="C84" s="4" t="str">
        <x:v>verified fact</x:v>
      </x:c>
      <x:c r="D84" s="16" t="b">
        <x:v>0</x:v>
      </x:c>
      <x:c r="E84" s="4" t="str">
        <x:v>Exact observation supported by reviewed source: wc_fl</x:v>
      </x:c>
      <x:c r="F84" s="4" t="str">
        <x:v>Bounded historical calculation; not complete financing capacity</x:v>
      </x:c>
      <x:c r="G84" s="4" t="str">
        <x:v>Supplementary disclosure; each bounded calculation independently requires verified dependencies. Original financing requirements remain active.</x:v>
      </x:c>
      <x:c r="H84" s="4" t="str">
        <x:v>Review exact pre-cutoff document, units and period.</x:v>
      </x:c>
    </x:row>
    <x:row r="85" ht="90" customHeight="1">
      <x:c r="A85" s="4" t="str">
        <x:v>detail.transaction.capitalization</x:v>
      </x:c>
      <x:c r="B85" s="4" t="str">
        <x:v>{"target_common": 95560582, "target_treasury_excluded": 312977, "options": 1731169, "weighted_option_strike": 48.12, "rsus": 2635903, "psus_target": 1443467, "psus_max": 2749910, "dsus": 177680.622, "acquirer_common": 56475378, "acquirer_class_b": 23570633}</x:v>
      </x:c>
      <x:c r="C85" s="4" t="str">
        <x:v>verified fact</x:v>
      </x:c>
      <x:c r="D85" s="16" t="b">
        <x:v>0</x:v>
      </x:c>
      <x:c r="E85" s="4" t="str">
        <x:v>Exact observation supported by reviewed source: merger</x:v>
      </x:c>
      <x:c r="F85" s="4" t="str">
        <x:v>Bounded historical calculation; not complete financing capacity</x:v>
      </x:c>
      <x:c r="G85" s="4" t="str">
        <x:v>Supplementary disclosure; each bounded calculation independently requires verified dependencies. Original financing requirements remain active.</x:v>
      </x:c>
      <x:c r="H85" s="4" t="str">
        <x:v>Review exact pre-cutoff document, units and period.</x:v>
      </x:c>
    </x:row>
    <x:row r="86" ht="90" customHeight="1">
      <x:c r="A86" s="4" t="str">
        <x:v>detail.transaction.debt_treatment</x:v>
      </x:c>
      <x:c r="B86" s="4" t="str">
        <x:v>{"target_abl": "Terminate commitments, repay obligations and release liens at effective time; parent funds required", "notes": "Offers, consent solicitations, redemption or assumption routes; future outcome not established", "award_rule": "ITM options and DSUs cash; employee RSUs/PSUs adjusted parent awards; director RSUs cash"}</x:v>
      </x:c>
      <x:c r="C86" s="4" t="str">
        <x:v>verified fact</x:v>
      </x:c>
      <x:c r="D86" s="16" t="b">
        <x:v>0</x:v>
      </x:c>
      <x:c r="E86" s="4" t="str">
        <x:v>Exact observation supported by reviewed source: merger</x:v>
      </x:c>
      <x:c r="F86" s="4" t="str">
        <x:v>Bounded historical calculation; not complete financing capacity</x:v>
      </x:c>
      <x:c r="G86" s="4" t="str">
        <x:v>Supplementary disclosure; each bounded calculation independently requires verified dependencies. Original financing requirements remain active.</x:v>
      </x:c>
      <x:c r="H86" s="4" t="str">
        <x:v>Review exact pre-cutoff document, units and period.</x:v>
      </x:c>
    </x:row>
    <x:row r="87" ht="90" customHeight="1">
      <x:c r="A87" s="4" t="str">
        <x:v>target.FY2022.capex</x:v>
      </x:c>
      <x:c r="B87" s="4" t="n">
        <x:v>285</x:v>
      </x:c>
      <x:c r="C87" s="4" t="str">
        <x:v>verified fact</x:v>
      </x:c>
      <x:c r="D87" s="16" t="b">
        <x:v>0</x:v>
      </x:c>
      <x:c r="E87" s="4" t="str">
        <x:v>Exact observation supported by reviewed source: fl10k</x:v>
      </x:c>
      <x:c r="F87" s="4" t="str">
        <x:v>Operating forecast, EBITDA, working capital and debt-service cash flow</x:v>
      </x:c>
      <x:c r="G87" s="4" t="str">
        <x:v>Prior-year trend/reconciliation context. Blocks only when historical trend calibration is used; explicit forecast growth does not consume it.</x:v>
      </x:c>
      <x:c r="H87" s="4" t="str">
        <x:v>Review original pre-cutoff fiscal accounts; record exact fiscal dates, units and reconciliation.</x:v>
      </x:c>
    </x:row>
    <x:row r="88" ht="90" customHeight="1">
      <x:c r="A88" s="4" t="str">
        <x:v>target.FY2022.depreciation_amortisation</x:v>
      </x:c>
      <x:c r="B88" s="4" t="n">
        <x:v>208</x:v>
      </x:c>
      <x:c r="C88" s="4" t="str">
        <x:v>verified fact</x:v>
      </x:c>
      <x:c r="D88" s="16" t="b">
        <x:v>0</x:v>
      </x:c>
      <x:c r="E88" s="4" t="str">
        <x:v>Exact observation supported by reviewed source: fl10k</x:v>
      </x:c>
      <x:c r="F88" s="4" t="str">
        <x:v>Operating forecast, EBITDA, working capital and debt-service cash flow</x:v>
      </x:c>
      <x:c r="G88" s="4" t="str">
        <x:v>Prior-year trend/reconciliation context. Blocks only when historical trend calibration is used; explicit forecast growth does not consume it.</x:v>
      </x:c>
      <x:c r="H88" s="4" t="str">
        <x:v>Review original pre-cutoff fiscal accounts; record exact fiscal dates, units and reconciliation.</x:v>
      </x:c>
    </x:row>
    <x:row r="89" ht="90" customHeight="1">
      <x:c r="A89" s="4" t="str">
        <x:v>target.FY2022.dividends_buybacks_commitments</x:v>
      </x:c>
      <x:c r="B89" s="4"/>
      <x:c r="C89" s="4" t="str">
        <x:v>missing evidence</x:v>
      </x:c>
      <x:c r="D89" s="16" t="b">
        <x:v>0</x:v>
      </x:c>
      <x:c r="E89" s="4" t="str">
        <x:v>Required observation absent</x:v>
      </x:c>
      <x:c r="F89" s="4" t="str">
        <x:v>Operating forecast, EBITDA, working capital and debt-service cash flow</x:v>
      </x:c>
      <x:c r="G89" s="4" t="str">
        <x:v>Prior-year trend/reconciliation context. Blocks only when historical trend calibration is used; explicit forecast growth does not consume it.</x:v>
      </x:c>
      <x:c r="H89" s="4" t="str">
        <x:v>Review original pre-cutoff fiscal accounts; record exact fiscal dates, units and reconciliation.</x:v>
      </x:c>
    </x:row>
    <x:row r="90" ht="90" customHeight="1">
      <x:c r="A90" s="4" t="str">
        <x:v>target.FY2022.ebitda_reconciliation</x:v>
      </x:c>
      <x:c r="B90" s="4"/>
      <x:c r="C90" s="4" t="str">
        <x:v>missing evidence</x:v>
      </x:c>
      <x:c r="D90" s="16" t="b">
        <x:v>0</x:v>
      </x:c>
      <x:c r="E90" s="4" t="str">
        <x:v>Required observation absent</x:v>
      </x:c>
      <x:c r="F90" s="4" t="str">
        <x:v>Operating forecast, EBITDA, working capital and debt-service cash flow</x:v>
      </x:c>
      <x:c r="G90" s="4" t="str">
        <x:v>Prior-year trend/reconciliation context. Blocks only when historical trend calibration is used; explicit forecast growth does not consume it.</x:v>
      </x:c>
      <x:c r="H90" s="4" t="str">
        <x:v>Review original pre-cutoff fiscal accounts; record exact fiscal dates, units and reconciliation.</x:v>
      </x:c>
    </x:row>
    <x:row r="91" ht="90" customHeight="1">
      <x:c r="A91" s="4" t="str">
        <x:v>target.FY2022.inventory</x:v>
      </x:c>
      <x:c r="B91" s="4"/>
      <x:c r="C91" s="4" t="str">
        <x:v>missing evidence</x:v>
      </x:c>
      <x:c r="D91" s="16" t="b">
        <x:v>0</x:v>
      </x:c>
      <x:c r="E91" s="4" t="str">
        <x:v>Required observation absent</x:v>
      </x:c>
      <x:c r="F91" s="4" t="str">
        <x:v>Operating forecast, EBITDA, working capital and debt-service cash flow</x:v>
      </x:c>
      <x:c r="G91" s="4" t="str">
        <x:v>Prior-year trend/reconciliation context. Blocks only when historical trend calibration is used; explicit forecast growth does not consume it.</x:v>
      </x:c>
      <x:c r="H91" s="4" t="str">
        <x:v>Review original pre-cutoff fiscal accounts; record exact fiscal dates, units and reconciliation.</x:v>
      </x:c>
    </x:row>
    <x:row r="92" ht="90" customHeight="1">
      <x:c r="A92" s="4" t="str">
        <x:v>target.FY2022.lease_reconciliation</x:v>
      </x:c>
      <x:c r="B92" s="4"/>
      <x:c r="C92" s="4" t="str">
        <x:v>missing evidence</x:v>
      </x:c>
      <x:c r="D92" s="16" t="b">
        <x:v>0</x:v>
      </x:c>
      <x:c r="E92" s="4" t="str">
        <x:v>Required observation absent</x:v>
      </x:c>
      <x:c r="F92" s="4" t="str">
        <x:v>Operating forecast, EBITDA, working capital and debt-service cash flow</x:v>
      </x:c>
      <x:c r="G92" s="4" t="str">
        <x:v>Prior-year trend/reconciliation context. Blocks only when historical trend calibration is used; explicit forecast growth does not consume it.</x:v>
      </x:c>
      <x:c r="H92" s="4" t="str">
        <x:v>Review original pre-cutoff fiscal accounts; record exact fiscal dates, units and reconciliation.</x:v>
      </x:c>
    </x:row>
    <x:row r="93" ht="90" customHeight="1">
      <x:c r="A93" s="4" t="str">
        <x:v>target.FY2022.operating_cash_flow</x:v>
      </x:c>
      <x:c r="B93" s="4" t="n">
        <x:v>173</x:v>
      </x:c>
      <x:c r="C93" s="4" t="str">
        <x:v>verified fact</x:v>
      </x:c>
      <x:c r="D93" s="16" t="b">
        <x:v>0</x:v>
      </x:c>
      <x:c r="E93" s="4" t="str">
        <x:v>Exact observation supported by reviewed source: fl10k</x:v>
      </x:c>
      <x:c r="F93" s="4" t="str">
        <x:v>Operating forecast, EBITDA, working capital and debt-service cash flow</x:v>
      </x:c>
      <x:c r="G93" s="4" t="str">
        <x:v>Prior-year trend/reconciliation context. Blocks only when historical trend calibration is used; explicit forecast growth does not consume it.</x:v>
      </x:c>
      <x:c r="H93" s="4" t="str">
        <x:v>Review original pre-cutoff fiscal accounts; record exact fiscal dates, units and reconciliation.</x:v>
      </x:c>
    </x:row>
    <x:row r="94" ht="90" customHeight="1">
      <x:c r="A94" s="4" t="str">
        <x:v>target.FY2022.operating_profit</x:v>
      </x:c>
      <x:c r="B94" s="4" t="n">
        <x:v>581</x:v>
      </x:c>
      <x:c r="C94" s="4" t="str">
        <x:v>verified fact</x:v>
      </x:c>
      <x:c r="D94" s="16" t="b">
        <x:v>0</x:v>
      </x:c>
      <x:c r="E94" s="4" t="str">
        <x:v>Exact observation supported by reviewed source: fl10k</x:v>
      </x:c>
      <x:c r="F94" s="4" t="str">
        <x:v>Operating forecast, EBITDA, working capital and debt-service cash flow</x:v>
      </x:c>
      <x:c r="G94" s="4" t="str">
        <x:v>Prior-year trend/reconciliation context. Blocks only when historical trend calibration is used; explicit forecast growth does not consume it.</x:v>
      </x:c>
      <x:c r="H94" s="4" t="str">
        <x:v>Review original pre-cutoff fiscal accounts; record exact fiscal dates, units and reconciliation.</x:v>
      </x:c>
    </x:row>
    <x:row r="95" ht="90" customHeight="1">
      <x:c r="A95" s="4" t="str">
        <x:v>target.FY2022.payables</x:v>
      </x:c>
      <x:c r="B95" s="4"/>
      <x:c r="C95" s="4" t="str">
        <x:v>missing evidence</x:v>
      </x:c>
      <x:c r="D95" s="16" t="b">
        <x:v>0</x:v>
      </x:c>
      <x:c r="E95" s="4" t="str">
        <x:v>Required observation absent</x:v>
      </x:c>
      <x:c r="F95" s="4" t="str">
        <x:v>Operating forecast, EBITDA, working capital and debt-service cash flow</x:v>
      </x:c>
      <x:c r="G95" s="4" t="str">
        <x:v>Prior-year trend/reconciliation context. Blocks only when historical trend calibration is used; explicit forecast growth does not consume it.</x:v>
      </x:c>
      <x:c r="H95" s="4" t="str">
        <x:v>Review original pre-cutoff fiscal accounts; record exact fiscal dates, units and reconciliation.</x:v>
      </x:c>
    </x:row>
    <x:row r="96" ht="90" customHeight="1">
      <x:c r="A96" s="4" t="str">
        <x:v>target.FY2022.receivables</x:v>
      </x:c>
      <x:c r="B96" s="4"/>
      <x:c r="C96" s="4" t="str">
        <x:v>missing evidence</x:v>
      </x:c>
      <x:c r="D96" s="16" t="b">
        <x:v>0</x:v>
      </x:c>
      <x:c r="E96" s="4" t="str">
        <x:v>Required observation absent</x:v>
      </x:c>
      <x:c r="F96" s="4" t="str">
        <x:v>Operating forecast, EBITDA, working capital and debt-service cash flow</x:v>
      </x:c>
      <x:c r="G96" s="4" t="str">
        <x:v>Prior-year trend/reconciliation context. Blocks only when historical trend calibration is used; explicit forecast growth does not consume it.</x:v>
      </x:c>
      <x:c r="H96" s="4" t="str">
        <x:v>Review original pre-cutoff fiscal accounts; record exact fiscal dates, units and reconciliation.</x:v>
      </x:c>
    </x:row>
    <x:row r="97" ht="90" customHeight="1">
      <x:c r="A97" s="4" t="str">
        <x:v>target.FY2022.revenue</x:v>
      </x:c>
      <x:c r="B97" s="4" t="n">
        <x:v>8759</x:v>
      </x:c>
      <x:c r="C97" s="4" t="str">
        <x:v>verified fact</x:v>
      </x:c>
      <x:c r="D97" s="16" t="b">
        <x:v>0</x:v>
      </x:c>
      <x:c r="E97" s="4" t="str">
        <x:v>Exact observation supported by reviewed source: fl10k</x:v>
      </x:c>
      <x:c r="F97" s="4" t="str">
        <x:v>Operating forecast, EBITDA, working capital and debt-service cash flow</x:v>
      </x:c>
      <x:c r="G97" s="4" t="str">
        <x:v>Prior-year trend/reconciliation context. Blocks only when historical trend calibration is used; explicit forecast growth does not consume it.</x:v>
      </x:c>
      <x:c r="H97" s="4" t="str">
        <x:v>Review original pre-cutoff fiscal accounts; record exact fiscal dates, units and reconciliation.</x:v>
      </x:c>
    </x:row>
    <x:row r="98" ht="90" customHeight="1">
      <x:c r="A98" s="4" t="str">
        <x:v>target.FY2022.taxes</x:v>
      </x:c>
      <x:c r="B98" s="4" t="n">
        <x:v>153</x:v>
      </x:c>
      <x:c r="C98" s="4" t="str">
        <x:v>verified fact</x:v>
      </x:c>
      <x:c r="D98" s="16" t="b">
        <x:v>0</x:v>
      </x:c>
      <x:c r="E98" s="4" t="str">
        <x:v>Exact observation supported by reviewed source: fl10k</x:v>
      </x:c>
      <x:c r="F98" s="4" t="str">
        <x:v>Operating forecast, EBITDA, working capital and debt-service cash flow</x:v>
      </x:c>
      <x:c r="G98" s="4" t="str">
        <x:v>Prior-year trend/reconciliation context. Blocks only when historical trend calibration is used; explicit forecast growth does not consume it.</x:v>
      </x:c>
      <x:c r="H98" s="4" t="str">
        <x:v>Review original pre-cutoff fiscal accounts; record exact fiscal dates, units and reconciliation.</x:v>
      </x:c>
    </x:row>
    <x:row r="99" ht="90" customHeight="1">
      <x:c r="A99" s="4" t="str">
        <x:v>target.FY2023.capex</x:v>
      </x:c>
      <x:c r="B99" s="4" t="n">
        <x:v>242</x:v>
      </x:c>
      <x:c r="C99" s="4" t="str">
        <x:v>verified fact</x:v>
      </x:c>
      <x:c r="D99" s="16" t="b">
        <x:v>0</x:v>
      </x:c>
      <x:c r="E99" s="4" t="str">
        <x:v>Exact observation supported by reviewed source: fl10k</x:v>
      </x:c>
      <x:c r="F99" s="4" t="str">
        <x:v>Operating forecast, EBITDA, working capital and debt-service cash flow</x:v>
      </x:c>
      <x:c r="G99" s="4" t="str">
        <x:v>Prior-year trend/reconciliation context. Blocks only when historical trend calibration is used; explicit forecast growth does not consume it.</x:v>
      </x:c>
      <x:c r="H99" s="4" t="str">
        <x:v>Review original pre-cutoff fiscal accounts; record exact fiscal dates, units and reconciliation.</x:v>
      </x:c>
    </x:row>
    <x:row r="100" ht="90" customHeight="1">
      <x:c r="A100" s="4" t="str">
        <x:v>target.FY2023.depreciation_amortisation</x:v>
      </x:c>
      <x:c r="B100" s="4" t="n">
        <x:v>199</x:v>
      </x:c>
      <x:c r="C100" s="4" t="str">
        <x:v>verified fact</x:v>
      </x:c>
      <x:c r="D100" s="16" t="b">
        <x:v>0</x:v>
      </x:c>
      <x:c r="E100" s="4" t="str">
        <x:v>Exact observation supported by reviewed source: fl10k</x:v>
      </x:c>
      <x:c r="F100" s="4" t="str">
        <x:v>Operating forecast, EBITDA, working capital and debt-service cash flow</x:v>
      </x:c>
      <x:c r="G100" s="4" t="str">
        <x:v>Prior-year trend/reconciliation context. Blocks only when historical trend calibration is used; explicit forecast growth does not consume it.</x:v>
      </x:c>
      <x:c r="H100" s="4" t="str">
        <x:v>Review original pre-cutoff fiscal accounts; record exact fiscal dates, units and reconciliation.</x:v>
      </x:c>
    </x:row>
    <x:row r="101" ht="90" customHeight="1">
      <x:c r="A101" s="4" t="str">
        <x:v>target.FY2023.dividends_buybacks_commitments</x:v>
      </x:c>
      <x:c r="B101" s="4"/>
      <x:c r="C101" s="4" t="str">
        <x:v>missing evidence</x:v>
      </x:c>
      <x:c r="D101" s="16" t="b">
        <x:v>0</x:v>
      </x:c>
      <x:c r="E101" s="4" t="str">
        <x:v>Required observation absent</x:v>
      </x:c>
      <x:c r="F101" s="4" t="str">
        <x:v>Operating forecast, EBITDA, working capital and debt-service cash flow</x:v>
      </x:c>
      <x:c r="G101" s="4" t="str">
        <x:v>Prior-year trend/reconciliation context. Blocks only when historical trend calibration is used; explicit forecast growth does not consume it.</x:v>
      </x:c>
      <x:c r="H101" s="4" t="str">
        <x:v>Review original pre-cutoff fiscal accounts; record exact fiscal dates, units and reconciliation.</x:v>
      </x:c>
    </x:row>
    <x:row r="102" ht="90" customHeight="1">
      <x:c r="A102" s="4" t="str">
        <x:v>target.FY2023.ebitda_reconciliation</x:v>
      </x:c>
      <x:c r="B102" s="4"/>
      <x:c r="C102" s="4" t="str">
        <x:v>missing evidence</x:v>
      </x:c>
      <x:c r="D102" s="16" t="b">
        <x:v>0</x:v>
      </x:c>
      <x:c r="E102" s="4" t="str">
        <x:v>Required observation absent</x:v>
      </x:c>
      <x:c r="F102" s="4" t="str">
        <x:v>Operating forecast, EBITDA, working capital and debt-service cash flow</x:v>
      </x:c>
      <x:c r="G102" s="4" t="str">
        <x:v>Prior-year trend/reconciliation context. Blocks only when historical trend calibration is used; explicit forecast growth does not consume it.</x:v>
      </x:c>
      <x:c r="H102" s="4" t="str">
        <x:v>Review original pre-cutoff fiscal accounts; record exact fiscal dates, units and reconciliation.</x:v>
      </x:c>
    </x:row>
    <x:row r="103" ht="90" customHeight="1">
      <x:c r="A103" s="4" t="str">
        <x:v>target.FY2023.inventory</x:v>
      </x:c>
      <x:c r="B103" s="4" t="n">
        <x:v>1509</x:v>
      </x:c>
      <x:c r="C103" s="4" t="str">
        <x:v>verified fact</x:v>
      </x:c>
      <x:c r="D103" s="16" t="b">
        <x:v>0</x:v>
      </x:c>
      <x:c r="E103" s="4" t="str">
        <x:v>Exact observation supported by reviewed source: fl10k</x:v>
      </x:c>
      <x:c r="F103" s="4" t="str">
        <x:v>Operating forecast, EBITDA, working capital and debt-service cash flow</x:v>
      </x:c>
      <x:c r="G103" s="4" t="str">
        <x:v>Prior-year trend/reconciliation context. Blocks only when historical trend calibration is used; explicit forecast growth does not consume it.</x:v>
      </x:c>
      <x:c r="H103" s="4" t="str">
        <x:v>Review original pre-cutoff fiscal accounts; record exact fiscal dates, units and reconciliation.</x:v>
      </x:c>
    </x:row>
    <x:row r="104" ht="90" customHeight="1">
      <x:c r="A104" s="4" t="str">
        <x:v>target.FY2023.lease_reconciliation</x:v>
      </x:c>
      <x:c r="B104" s="4"/>
      <x:c r="C104" s="4" t="str">
        <x:v>missing evidence</x:v>
      </x:c>
      <x:c r="D104" s="16" t="b">
        <x:v>0</x:v>
      </x:c>
      <x:c r="E104" s="4" t="str">
        <x:v>Required observation absent</x:v>
      </x:c>
      <x:c r="F104" s="4" t="str">
        <x:v>Operating forecast, EBITDA, working capital and debt-service cash flow</x:v>
      </x:c>
      <x:c r="G104" s="4" t="str">
        <x:v>Prior-year trend/reconciliation context. Blocks only when historical trend calibration is used; explicit forecast growth does not consume it.</x:v>
      </x:c>
      <x:c r="H104" s="4" t="str">
        <x:v>Review original pre-cutoff fiscal accounts; record exact fiscal dates, units and reconciliation.</x:v>
      </x:c>
    </x:row>
    <x:row r="105" ht="90" customHeight="1">
      <x:c r="A105" s="4" t="str">
        <x:v>target.FY2023.operating_cash_flow</x:v>
      </x:c>
      <x:c r="B105" s="4" t="n">
        <x:v>91</x:v>
      </x:c>
      <x:c r="C105" s="4" t="str">
        <x:v>verified fact</x:v>
      </x:c>
      <x:c r="D105" s="16" t="b">
        <x:v>0</x:v>
      </x:c>
      <x:c r="E105" s="4" t="str">
        <x:v>Exact observation supported by reviewed source: fl10k</x:v>
      </x:c>
      <x:c r="F105" s="4" t="str">
        <x:v>Operating forecast, EBITDA, working capital and debt-service cash flow</x:v>
      </x:c>
      <x:c r="G105" s="4" t="str">
        <x:v>Prior-year trend/reconciliation context. Blocks only when historical trend calibration is used; explicit forecast growth does not consume it.</x:v>
      </x:c>
      <x:c r="H105" s="4" t="str">
        <x:v>Review original pre-cutoff fiscal accounts; record exact fiscal dates, units and reconciliation.</x:v>
      </x:c>
    </x:row>
    <x:row r="106" ht="90" customHeight="1">
      <x:c r="A106" s="4" t="str">
        <x:v>target.FY2023.operating_profit</x:v>
      </x:c>
      <x:c r="B106" s="4" t="n">
        <x:v>142</x:v>
      </x:c>
      <x:c r="C106" s="4" t="str">
        <x:v>verified fact</x:v>
      </x:c>
      <x:c r="D106" s="16" t="b">
        <x:v>0</x:v>
      </x:c>
      <x:c r="E106" s="4" t="str">
        <x:v>Exact observation supported by reviewed source: fl10k</x:v>
      </x:c>
      <x:c r="F106" s="4" t="str">
        <x:v>Operating forecast, EBITDA, working capital and debt-service cash flow</x:v>
      </x:c>
      <x:c r="G106" s="4" t="str">
        <x:v>Prior-year trend/reconciliation context. Blocks only when historical trend calibration is used; explicit forecast growth does not consume it.</x:v>
      </x:c>
      <x:c r="H106" s="4" t="str">
        <x:v>Review original pre-cutoff fiscal accounts; record exact fiscal dates, units and reconciliation.</x:v>
      </x:c>
    </x:row>
    <x:row r="107" ht="90" customHeight="1">
      <x:c r="A107" s="4" t="str">
        <x:v>target.FY2023.payables</x:v>
      </x:c>
      <x:c r="B107" s="4" t="n">
        <x:v>366</x:v>
      </x:c>
      <x:c r="C107" s="4" t="str">
        <x:v>verified fact</x:v>
      </x:c>
      <x:c r="D107" s="16" t="b">
        <x:v>0</x:v>
      </x:c>
      <x:c r="E107" s="4" t="str">
        <x:v>Exact observation supported by reviewed source: fl10k</x:v>
      </x:c>
      <x:c r="F107" s="4" t="str">
        <x:v>Operating forecast, EBITDA, working capital and debt-service cash flow</x:v>
      </x:c>
      <x:c r="G107" s="4" t="str">
        <x:v>Prior-year trend/reconciliation context. Blocks only when historical trend calibration is used; explicit forecast growth does not consume it.</x:v>
      </x:c>
      <x:c r="H107" s="4" t="str">
        <x:v>Review original pre-cutoff fiscal accounts; record exact fiscal dates, units and reconciliation.</x:v>
      </x:c>
    </x:row>
    <x:row r="108" ht="90" customHeight="1">
      <x:c r="A108" s="4" t="str">
        <x:v>target.FY2023.receivables</x:v>
      </x:c>
      <x:c r="B108" s="4" t="n">
        <x:v>160</x:v>
      </x:c>
      <x:c r="C108" s="4" t="str">
        <x:v>verified fact</x:v>
      </x:c>
      <x:c r="D108" s="16" t="b">
        <x:v>0</x:v>
      </x:c>
      <x:c r="E108" s="4" t="str">
        <x:v>Exact observation supported by reviewed source: review_fl</x:v>
      </x:c>
      <x:c r="F108" s="4" t="str">
        <x:v>Operating forecast, EBITDA, working capital and debt-service cash flow</x:v>
      </x:c>
      <x:c r="G108" s="4" t="str">
        <x:v>Prior-year trend/reconciliation context. Blocks only when historical trend calibration is used; explicit forecast growth does not consume it.</x:v>
      </x:c>
      <x:c r="H108" s="4" t="str">
        <x:v>Review original pre-cutoff fiscal accounts; record exact fiscal dates, units and reconciliation.</x:v>
      </x:c>
    </x:row>
    <x:row r="109" ht="90" customHeight="1">
      <x:c r="A109" s="4" t="str">
        <x:v>target.FY2023.revenue</x:v>
      </x:c>
      <x:c r="B109" s="4" t="n">
        <x:v>8168</x:v>
      </x:c>
      <x:c r="C109" s="4" t="str">
        <x:v>verified fact</x:v>
      </x:c>
      <x:c r="D109" s="16" t="b">
        <x:v>0</x:v>
      </x:c>
      <x:c r="E109" s="4" t="str">
        <x:v>Exact observation supported by reviewed source: fl10k</x:v>
      </x:c>
      <x:c r="F109" s="4" t="str">
        <x:v>Operating forecast, EBITDA, working capital and debt-service cash flow</x:v>
      </x:c>
      <x:c r="G109" s="4" t="str">
        <x:v>Prior-year trend/reconciliation context. Blocks only when historical trend calibration is used; explicit forecast growth does not consume it.</x:v>
      </x:c>
      <x:c r="H109" s="4" t="str">
        <x:v>Review original pre-cutoff fiscal accounts; record exact fiscal dates, units and reconciliation.</x:v>
      </x:c>
    </x:row>
    <x:row r="110" ht="90" customHeight="1">
      <x:c r="A110" s="4" t="str">
        <x:v>target.FY2023.taxes</x:v>
      </x:c>
      <x:c r="B110" s="4" t="n">
        <x:v>97</x:v>
      </x:c>
      <x:c r="C110" s="4" t="str">
        <x:v>verified fact</x:v>
      </x:c>
      <x:c r="D110" s="16" t="b">
        <x:v>0</x:v>
      </x:c>
      <x:c r="E110" s="4" t="str">
        <x:v>Exact observation supported by reviewed source: fl10k</x:v>
      </x:c>
      <x:c r="F110" s="4" t="str">
        <x:v>Operating forecast, EBITDA, working capital and debt-service cash flow</x:v>
      </x:c>
      <x:c r="G110" s="4" t="str">
        <x:v>Prior-year trend/reconciliation context. Blocks only when historical trend calibration is used; explicit forecast growth does not consume it.</x:v>
      </x:c>
      <x:c r="H110" s="4" t="str">
        <x:v>Review original pre-cutoff fiscal accounts; record exact fiscal dates, units and reconciliation.</x:v>
      </x:c>
    </x:row>
    <x:row r="111" ht="90" customHeight="1">
      <x:c r="A111" s="4" t="str">
        <x:v>target.FY2024.capex</x:v>
      </x:c>
      <x:c r="B111" s="4" t="n">
        <x:v>240</x:v>
      </x:c>
      <x:c r="C111" s="4" t="str">
        <x:v>verified fact</x:v>
      </x:c>
      <x:c r="D111" s="16" t="b">
        <x:v>1</x:v>
      </x:c>
      <x:c r="E111" s="4" t="str">
        <x:v>Exact observation supported by reviewed source: fl10k</x:v>
      </x:c>
      <x:c r="F111" s="4" t="str">
        <x:v>Operating forecast, EBITDA, working capital and debt-service cash flow</x:v>
      </x:c>
      <x:c r="G111" s="4" t="str">
        <x:v>Latest standalone operating base drives forecast EBITDA, cash taxes, working capital and cash available for debt service.</x:v>
      </x:c>
      <x:c r="H111" s="4" t="str">
        <x:v>Review original pre-cutoff fiscal accounts; record exact fiscal dates, units and reconciliation.</x:v>
      </x:c>
    </x:row>
    <x:row r="112" ht="90" customHeight="1">
      <x:c r="A112" s="4" t="str">
        <x:v>target.FY2024.depreciation_amortisation</x:v>
      </x:c>
      <x:c r="B112" s="4" t="n">
        <x:v>202</x:v>
      </x:c>
      <x:c r="C112" s="4" t="str">
        <x:v>verified fact</x:v>
      </x:c>
      <x:c r="D112" s="16" t="b">
        <x:v>1</x:v>
      </x:c>
      <x:c r="E112" s="4" t="str">
        <x:v>Exact observation supported by reviewed source: fl10k</x:v>
      </x:c>
      <x:c r="F112" s="4" t="str">
        <x:v>Operating forecast, EBITDA, working capital and debt-service cash flow</x:v>
      </x:c>
      <x:c r="G112" s="4" t="str">
        <x:v>Latest standalone operating base drives forecast EBITDA, cash taxes, working capital and cash available for debt service.</x:v>
      </x:c>
      <x:c r="H112" s="4" t="str">
        <x:v>Review original pre-cutoff fiscal accounts; record exact fiscal dates, units and reconciliation.</x:v>
      </x:c>
    </x:row>
    <x:row r="113" ht="90" customHeight="1">
      <x:c r="A113" s="4" t="str">
        <x:v>target.FY2024.dividends_buybacks_commitments</x:v>
      </x:c>
      <x:c r="B113" s="4"/>
      <x:c r="C113" s="4" t="str">
        <x:v>missing evidence</x:v>
      </x:c>
      <x:c r="D113" s="16" t="b">
        <x:v>1</x:v>
      </x:c>
      <x:c r="E113" s="4" t="str">
        <x:v>Required observation absent</x:v>
      </x:c>
      <x:c r="F113" s="4" t="str">
        <x:v>Operating forecast, EBITDA, working capital and debt-service cash flow</x:v>
      </x:c>
      <x:c r="G113" s="4" t="str">
        <x:v>Contractual capital commitments can compete with debt service; discretionary future distributions are separate explicit assumptions.</x:v>
      </x:c>
      <x:c r="H113" s="4" t="str">
        <x:v>Review original pre-cutoff fiscal accounts; record exact fiscal dates, units and reconciliation.</x:v>
      </x:c>
    </x:row>
    <x:row r="114" ht="90" customHeight="1">
      <x:c r="A114" s="4" t="str">
        <x:v>target.FY2024.ebitda_reconciliation</x:v>
      </x:c>
      <x:c r="B114" s="4" t="n">
        <x:v>305</x:v>
      </x:c>
      <x:c r="C114" s="4" t="str">
        <x:v>verified fact</x:v>
      </x:c>
      <x:c r="D114" s="16" t="b">
        <x:v>1</x:v>
      </x:c>
      <x:c r="E114" s="4" t="str">
        <x:v>Derived from verified inputs: target.FY2024.operating_profit + target.FY2024.depreciation_amortisation. Simple operating EBITDA; not adjusted EBITDA or contractual EBITDAR.</x:v>
      </x:c>
      <x:c r="F114" s="4" t="str">
        <x:v>Operating forecast, EBITDA, working capital and debt-service cash flow</x:v>
      </x:c>
      <x:c r="G114" s="4" t="str">
        <x:v>Latest standalone operating base drives forecast EBITDA, cash taxes, working capital and cash available for debt service.</x:v>
      </x:c>
      <x:c r="H114" s="4" t="str">
        <x:v>Review original pre-cutoff fiscal accounts; record exact fiscal dates, units and reconciliation.</x:v>
      </x:c>
    </x:row>
    <x:row r="115" ht="90" customHeight="1">
      <x:c r="A115" s="4" t="str">
        <x:v>target.FY2024.inventory</x:v>
      </x:c>
      <x:c r="B115" s="4" t="n">
        <x:v>1525</x:v>
      </x:c>
      <x:c r="C115" s="4" t="str">
        <x:v>verified fact</x:v>
      </x:c>
      <x:c r="D115" s="16" t="b">
        <x:v>1</x:v>
      </x:c>
      <x:c r="E115" s="4" t="str">
        <x:v>Exact observation supported by reviewed source: fl10k</x:v>
      </x:c>
      <x:c r="F115" s="4" t="str">
        <x:v>Operating forecast, EBITDA, working capital and debt-service cash flow</x:v>
      </x:c>
      <x:c r="G115" s="4" t="str">
        <x:v>Latest standalone operating base drives forecast EBITDA, cash taxes, working capital and cash available for debt service.</x:v>
      </x:c>
      <x:c r="H115" s="4" t="str">
        <x:v>Review original pre-cutoff fiscal accounts; record exact fiscal dates, units and reconciliation.</x:v>
      </x:c>
    </x:row>
    <x:row r="116" ht="90" customHeight="1">
      <x:c r="A116" s="4" t="str">
        <x:v>target.FY2024.lease_reconciliation</x:v>
      </x:c>
      <x:c r="B116" s="4"/>
      <x:c r="C116" s="4" t="str">
        <x:v>missing evidence</x:v>
      </x:c>
      <x:c r="D116" s="16" t="b">
        <x:v>1</x:v>
      </x:c>
      <x:c r="E116" s="4" t="str">
        <x:v>Required observation absent</x:v>
      </x:c>
      <x:c r="F116" s="4" t="str">
        <x:v>Operating forecast, EBITDA, working capital and debt-service cash flow</x:v>
      </x:c>
      <x:c r="G116" s="4" t="str">
        <x:v>Latest standalone operating base drives forecast EBITDA, cash taxes, working capital and cash available for debt service.</x:v>
      </x:c>
      <x:c r="H116" s="4" t="str">
        <x:v>Review original pre-cutoff fiscal accounts; record exact fiscal dates, units and reconciliation.</x:v>
      </x:c>
    </x:row>
    <x:row r="117" ht="90" customHeight="1">
      <x:c r="A117" s="4" t="str">
        <x:v>target.FY2024.operating_cash_flow</x:v>
      </x:c>
      <x:c r="B117" s="4" t="n">
        <x:v>345</x:v>
      </x:c>
      <x:c r="C117" s="4" t="str">
        <x:v>verified fact</x:v>
      </x:c>
      <x:c r="D117" s="16" t="b">
        <x:v>1</x:v>
      </x:c>
      <x:c r="E117" s="4" t="str">
        <x:v>Exact observation supported by reviewed source: fl10k</x:v>
      </x:c>
      <x:c r="F117" s="4" t="str">
        <x:v>Operating forecast, EBITDA, working capital and debt-service cash flow</x:v>
      </x:c>
      <x:c r="G117" s="4" t="str">
        <x:v>Latest standalone operating base drives forecast EBITDA, cash taxes, working capital and cash available for debt service.</x:v>
      </x:c>
      <x:c r="H117" s="4" t="str">
        <x:v>Review original pre-cutoff fiscal accounts; record exact fiscal dates, units and reconciliation.</x:v>
      </x:c>
    </x:row>
    <x:row r="118" ht="90" customHeight="1">
      <x:c r="A118" s="4" t="str">
        <x:v>target.FY2024.operating_profit</x:v>
      </x:c>
      <x:c r="B118" s="4" t="n">
        <x:v>103</x:v>
      </x:c>
      <x:c r="C118" s="4" t="str">
        <x:v>verified fact</x:v>
      </x:c>
      <x:c r="D118" s="16" t="b">
        <x:v>1</x:v>
      </x:c>
      <x:c r="E118" s="4" t="str">
        <x:v>Exact observation supported by reviewed source: fl10k</x:v>
      </x:c>
      <x:c r="F118" s="4" t="str">
        <x:v>Operating forecast, EBITDA, working capital and debt-service cash flow</x:v>
      </x:c>
      <x:c r="G118" s="4" t="str">
        <x:v>Latest standalone operating base drives forecast EBITDA, cash taxes, working capital and cash available for debt service.</x:v>
      </x:c>
      <x:c r="H118" s="4" t="str">
        <x:v>Review original pre-cutoff fiscal accounts; record exact fiscal dates, units and reconciliation.</x:v>
      </x:c>
    </x:row>
    <x:row r="119" ht="90" customHeight="1">
      <x:c r="A119" s="4" t="str">
        <x:v>target.FY2024.payables</x:v>
      </x:c>
      <x:c r="B119" s="4" t="n">
        <x:v>378</x:v>
      </x:c>
      <x:c r="C119" s="4" t="str">
        <x:v>verified fact</x:v>
      </x:c>
      <x:c r="D119" s="16" t="b">
        <x:v>1</x:v>
      </x:c>
      <x:c r="E119" s="4" t="str">
        <x:v>Exact observation supported by reviewed source: fl10k</x:v>
      </x:c>
      <x:c r="F119" s="4" t="str">
        <x:v>Operating forecast, EBITDA, working capital and debt-service cash flow</x:v>
      </x:c>
      <x:c r="G119" s="4" t="str">
        <x:v>Latest standalone operating base drives forecast EBITDA, cash taxes, working capital and cash available for debt service.</x:v>
      </x:c>
      <x:c r="H119" s="4" t="str">
        <x:v>Review original pre-cutoff fiscal accounts; record exact fiscal dates, units and reconciliation.</x:v>
      </x:c>
    </x:row>
    <x:row r="120" ht="90" customHeight="1">
      <x:c r="A120" s="4" t="str">
        <x:v>target.FY2024.receivables</x:v>
      </x:c>
      <x:c r="B120" s="4" t="n">
        <x:v>156</x:v>
      </x:c>
      <x:c r="C120" s="4" t="str">
        <x:v>verified fact</x:v>
      </x:c>
      <x:c r="D120" s="16" t="b">
        <x:v>1</x:v>
      </x:c>
      <x:c r="E120" s="4" t="str">
        <x:v>Exact observation supported by reviewed source: review_fl</x:v>
      </x:c>
      <x:c r="F120" s="4" t="str">
        <x:v>Operating forecast, EBITDA, working capital and debt-service cash flow</x:v>
      </x:c>
      <x:c r="G120" s="4" t="str">
        <x:v>Latest standalone operating base drives forecast EBITDA, cash taxes, working capital and cash available for debt service.</x:v>
      </x:c>
      <x:c r="H120" s="4" t="str">
        <x:v>Review original pre-cutoff fiscal accounts; record exact fiscal dates, units and reconciliation.</x:v>
      </x:c>
    </x:row>
    <x:row r="121" ht="90" customHeight="1">
      <x:c r="A121" s="4" t="str">
        <x:v>target.FY2024.revenue</x:v>
      </x:c>
      <x:c r="B121" s="4" t="n">
        <x:v>7988</x:v>
      </x:c>
      <x:c r="C121" s="4" t="str">
        <x:v>verified fact</x:v>
      </x:c>
      <x:c r="D121" s="16" t="b">
        <x:v>1</x:v>
      </x:c>
      <x:c r="E121" s="4" t="str">
        <x:v>Exact observation supported by reviewed source: fl10k</x:v>
      </x:c>
      <x:c r="F121" s="4" t="str">
        <x:v>Operating forecast, EBITDA, working capital and debt-service cash flow</x:v>
      </x:c>
      <x:c r="G121" s="4" t="str">
        <x:v>Latest standalone operating base drives forecast EBITDA, cash taxes, working capital and cash available for debt service.</x:v>
      </x:c>
      <x:c r="H121" s="4" t="str">
        <x:v>Review original pre-cutoff fiscal accounts; record exact fiscal dates, units and reconciliation.</x:v>
      </x:c>
    </x:row>
    <x:row r="122" ht="90" customHeight="1">
      <x:c r="A122" s="4" t="str">
        <x:v>target.FY2024.taxes</x:v>
      </x:c>
      <x:c r="B122" s="4" t="n">
        <x:v>76</x:v>
      </x:c>
      <x:c r="C122" s="4" t="str">
        <x:v>verified fact</x:v>
      </x:c>
      <x:c r="D122" s="16" t="b">
        <x:v>1</x:v>
      </x:c>
      <x:c r="E122" s="4" t="str">
        <x:v>Exact observation supported by reviewed source: fl10k</x:v>
      </x:c>
      <x:c r="F122" s="4" t="str">
        <x:v>Operating forecast, EBITDA, working capital and debt-service cash flow</x:v>
      </x:c>
      <x:c r="G122" s="4" t="str">
        <x:v>Latest standalone operating base drives forecast EBITDA, cash taxes, working capital and cash available for debt service.</x:v>
      </x:c>
      <x:c r="H122" s="4" t="str">
        <x:v>Review original pre-cutoff fiscal accounts; record exact fiscal dates, units and reconciliation.</x:v>
      </x:c>
    </x:row>
    <x:row r="123" ht="90" customHeight="1">
      <x:c r="A123" s="4" t="str">
        <x:v>target.debt.borrowing_base_and_letters_of_credit</x:v>
      </x:c>
      <x:c r="B123" s="4"/>
      <x:c r="C123" s="4" t="str">
        <x:v>missing evidence</x:v>
      </x:c>
      <x:c r="D123" s="16" t="b">
        <x:v>1</x:v>
      </x:c>
      <x:c r="E123" s="4" t="str">
        <x:v>Required observation absent</x:v>
      </x:c>
      <x:c r="F123" s="4" t="str">
        <x:v>Revolver draw limits</x:v>
      </x:c>
      <x:c r="G123" s="4" t="str">
        <x:v>Instrument rights determine mandatory repayments, coupon resets and legally available borrowing; numerical solvency cannot replace contract evidence.</x:v>
      </x:c>
      <x:c r="H123" s="4" t="str">
        <x:v>Review debt notes and executed agreements for every instrument; reconcile totals, cite sections and document any non-applicability.</x:v>
      </x:c>
    </x:row>
    <x:row r="124" ht="90" customHeight="1">
      <x:c r="A124" s="4" t="str">
        <x:v>target.debt.change_of_control</x:v>
      </x:c>
      <x:c r="B124" s="4"/>
      <x:c r="C124" s="4" t="str">
        <x:v>missing evidence</x:v>
      </x:c>
      <x:c r="D124" s="16" t="b">
        <x:v>1</x:v>
      </x:c>
      <x:c r="E124" s="4" t="str">
        <x:v>Required observation absent</x:v>
      </x:c>
      <x:c r="F124" s="4" t="str">
        <x:v>Required repayment and retained debt</x:v>
      </x:c>
      <x:c r="G124" s="4" t="str">
        <x:v>Instrument rights determine mandatory repayments, coupon resets and legally available borrowing; numerical solvency cannot replace contract evidence.</x:v>
      </x:c>
      <x:c r="H124" s="4" t="str">
        <x:v>Review debt notes and executed agreements for every instrument; reconcile totals, cite sections and document any non-applicability.</x:v>
      </x:c>
    </x:row>
    <x:row r="125" ht="90" customHeight="1">
      <x:c r="A125" s="4" t="str">
        <x:v>target.debt.coupons_and_resets</x:v>
      </x:c>
      <x:c r="B125" s="4"/>
      <x:c r="C125" s="4" t="str">
        <x:v>missing evidence</x:v>
      </x:c>
      <x:c r="D125" s="16" t="b">
        <x:v>1</x:v>
      </x:c>
      <x:c r="E125" s="4" t="str">
        <x:v>Required observation absent</x:v>
      </x:c>
      <x:c r="F125" s="4" t="str">
        <x:v>Cash interest and rate stress</x:v>
      </x:c>
      <x:c r="G125" s="4" t="str">
        <x:v>Instrument rights determine mandatory repayments, coupon resets and legally available borrowing; numerical solvency cannot replace contract evidence.</x:v>
      </x:c>
      <x:c r="H125" s="4" t="str">
        <x:v>Review debt notes and executed agreements for every instrument; reconcile totals, cite sections and document any non-applicability.</x:v>
      </x:c>
    </x:row>
    <x:row r="126" ht="90" customHeight="1">
      <x:c r="A126" s="4" t="str">
        <x:v>target.debt.covenants_and_restricted_payments</x:v>
      </x:c>
      <x:c r="B126" s="4"/>
      <x:c r="C126" s="4" t="str">
        <x:v>missing evidence</x:v>
      </x:c>
      <x:c r="D126" s="16" t="b">
        <x:v>1</x:v>
      </x:c>
      <x:c r="E126" s="4" t="str">
        <x:v>Required observation absent</x:v>
      </x:c>
      <x:c r="F126" s="4" t="str">
        <x:v>Borrowing eligibility and capital allocation</x:v>
      </x:c>
      <x:c r="G126" s="4" t="str">
        <x:v>Instrument rights determine mandatory repayments, coupon resets and legally available borrowing; numerical solvency cannot replace contract evidence.</x:v>
      </x:c>
      <x:c r="H126" s="4" t="str">
        <x:v>Review debt notes and executed agreements for every instrument; reconcile totals, cite sections and document any non-applicability.</x:v>
      </x:c>
    </x:row>
    <x:row r="127" ht="90" customHeight="1">
      <x:c r="A127" s="4" t="str">
        <x:v>target.debt.instrument_inventory</x:v>
      </x:c>
      <x:c r="B127" s="4"/>
      <x:c r="C127" s="4" t="str">
        <x:v>missing evidence</x:v>
      </x:c>
      <x:c r="D127" s="16" t="b">
        <x:v>1</x:v>
      </x:c>
      <x:c r="E127" s="4" t="str">
        <x:v>Required observation absent</x:v>
      </x:c>
      <x:c r="F127" s="4" t="str">
        <x:v>Completeness of instrument debt schedule</x:v>
      </x:c>
      <x:c r="G127" s="4" t="str">
        <x:v>Instrument rights determine mandatory repayments, coupon resets and legally available borrowing; numerical solvency cannot replace contract evidence.</x:v>
      </x:c>
      <x:c r="H127" s="4" t="str">
        <x:v>Review debt notes and executed agreements for every instrument; reconcile totals, cite sections and document any non-applicability.</x:v>
      </x:c>
    </x:row>
    <x:row r="128" ht="90" customHeight="1">
      <x:c r="A128" s="4" t="str">
        <x:v>target.debt.maturity_and_amortisation_schedule</x:v>
      </x:c>
      <x:c r="B128" s="4"/>
      <x:c r="C128" s="4" t="str">
        <x:v>missing evidence</x:v>
      </x:c>
      <x:c r="D128" s="16" t="b">
        <x:v>1</x:v>
      </x:c>
      <x:c r="E128" s="4" t="str">
        <x:v>Required observation absent</x:v>
      </x:c>
      <x:c r="F128" s="4" t="str">
        <x:v>Mandatory repayments and maturity gaps</x:v>
      </x:c>
      <x:c r="G128" s="4" t="str">
        <x:v>Instrument rights determine mandatory repayments, coupon resets and legally available borrowing; numerical solvency cannot replace contract evidence.</x:v>
      </x:c>
      <x:c r="H128" s="4" t="str">
        <x:v>Review debt notes and executed agreements for every instrument; reconcile totals, cite sections and document any non-applicability.</x:v>
      </x:c>
    </x:row>
    <x:row r="129" ht="90" customHeight="1">
      <x:c r="A129" s="4" t="str">
        <x:v>target.debt.refinancing_and_repricing</x:v>
      </x:c>
      <x:c r="B129" s="4"/>
      <x:c r="C129" s="4" t="str">
        <x:v>missing evidence</x:v>
      </x:c>
      <x:c r="D129" s="16" t="b">
        <x:v>1</x:v>
      </x:c>
      <x:c r="E129" s="4" t="str">
        <x:v>Required observation absent</x:v>
      </x:c>
      <x:c r="F129" s="4" t="str">
        <x:v>Refinancing dependence and debt service</x:v>
      </x:c>
      <x:c r="G129" s="4" t="str">
        <x:v>Instrument rights determine mandatory repayments, coupon resets and legally available borrowing; numerical solvency cannot replace contract evidence.</x:v>
      </x:c>
      <x:c r="H129" s="4" t="str">
        <x:v>Review debt notes and executed agreements for every instrument; reconcile totals, cite sections and document any non-applicability.</x:v>
      </x:c>
    </x:row>
    <x:row r="130" ht="90" customHeight="1">
      <x:c r="A130" s="4" t="str">
        <x:v>target.debt.revolver_commitments</x:v>
      </x:c>
      <x:c r="B130" s="4" t="str">
        <x:v>{"commitment": 600.0, "drawn": 0.0, "maturity_date": "2029-06-20", "uncommitted_total_ceiling_excluded": 750.0}</x:v>
      </x:c>
      <x:c r="C130" s="4" t="str">
        <x:v>verified fact</x:v>
      </x:c>
      <x:c r="D130" s="16" t="b">
        <x:v>1</x:v>
      </x:c>
      <x:c r="E130" s="4" t="str">
        <x:v>Exact observation supported by reviewed source: review_fl</x:v>
      </x:c>
      <x:c r="F130" s="4" t="str">
        <x:v>Eligible committed liquidity</x:v>
      </x:c>
      <x:c r="G130" s="4" t="str">
        <x:v>Instrument rights determine mandatory repayments, coupon resets and legally available borrowing; numerical solvency cannot replace contract evidence.</x:v>
      </x:c>
      <x:c r="H130" s="4" t="str">
        <x:v>Review debt notes and executed agreements for every instrument; reconcile totals, cite sections and document any non-applicability.</x:v>
      </x:c>
    </x:row>
    <x:row r="131" ht="90" customHeight="1">
      <x:c r="A131" s="4" t="str">
        <x:v>target.opening.cash_restrictions</x:v>
      </x:c>
      <x:c r="B131" s="4"/>
      <x:c r="C131" s="4" t="str">
        <x:v>missing evidence</x:v>
      </x:c>
      <x:c r="D131" s="16" t="b">
        <x:v>1</x:v>
      </x:c>
      <x:c r="E131" s="4" t="str">
        <x:v>Required observation absent</x:v>
      </x:c>
      <x:c r="F131" s="4" t="str">
        <x:v>Opening liquidity, retained debt, cash deployment and leverage</x:v>
      </x:c>
      <x:c r="G131" s="4" t="str">
        <x:v>Opening liquidity and debt determine spendable cash, financing need and net leverage; a wrong balance can falsely imply funding.</x:v>
      </x:c>
      <x:c r="H131" s="4" t="str">
        <x:v>Reconcile latest pre-cutoff balance sheet and notes, with balance date and units.</x:v>
      </x:c>
    </x:row>
    <x:row r="132" ht="90" customHeight="1">
      <x:c r="A132" s="4" t="str">
        <x:v>target.opening.debt_carrying_value</x:v>
      </x:c>
      <x:c r="B132" s="4" t="n">
        <x:v>446</x:v>
      </x:c>
      <x:c r="C132" s="4" t="str">
        <x:v>verified fact</x:v>
      </x:c>
      <x:c r="D132" s="16" t="b">
        <x:v>0</x:v>
      </x:c>
      <x:c r="E132" s="4" t="str">
        <x:v>Exact observation supported by reviewed source: fl10k</x:v>
      </x:c>
      <x:c r="F132" s="4" t="str">
        <x:v>Opening liquidity, retained debt, cash deployment and leverage</x:v>
      </x:c>
      <x:c r="G132" s="4" t="str">
        <x:v>Accounting reconciliation only; cash debt service uses verified principal, not carrying value. Missing reconciliation remains disclosed.</x:v>
      </x:c>
      <x:c r="H132" s="4" t="str">
        <x:v>Reconcile latest pre-cutoff balance sheet and notes, with balance date and units.</x:v>
      </x:c>
    </x:row>
    <x:row r="133" ht="90" customHeight="1">
      <x:c r="A133" s="4" t="str">
        <x:v>target.opening.debt_principal</x:v>
      </x:c>
      <x:c r="B133" s="4" t="n">
        <x:v>450</x:v>
      </x:c>
      <x:c r="C133" s="4" t="str">
        <x:v>verified fact</x:v>
      </x:c>
      <x:c r="D133" s="16" t="b">
        <x:v>1</x:v>
      </x:c>
      <x:c r="E133" s="4" t="str">
        <x:v>Derived from verified inputs: detail.target.notes_principal + detail.target.finance_lease. Includes finance-lease liability; excludes operating leases.</x:v>
      </x:c>
      <x:c r="F133" s="4" t="str">
        <x:v>Opening liquidity, retained debt, cash deployment and leverage</x:v>
      </x:c>
      <x:c r="G133" s="4" t="str">
        <x:v>Opening liquidity and debt determine spendable cash, financing need and net leverage; a wrong balance can falsely imply funding.</x:v>
      </x:c>
      <x:c r="H133" s="4" t="str">
        <x:v>Reconcile latest pre-cutoff balance sheet and notes, with balance date and units.</x:v>
      </x:c>
    </x:row>
    <x:row r="134" ht="90" customHeight="1">
      <x:c r="A134" s="4" t="str">
        <x:v>target.opening.unrestricted_cash</x:v>
      </x:c>
      <x:c r="B134" s="4"/>
      <x:c r="C134" s="4" t="str">
        <x:v>missing evidence</x:v>
      </x:c>
      <x:c r="D134" s="16" t="b">
        <x:v>1</x:v>
      </x:c>
      <x:c r="E134" s="4" t="str">
        <x:v>Required observation absent</x:v>
      </x:c>
      <x:c r="F134" s="4" t="str">
        <x:v>Opening liquidity, retained debt, cash deployment and leverage</x:v>
      </x:c>
      <x:c r="G134" s="4" t="str">
        <x:v>Opening liquidity and debt determine spendable cash, financing need and net leverage; a wrong balance can falsely imply funding.</x:v>
      </x:c>
      <x:c r="H134" s="4" t="str">
        <x:v>Reconcile latest pre-cutoff balance sheet and notes, with balance date and units.</x:v>
      </x:c>
    </x:row>
    <x:row r="135" ht="90" customHeight="1">
      <x:c r="A135" s="4" t="str">
        <x:v>transaction.cash_price</x:v>
      </x:c>
      <x:c r="B135" s="4" t="n">
        <x:v>24</x:v>
      </x:c>
      <x:c r="C135" s="4" t="str">
        <x:v>verified fact</x:v>
      </x:c>
      <x:c r="D135" s="16" t="b">
        <x:v>1</x:v>
      </x:c>
      <x:c r="E135" s="4" t="str">
        <x:v>Exact observation supported by reviewed source: announcement</x:v>
      </x:c>
      <x:c r="F135" s="4" t="str">
        <x:v>Consideration bridge, cash uses, stock issuance and synergy scenarios</x:v>
      </x:c>
      <x:c r="G135" s="4" t="str">
        <x:v>Material transaction or unregistered model dependency: unsupported consideration or scope can change financing needs.</x:v>
      </x:c>
      <x:c r="H135" s="4" t="str">
        <x:v>Review pre-cutoff announcement/merger agreement; record exact term and section.</x:v>
      </x:c>
    </x:row>
    <x:row r="136" ht="90" customHeight="1">
      <x:c r="A136" s="4" t="str">
        <x:v>transaction.election_restrictions</x:v>
      </x:c>
      <x:c r="B136" s="4" t="str">
        <x:v>No minimum or maximum cash/stock election amount</x:v>
      </x:c>
      <x:c r="C136" s="4" t="str">
        <x:v>verified fact</x:v>
      </x:c>
      <x:c r="D136" s="16" t="b">
        <x:v>1</x:v>
      </x:c>
      <x:c r="E136" s="4" t="str">
        <x:v>Exact observation supported by reviewed source: announcement</x:v>
      </x:c>
      <x:c r="F136" s="4" t="str">
        <x:v>Consideration bridge, cash uses, stock issuance and synergy scenarios</x:v>
      </x:c>
      <x:c r="G136" s="4" t="str">
        <x:v>Material transaction or unregistered model dependency: unsupported consideration or scope can change financing needs.</x:v>
      </x:c>
      <x:c r="H136" s="4" t="str">
        <x:v>Review pre-cutoff announcement/merger agreement; record exact term and section.</x:v>
      </x:c>
    </x:row>
    <x:row r="137" ht="90" customHeight="1">
      <x:c r="A137" s="4" t="str">
        <x:v>transaction.enterprise_value</x:v>
      </x:c>
      <x:c r="B137" s="4" t="n">
        <x:v>2500</x:v>
      </x:c>
      <x:c r="C137" s="4" t="str">
        <x:v>verified fact</x:v>
      </x:c>
      <x:c r="D137" s="16" t="b">
        <x:v>0</x:v>
      </x:c>
      <x:c r="E137" s="4" t="str">
        <x:v>Exact observation supported by reviewed source: announcement</x:v>
      </x:c>
      <x:c r="F137" s="4" t="str">
        <x:v>Consideration bridge, cash uses, stock issuance and synergy scenarios</x:v>
      </x:c>
      <x:c r="G137" s="4" t="str">
        <x:v>Headline comparison only. Consideration is calculated from verified price, shares and award treatment; discrepancies remain disclosed.</x:v>
      </x:c>
      <x:c r="H137" s="4" t="str">
        <x:v>Review pre-cutoff announcement/merger agreement; record exact term and section.</x:v>
      </x:c>
    </x:row>
    <x:row r="138" ht="90" customHeight="1">
      <x:c r="A138" s="4" t="str">
        <x:v>transaction.equity_value</x:v>
      </x:c>
      <x:c r="B138" s="4" t="n">
        <x:v>2400</x:v>
      </x:c>
      <x:c r="C138" s="4" t="str">
        <x:v>verified fact</x:v>
      </x:c>
      <x:c r="D138" s="16" t="b">
        <x:v>0</x:v>
      </x:c>
      <x:c r="E138" s="4" t="str">
        <x:v>Exact observation supported by reviewed source: announcement</x:v>
      </x:c>
      <x:c r="F138" s="4" t="str">
        <x:v>Consideration bridge, cash uses, stock issuance and synergy scenarios</x:v>
      </x:c>
      <x:c r="G138" s="4" t="str">
        <x:v>Headline comparison only. Consideration is calculated from verified price, shares and award treatment; discrepancies remain disclosed.</x:v>
      </x:c>
      <x:c r="H138" s="4" t="str">
        <x:v>Review pre-cutoff announcement/merger agreement; record exact term and section.</x:v>
      </x:c>
    </x:row>
    <x:row r="139" ht="90" customHeight="1">
      <x:c r="A139" s="4" t="str">
        <x:v>transaction.exchange_ratio</x:v>
      </x:c>
      <x:c r="B139" s="4" t="n">
        <x:v>0.1168</x:v>
      </x:c>
      <x:c r="C139" s="4" t="str">
        <x:v>verified fact</x:v>
      </x:c>
      <x:c r="D139" s="16" t="b">
        <x:v>1</x:v>
      </x:c>
      <x:c r="E139" s="4" t="str">
        <x:v>Exact observation supported by reviewed source: announcement</x:v>
      </x:c>
      <x:c r="F139" s="4" t="str">
        <x:v>Consideration bridge, cash uses, stock issuance and synergy scenarios</x:v>
      </x:c>
      <x:c r="G139" s="4" t="str">
        <x:v>Material transaction or unregistered model dependency: unsupported consideration or scope can change financing needs.</x:v>
      </x:c>
      <x:c r="H139" s="4" t="str">
        <x:v>Review pre-cutoff announcement/merger agreement; record exact term and section.</x:v>
      </x:c>
    </x:row>
    <x:row r="140" ht="90" customHeight="1">
      <x:c r="A140" s="4" t="str">
        <x:v>transaction.share_and_award_treatment</x:v>
      </x:c>
      <x:c r="B140" s="4"/>
      <x:c r="C140" s="4" t="str">
        <x:v>missing evidence</x:v>
      </x:c>
      <x:c r="D140" s="16" t="b">
        <x:v>1</x:v>
      </x:c>
      <x:c r="E140" s="4" t="str">
        <x:v>Required observation absent</x:v>
      </x:c>
      <x:c r="F140" s="4" t="str">
        <x:v>Consideration bridge, cash uses, stock issuance and synergy scenarios</x:v>
      </x:c>
      <x:c r="G140" s="4" t="str">
        <x:v>Material transaction or unregistered model dependency: unsupported consideration or scope can change financing needs.</x:v>
      </x:c>
      <x:c r="H140" s="4" t="str">
        <x:v>Review pre-cutoff announcement/merger agreement; record exact term and section.</x:v>
      </x:c>
    </x:row>
    <x:row r="141" ht="90" customHeight="1">
      <x:c r="A141" s="4" t="str">
        <x:v>transaction.synergy_guidance</x:v>
      </x:c>
      <x:c r="B141" s="4" t="str">
        <x:v>[100.0, 125.0]</x:v>
      </x:c>
      <x:c r="C141" s="4" t="str">
        <x:v>verified fact</x:v>
      </x:c>
      <x:c r="D141" s="16" t="b">
        <x:v>1</x:v>
      </x:c>
      <x:c r="E141" s="4" t="str">
        <x:v>Exact observation supported by reviewed source: announcement</x:v>
      </x:c>
      <x:c r="F141" s="4" t="str">
        <x:v>Consideration bridge, cash uses, stock issuance and synergy scenarios</x:v>
      </x:c>
      <x:c r="G141" s="4" t="str">
        <x:v>Material transaction or unregistered model dependency: unsupported consideration or scope can change financing needs.</x:v>
      </x:c>
      <x:c r="H141" s="4" t="str">
        <x:v>Review pre-cutoff announcement/merger agreement; record exact term and section.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8" hidden="0" customWidth="1"/>
    <x:col min="3" max="3" width="20" hidden="0" customWidth="1"/>
    <x:col min="4" max="4" width="28" hidden="0" customWidth="1"/>
    <x:col min="5" max="5" width="80" hidden="0" customWidth="1"/>
    <x:col min="6" max="6" width="55" hidden="0" customWidth="1"/>
    <x:col min="7" max="7" width="60" hidden="0" customWidth="1"/>
  </x:cols>
  <x:sheetData>
    <x:row r="2" ht="42" customHeight="1">
      <x:c r="A2" s="5" t="str">
        <x:v>Evidence review | Sources</x:v>
      </x:c>
      <x:c r="B2" s="5"/>
      <x:c r="C2" s="5"/>
      <x:c r="D2" s="5"/>
      <x:c r="E2" s="5"/>
      <x:c r="F2" s="5"/>
      <x:c r="G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</x:row>
    <x:row r="4" ht="42" customHeight="1">
      <x:c r="A4" s="7" t="str">
        <x:v>Source ID</x:v>
      </x:c>
      <x:c r="B4" s="7" t="str">
        <x:v>Document</x:v>
      </x:c>
      <x:c r="C4" s="7" t="str">
        <x:v>Published</x:v>
      </x:c>
      <x:c r="D4" s="7" t="str">
        <x:v>Retrieved</x:v>
      </x:c>
      <x:c r="E4" s="7" t="str">
        <x:v>URL</x:v>
      </x:c>
      <x:c r="F4" s="7" t="str">
        <x:v>Archive type</x:v>
      </x:c>
      <x:c r="G4" s="7" t="str">
        <x:v>Section</x:v>
      </x:c>
    </x:row>
    <x:row r="5" ht="36" customHeight="1">
      <x:c r="A5" s="4" t="str">
        <x:v>announcement</x:v>
      </x:c>
      <x:c r="B5" s="4" t="str">
        <x:v>0001193125-25-120243 Exhibit 99.2</x:v>
      </x:c>
      <x:c r="C5" s="4" t="str">
        <x:v>2025-05-15</x:v>
      </x:c>
      <x:c r="D5" s="4" t="str">
        <x:v>2026-09-14</x:v>
      </x:c>
      <x:c r="E5" s="4" t="str">
        <x:v>https://www.sec.gov/Archives/edgar/data/1089063/000119312525120243/d830209dex992.htm</x:v>
      </x:c>
      <x:c r="F5" s="4" t="str">
        <x:v>reviewed factual extraction, not original document bytes</x:v>
      </x:c>
      <x:c r="G5" s="4" t="str">
        <x:v>Additional Transaction Details; operating efficiencies</x:v>
      </x:c>
    </x:row>
    <x:row r="6" ht="36" customHeight="1">
      <x:c r="A6" s="4" t="str">
        <x:v>dks10k</x:v>
      </x:c>
      <x:c r="B6" s="4" t="str">
        <x:v>0001089063-25-000012</x:v>
      </x:c>
      <x:c r="C6" s="4" t="str">
        <x:v>2025-03-27</x:v>
      </x:c>
      <x:c r="D6" s="4" t="str">
        <x:v>2026-09-14</x:v>
      </x:c>
      <x:c r="E6" s="4" t="str">
        <x:v>https://www.sec.gov/Archives/edgar/data/1089063/000108906325000012/dks-20250201.htm</x:v>
      </x:c>
      <x:c r="F6" s="4" t="str">
        <x:v>reviewed factual extraction, not original document bytes</x:v>
      </x:c>
      <x:c r="G6" s="4" t="str">
        <x:v>Statements pp.46,48,50; Note 9</x:v>
      </x:c>
    </x:row>
    <x:row r="7" ht="36" customHeight="1">
      <x:c r="A7" s="4" t="str">
        <x:v>fl10k</x:v>
      </x:c>
      <x:c r="B7" s="4" t="str">
        <x:v>0001437749-25-009620</x:v>
      </x:c>
      <x:c r="C7" s="4" t="str">
        <x:v>2025-03-27</x:v>
      </x:c>
      <x:c r="D7" s="4" t="str">
        <x:v>2026-09-14</x:v>
      </x:c>
      <x:c r="E7" s="4" t="str">
        <x:v>https://www.sec.gov/Archives/edgar/data/850209/000143774925009620/floc20241213_10k.htm</x:v>
      </x:c>
      <x:c r="F7" s="4" t="str">
        <x:v>reviewed factual extraction, not original document bytes</x:v>
      </x:c>
      <x:c r="G7" s="4" t="str">
        <x:v>Statements pp.36,38,40; Notes 13,14</x:v>
      </x:c>
    </x:row>
    <x:row r="8" ht="36" customHeight="1">
      <x:c r="A8" s="4" t="str">
        <x:v>review_dks</x:v>
      </x:c>
      <x:c r="B8" s="4" t="str">
        <x:v>DKS FY2024 10-K</x:v>
      </x:c>
      <x:c r="C8" s="4" t="str">
        <x:v>2025-03-27</x:v>
      </x:c>
      <x:c r="D8" s="4" t="str">
        <x:v>2026-09-14</x:v>
      </x:c>
      <x:c r="E8" s="4" t="str">
        <x:v>https://www.sec.gov/Archives/edgar/data/1089063/000108906325000012/dks-20250201.htm</x:v>
      </x:c>
      <x:c r="F8" s="4" t="str">
        <x:v>reviewed factual extraction, not original document bytes</x:v>
      </x:c>
      <x:c r="G8" s="4" t="str">
        <x:v>Balance sheet p48, Note 1: cash and equivalents, NOT verified spendable acquisition cash; MD&amp;A p36 Contractual Obligations: approximate non-cancellable purchase commitments; Note 7 pp60-61; fixed liability cash excludes other rent categories; Note 9, p62; Note 9, p62; commitment is not unconditional borrowing availability; Note 9: principal of 2032 and 2052 series at fiscal year-end</x:v>
      </x:c>
    </x:row>
    <x:row r="9" ht="36" customHeight="1">
      <x:c r="A9" s="4" t="str">
        <x:v>review_fl</x:v>
      </x:c>
      <x:c r="B9" s="4" t="str">
        <x:v>FL FY2024 10-K</x:v>
      </x:c>
      <x:c r="C9" s="4" t="str">
        <x:v>2025-03-27</x:v>
      </x:c>
      <x:c r="D9" s="4" t="str">
        <x:v>2026-09-14</x:v>
      </x:c>
      <x:c r="E9" s="4" t="str">
        <x:v>https://www.sec.gov/Archives/edgar/data/850209/000143774925009620/floc20241213_10k.htm</x:v>
      </x:c>
      <x:c r="F9" s="4" t="str">
        <x:v>reviewed factual extraction, not original document bytes</x:v>
      </x:c>
      <x:c r="G9" s="4" t="str">
        <x:v>Balance sheet p36; excludes separately classified restricted cash; Note 1 pp43-44; primarily lease escrow and insurance cash trust; Note 13 p57: 4% notes; carrying 396 plus unamortized discount/costs 4; Note 13, p57; availability subject to borrowing base; Note 16 pp58-60; liabilities held for sale separately reported; Note 8, p54: comparative net receivables; Note 8, p54: net receivables; Notes 13 and 16: finance lease liability current 5 plus long-term 45; exclude operating leases</x:v>
      </x:c>
    </x:row>
    <x:row r="10" ht="36" customHeight="1">
      <x:c r="A10" s="4" t="str">
        <x:v>merger</x:v>
      </x:c>
      <x:c r="B10" s="4" t="str">
        <x:v>May 15 merger agreement, Exhibit 2.1; SEC acceptance 17:16:25</x:v>
      </x:c>
      <x:c r="C10" s="4" t="str">
        <x:v>2025-05-15</x:v>
      </x:c>
      <x:c r="D10" s="4" t="str">
        <x:v>2026-09-14</x:v>
      </x:c>
      <x:c r="E10" s="4" t="str">
        <x:v>https://www.sec.gov/Archives/edgar/data/850209/000110465925049592/tm2515123d3_ex2-1.htm</x:v>
      </x:c>
      <x:c r="F10" s="4" t="str">
        <x:v>reviewed factual extraction, not original document bytes</x:v>
      </x:c>
      <x:c r="G10" s="4" t="str">
        <x:v>Sections 3.4 and 7.16(a)-(b); payoff letter due at least one business day before closing; Sections 4.2 and 5.2, capitalization date May 12; section 3.4 distinguishes award settlement</x:v>
      </x:c>
    </x:row>
    <x:row r="11" ht="36" customHeight="1">
      <x:c r="A11" s="4" t="str">
        <x:v>dks_indent</x:v>
      </x:c>
      <x:c r="B11" s="4" t="str">
        <x:v>DKS first supplemental indenture</x:v>
      </x:c>
      <x:c r="C11" s="4" t="str">
        <x:v>2022-01-14</x:v>
      </x:c>
      <x:c r="D11" s="4" t="str">
        <x:v>2026-09-14</x:v>
      </x:c>
      <x:c r="E11" s="4" t="str">
        <x:v>https://www.sec.gov/Archives/edgar/data/1089063/000119312522009887/d285529dex42.htm</x:v>
      </x:c>
      <x:c r="F11" s="4" t="str">
        <x:v>reviewed factual extraction, not original document bytes</x:v>
      </x:c>
      <x:c r="G11" s="4" t="str">
        <x:v>Sections 2.2-2.3; principal issuance corroborated by FY2024 Note 9</x:v>
      </x:c>
    </x:row>
    <x:row r="12" ht="36" customHeight="1">
      <x:c r="A12" s="4" t="str">
        <x:v>fl_indent</x:v>
      </x:c>
      <x:c r="B12" s="4" t="str">
        <x:v>FL 2029 notes indenture</x:v>
      </x:c>
      <x:c r="C12" s="4" t="str">
        <x:v>2021-10-05</x:v>
      </x:c>
      <x:c r="D12" s="4" t="str">
        <x:v>2026-09-14</x:v>
      </x:c>
      <x:c r="E12" s="4" t="str">
        <x:v>https://www.sec.gov/Archives/edgar/data/850209/000153949721001514/exh4-1_indenture.htm</x:v>
      </x:c>
      <x:c r="F12" s="4" t="str">
        <x:v>reviewed factual extraction, not original document bytes</x:v>
      </x:c>
      <x:c r="G12" s="4" t="str">
        <x:v>Definitions, Sections 3.07 and 4.10; note form</x:v>
      </x:c>
    </x:row>
    <x:row r="13" ht="36" customHeight="1">
      <x:c r="A13" s="4" t="str">
        <x:v>dks_credit</x:v>
      </x:c>
      <x:c r="B13" s="4" t="str">
        <x:v>DKS credit agreement</x:v>
      </x:c>
      <x:c r="C13" s="4" t="str">
        <x:v>2022-01-14</x:v>
      </x:c>
      <x:c r="D13" s="4" t="str">
        <x:v>2026-09-14</x:v>
      </x:c>
      <x:c r="E13" s="4" t="str">
        <x:v>https://www.sec.gov/Archives/edgar/data/1089063/000119312522009887/d285529dex101.htm</x:v>
      </x:c>
      <x:c r="F13" s="4" t="str">
        <x:v>reviewed factual extraction, not original document bytes</x:v>
      </x:c>
      <x:c r="G13" s="4" t="str">
        <x:v>Definitions and Section 6.12; election is conditional, not automatic</x:v>
      </x:c>
    </x:row>
    <x:row r="14" ht="36" customHeight="1">
      <x:c r="A14" s="4" t="str">
        <x:v>fl_credit</x:v>
      </x:c>
      <x:c r="B14" s="4" t="str">
        <x:v>FL amendment 4, executed June 20, 2024</x:v>
      </x:c>
      <x:c r="C14" s="4" t="str">
        <x:v>2024-06-25</x:v>
      </x:c>
      <x:c r="D14" s="4" t="str">
        <x:v>2026-09-14</x:v>
      </x:c>
      <x:c r="E14" s="4" t="str">
        <x:v>https://www.sec.gov/Archives/edgar/data/850209/000143774924021177/ex_691205.htm</x:v>
      </x:c>
      <x:c r="F14" s="4" t="str">
        <x:v>reviewed factual extraction, not original document bytes</x:v>
      </x:c>
      <x:c r="G14" s="4" t="str">
        <x:v>Definitions; Sections 7.06, financial covenant and 8.01(k); amendment annex</x:v>
      </x:c>
    </x:row>
    <x:row r="15" ht="36" customHeight="1">
      <x:c r="A15" s="4" t="str">
        <x:v>dks_q3</x:v>
      </x:c>
      <x:c r="B15" s="4" t="str">
        <x:v>DKS Q3 2024 10-Q</x:v>
      </x:c>
      <x:c r="C15" s="4" t="str">
        <x:v>2024-11-27</x:v>
      </x:c>
      <x:c r="D15" s="4" t="str">
        <x:v>2026-09-14</x:v>
      </x:c>
      <x:c r="E15" s="4" t="str">
        <x:v>https://www.sec.gov/Archives/edgar/data/1089063/000108906324000121/dks-20241102.htm</x:v>
      </x:c>
      <x:c r="F15" s="4" t="str">
        <x:v>reviewed factual extraction, not original document bytes</x:v>
      </x:c>
      <x:c r="G15" s="4" t="str">
        <x:v>Consolidated cash flows p7; thousands converted to millions</x:v>
      </x:c>
    </x:row>
    <x:row r="16" ht="36" customHeight="1">
      <x:c r="A16" s="4" t="str">
        <x:v>fl_q3</x:v>
      </x:c>
      <x:c r="B16" s="4" t="str">
        <x:v>FL Q3 2024 10-Q</x:v>
      </x:c>
      <x:c r="C16" s="4" t="str">
        <x:v>2024-12-11</x:v>
      </x:c>
      <x:c r="D16" s="4" t="str">
        <x:v>2026-09-14</x:v>
      </x:c>
      <x:c r="E16" s="4" t="str">
        <x:v>https://www.sec.gov/Archives/edgar/data/850209/000143774924037241/floc20241102_10q.htm</x:v>
      </x:c>
      <x:c r="F16" s="4" t="str">
        <x:v>reviewed factual extraction, not original document bytes</x:v>
      </x:c>
      <x:c r="G16" s="4" t="str">
        <x:v>Cash flows and liquidity free-cash-flow reconciliation</x:v>
      </x:c>
    </x:row>
    <x:row r="17" ht="36" customHeight="1">
      <x:c r="A17" s="4" t="str">
        <x:v>fl_prelim</x:v>
      </x:c>
      <x:c r="B17" s="4" t="str">
        <x:v>FL preliminary Q1 2025 release</x:v>
      </x:c>
      <x:c r="C17" s="4" t="str">
        <x:v>2025-05-15</x:v>
      </x:c>
      <x:c r="D17" s="4" t="str">
        <x:v>2026-09-14</x:v>
      </x:c>
      <x:c r="E17" s="4" t="str">
        <x:v>https://www.sec.gov/Archives/edgar/data/850209/000110465925048852/tm2515123d1_ex99-1.htm</x:v>
      </x:c>
      <x:c r="F17" s="4" t="str">
        <x:v>reviewed factual extraction, not original document bytes</x:v>
      </x:c>
      <x:c r="G17" s="4" t="str">
        <x:v>Preliminary First Quarter Results; NOT full financial statements or EBITDA</x:v>
      </x:c>
    </x:row>
    <x:row r="18" ht="36" customHeight="1">
      <x:c r="A18" s="4" t="str">
        <x:v>dks_prelim</x:v>
      </x:c>
      <x:c r="B18" s="4" t="str">
        <x:v>DKS preliminary Q1 2025 release</x:v>
      </x:c>
      <x:c r="C18" s="4" t="str">
        <x:v>2025-05-15</x:v>
      </x:c>
      <x:c r="D18" s="4" t="str">
        <x:v>2026-09-14</x:v>
      </x:c>
      <x:c r="E18" s="4" t="str">
        <x:v>https://www.sec.gov/Archives/edgar/data/1089063/000119312525120243/d830209dex991.htm</x:v>
      </x:c>
      <x:c r="F18" s="4" t="str">
        <x:v>reviewed factual extraction, not original document bytes</x:v>
      </x:c>
      <x:c r="G18" s="4" t="str">
        <x:v>Preliminary First Quarter Results; full results scheduled May 28, after cutoff</x:v>
      </x:c>
    </x:row>
    <x:row r="19" ht="36" customHeight="1">
      <x:c r="A19" s="4" t="str">
        <x:v>cost_dks</x:v>
      </x:c>
      <x:c r="B19" s="4" t="str">
        <x:v>DKS FY2024 10-K</x:v>
      </x:c>
      <x:c r="C19" s="4" t="str">
        <x:v>2025-03-27</x:v>
      </x:c>
      <x:c r="D19" s="4" t="str">
        <x:v>2026-09-19</x:v>
      </x:c>
      <x:c r="E19" s="4" t="str">
        <x:v>https://www.sec.gov/Archives/edgar/data/1089063/000108906325000012/dks-20250201.htm</x:v>
      </x:c>
      <x:c r="F19" s="4" t="str">
        <x:v>reviewed factual extraction, not original document bytes</x:v>
      </x:c>
      <x:c r="G19" s="4" t="str">
        <x:v>FY2024 income statement p46; MD&amp;A p32 and Note 1 p55: cost of sales includes occupancy and depreciation; not all variable.</x:v>
      </x:c>
    </x:row>
    <x:row r="20" ht="36" customHeight="1">
      <x:c r="A20" s="4" t="str">
        <x:v>cost_fl</x:v>
      </x:c>
      <x:c r="B20" s="4" t="str">
        <x:v>FL FY2024 10-K</x:v>
      </x:c>
      <x:c r="C20" s="4" t="str">
        <x:v>2025-03-27</x:v>
      </x:c>
      <x:c r="D20" s="4" t="str">
        <x:v>2026-09-19</x:v>
      </x:c>
      <x:c r="E20" s="4" t="str">
        <x:v>https://www.sec.gov/Archives/edgar/data/850209/000143774925009620/floc20241213_10k.htm</x:v>
      </x:c>
      <x:c r="F20" s="4" t="str">
        <x:v>reviewed factual extraction, not original document bytes</x:v>
      </x:c>
      <x:c r="G20" s="4" t="str">
        <x:v>FY2024 operations p36; MD&amp;A p26; Note 16: store lease costs in cost of sales, non-store in SG&amp;A. No impairment add-back.</x:v>
      </x:c>
    </x:row>
    <x:row r="21" ht="36" customHeight="1">
      <x:c r="A21" s="4" t="str">
        <x:v>wc_dks</x:v>
      </x:c>
      <x:c r="B21" s="4" t="str">
        <x:v>DKS Q3 2024 10-Q</x:v>
      </x:c>
      <x:c r="C21" s="4" t="str">
        <x:v>2024-11-27</x:v>
      </x:c>
      <x:c r="D21" s="4" t="str">
        <x:v>2026-09-19</x:v>
      </x:c>
      <x:c r="E21" s="4" t="str">
        <x:v>https://www.sec.gov/Archives/edgar/data/1089063/000108906324000121/dks-20241102.htm</x:v>
      </x:c>
      <x:c r="F21" s="4" t="str">
        <x:v>reviewed factual extraction, not original document bytes</x:v>
      </x:c>
      <x:c r="G21" s="4" t="str">
        <x:v>39-week cash flow statement p8: signed CFO contributions; thousands converted to USD millions.</x:v>
      </x:c>
    </x:row>
    <x:row r="22" ht="36" customHeight="1">
      <x:c r="A22" s="4" t="str">
        <x:v>wc_fl</x:v>
      </x:c>
      <x:c r="B22" s="4" t="str">
        <x:v>FL Q3 2024 10-Q</x:v>
      </x:c>
      <x:c r="C22" s="4" t="str">
        <x:v>2024-12-11</x:v>
      </x:c>
      <x:c r="D22" s="4" t="str">
        <x:v>2026-09-19</x:v>
      </x:c>
      <x:c r="E22" s="4" t="str">
        <x:v>https://www.sec.gov/Archives/edgar/data/850209/000143774924037241/floc20241102_10q.htm</x:v>
      </x:c>
      <x:c r="F22" s="4" t="str">
        <x:v>reviewed factual extraction, not original document bytes</x:v>
      </x:c>
      <x:c r="G22" s="4" t="str">
        <x:v>39-week cash flow statement p5: signed CFO contributions. Receivables are not separately disclosed; retain other cash-flow proxy and hold closing AR constant.</x:v>
      </x:c>
    </x:row>
    <x:row r="23" ht="36" customHeight="1">
      <x:c r="A23" s="4" t="str">
        <x:v>public_fl</x:v>
      </x:c>
      <x:c r="B23" s="4" t="str">
        <x:v>FL FY2024 10-K</x:v>
      </x:c>
      <x:c r="C23" s="4" t="str">
        <x:v>2025-03-27</x:v>
      </x:c>
      <x:c r="D23" s="4" t="str">
        <x:v>2026-09-15</x:v>
      </x:c>
      <x:c r="E23" s="4" t="str">
        <x:v>https://www.sec.gov/Archives/edgar/data/850209/000143774925009620/floc20241213_10k.htm</x:v>
      </x:c>
      <x:c r="F23" s="4" t="str">
        <x:v>reviewed factual extraction, not original document bytes</x:v>
      </x:c>
      <x:c r="G23" s="4" t="str">
        <x:v>Note 16 pp59-60; FY2025-2029 and thereafter, not calendar years; discount rate is aggregate; Note 13 p57: outstanding letters of credit at February 1, 2025</x:v>
      </x:c>
    </x:row>
    <x:row r="24" ht="36" customHeight="1">
      <x:c r="A24" s="4" t="str">
        <x:v>public_dks</x:v>
      </x:c>
      <x:c r="B24" s="4" t="str">
        <x:v>DKS FY2024 10-K</x:v>
      </x:c>
      <x:c r="C24" s="4" t="str">
        <x:v>2025-03-27</x:v>
      </x:c>
      <x:c r="D24" s="4" t="str">
        <x:v>2026-09-15</x:v>
      </x:c>
      <x:c r="E24" s="4" t="str">
        <x:v>https://www.sec.gov/Archives/edgar/data/1089063/000108906325000012/dks-20250201.htm</x:v>
      </x:c>
      <x:c r="F24" s="4" t="str">
        <x:v>reviewed factual extraction, not original document bytes</x:v>
      </x:c>
      <x:c r="G24" s="4" t="str">
        <x:v>FY2024 cash flows p50 and supplemental noncash information; Balance sheet p48 and Deferred revenue and other liabilities table; excludes gift cards, loyalty and deferred compensation; MD&amp;A pp34-35 Capital Expenditures and Dividends; net capex is management guidance, dividend is a declaration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8" hidden="0" customWidth="1"/>
    <x:col min="2" max="2" width="20" hidden="0" customWidth="1"/>
    <x:col min="3" max="3" width="22" hidden="0" customWidth="1"/>
    <x:col min="4" max="4" width="22" hidden="0" customWidth="1"/>
    <x:col min="5" max="5" width="65" hidden="0" customWidth="1"/>
    <x:col min="6" max="6" width="70" hidden="0" customWidth="1"/>
    <x:col min="7" max="7" width="80" hidden="0" customWidth="1"/>
  </x:cols>
  <x:sheetData>
    <x:row r="2" ht="42" customHeight="1">
      <x:c r="A2" s="5" t="str">
        <x:v>Evidence review | Historical calculations</x:v>
      </x:c>
      <x:c r="B2" s="5"/>
      <x:c r="C2" s="5"/>
      <x:c r="D2" s="5"/>
      <x:c r="E2" s="5"/>
      <x:c r="F2" s="5"/>
      <x:c r="G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</x:row>
    <x:row r="4" ht="42" customHeight="1">
      <x:c r="A4" s="7" t="str">
        <x:v>Calculation</x:v>
      </x:c>
      <x:c r="B4" s="7" t="str">
        <x:v>Status</x:v>
      </x:c>
      <x:c r="C4" s="7" t="str">
        <x:v>Value</x:v>
      </x:c>
      <x:c r="D4" s="7" t="str">
        <x:v>Units</x:v>
      </x:c>
      <x:c r="E4" s="7" t="str">
        <x:v>Formula</x:v>
      </x:c>
      <x:c r="F4" s="7" t="str">
        <x:v>Dependencies</x:v>
      </x:c>
      <x:c r="G4" s="7" t="str">
        <x:v>Limitation</x:v>
      </x:c>
    </x:row>
    <x:row r="5" ht="80" customHeight="1">
      <x:c r="A5" s="8" t="str">
        <x:v>acquirer FY2024 simple operating EBITDA</x:v>
      </x:c>
      <x:c r="B5" s="8" t="str">
        <x:v>Supported</x:v>
      </x:c>
      <x:c r="C5" s="27" t="n">
        <x:v>1874.341</x:v>
      </x:c>
      <x:c r="D5" s="8" t="str">
        <x:v>USD millions</x:v>
      </x:c>
      <x:c r="E5" s="8" t="str">
        <x:v>Operating profit + cash-flow D&amp;A</x:v>
      </x:c>
      <x:c r="F5" s="8" t="str">
        <x:v>["acquirer.FY2024.operating_profit", "acquirer.FY2024.depreciation_amortisation"]</x:v>
      </x:c>
      <x:c r="G5" s="8" t="str">
        <x:v>Not adjusted EBITDA or covenant EBITDAR; no addbacks.</x:v>
      </x:c>
    </x:row>
    <x:row r="6" ht="80" customHeight="1">
      <x:c r="A6" s="8" t="str">
        <x:v>acquirer FY2024 CFO less gross capex</x:v>
      </x:c>
      <x:c r="B6" s="8" t="str">
        <x:v>Supported</x:v>
      </x:c>
      <x:c r="C6" s="27" t="n">
        <x:v>509.27</x:v>
      </x:c>
      <x:c r="D6" s="8" t="str">
        <x:v>USD millions</x:v>
      </x:c>
      <x:c r="E6" s="8" t="str">
        <x:v>CFO - gross cash capital expenditures</x:v>
      </x:c>
      <x:c r="F6" s="8" t="str">
        <x:v>["acquirer.FY2024.operating_cash_flow", "acquirer.FY2024.capex"]</x:v>
      </x:c>
      <x:c r="G6" s="8" t="str">
        <x:v>Historical residual, not forecast cash available for debt service; CFO includes interest/taxes and lease payments.</x:v>
      </x:c>
    </x:row>
    <x:row r="7" ht="80" customHeight="1">
      <x:c r="A7" s="8" t="str">
        <x:v>acquirer FY2024 selected operating NWC</x:v>
      </x:c>
      <x:c r="B7" s="8" t="str">
        <x:v>Supported</x:v>
      </x:c>
      <x:c r="C7" s="27" t="n">
        <x:v>2066.337</x:v>
      </x:c>
      <x:c r="D7" s="8" t="str">
        <x:v>USD millions</x:v>
      </x:c>
      <x:c r="E7" s="8" t="str">
        <x:v>Inventory + receivables - payables</x:v>
      </x:c>
      <x:c r="F7" s="8" t="str">
        <x:v>["acquirer.FY2024.inventory", "acquirer.FY2024.receivables", "acquirer.FY2024.payables"]</x:v>
      </x:c>
      <x:c r="G7" s="8" t="str">
        <x:v>Selected working capital only, not total current assets minus liabilities.</x:v>
      </x:c>
    </x:row>
    <x:row r="8" ht="80" customHeight="1">
      <x:c r="A8" s="8" t="str">
        <x:v>acquirer Q4 CFO less gross capex</x:v>
      </x:c>
      <x:c r="B8" s="8" t="str">
        <x:v>Supported</x:v>
      </x:c>
      <x:c r="C8" s="27" t="n">
        <x:v>394.5319999999999</x:v>
      </x:c>
      <x:c r="D8" s="8" t="str">
        <x:v>USD millions</x:v>
      </x:c>
      <x:c r="E8" s="8" t="str">
        <x:v>(FY CFO - 39wk CFO) - (FY capex - 39wk capex)</x:v>
      </x:c>
      <x:c r="F8" s="8" t="str">
        <x:v>["acquirer.FY2024.operating_cash_flow", "acquirer.FY2024.capex", "detail.acquirer.ytd_cash_flow"]</x:v>
      </x:c>
      <x:c r="G8" s="8" t="str">
        <x:v>Derived 13 weeks Nov 3 2024-Feb 1 2025; demonstrates seasonality, not a forecast seed.</x:v>
      </x:c>
    </x:row>
    <x:row r="9" ht="80" customHeight="1">
      <x:c r="A9" s="8" t="str">
        <x:v>target FY2024 simple operating EBITDA</x:v>
      </x:c>
      <x:c r="B9" s="8" t="str">
        <x:v>Supported</x:v>
      </x:c>
      <x:c r="C9" s="27" t="n">
        <x:v>305</x:v>
      </x:c>
      <x:c r="D9" s="8" t="str">
        <x:v>USD millions</x:v>
      </x:c>
      <x:c r="E9" s="8" t="str">
        <x:v>Operating profit + cash-flow D&amp;A</x:v>
      </x:c>
      <x:c r="F9" s="8" t="str">
        <x:v>["target.FY2024.operating_profit", "target.FY2024.depreciation_amortisation"]</x:v>
      </x:c>
      <x:c r="G9" s="8" t="str">
        <x:v>Not adjusted EBITDA or covenant EBITDAR; no addbacks.</x:v>
      </x:c>
    </x:row>
    <x:row r="10" ht="80" customHeight="1">
      <x:c r="A10" s="8" t="str">
        <x:v>target FY2024 CFO less gross capex</x:v>
      </x:c>
      <x:c r="B10" s="8" t="str">
        <x:v>Supported</x:v>
      </x:c>
      <x:c r="C10" s="27" t="n">
        <x:v>105</x:v>
      </x:c>
      <x:c r="D10" s="8" t="str">
        <x:v>USD millions</x:v>
      </x:c>
      <x:c r="E10" s="8" t="str">
        <x:v>CFO - gross cash capital expenditures</x:v>
      </x:c>
      <x:c r="F10" s="8" t="str">
        <x:v>["target.FY2024.operating_cash_flow", "target.FY2024.capex"]</x:v>
      </x:c>
      <x:c r="G10" s="8" t="str">
        <x:v>Historical residual, not forecast cash available for debt service; CFO includes interest/taxes and lease payments.</x:v>
      </x:c>
    </x:row>
    <x:row r="11" ht="80" customHeight="1">
      <x:c r="A11" s="8" t="str">
        <x:v>target FY2024 selected operating NWC</x:v>
      </x:c>
      <x:c r="B11" s="8" t="str">
        <x:v>Supported</x:v>
      </x:c>
      <x:c r="C11" s="27" t="n">
        <x:v>1303</x:v>
      </x:c>
      <x:c r="D11" s="8" t="str">
        <x:v>USD millions</x:v>
      </x:c>
      <x:c r="E11" s="8" t="str">
        <x:v>Inventory + receivables - payables</x:v>
      </x:c>
      <x:c r="F11" s="8" t="str">
        <x:v>["target.FY2024.inventory", "target.FY2024.receivables", "target.FY2024.payables"]</x:v>
      </x:c>
      <x:c r="G11" s="8" t="str">
        <x:v>Selected working capital only, not total current assets minus liabilities.</x:v>
      </x:c>
    </x:row>
    <x:row r="12" ht="80" customHeight="1">
      <x:c r="A12" s="8" t="str">
        <x:v>target Q4 CFO less gross capex</x:v>
      </x:c>
      <x:c r="B12" s="8" t="str">
        <x:v>Supported</x:v>
      </x:c>
      <x:c r="C12" s="27" t="n">
        <x:v>192</x:v>
      </x:c>
      <x:c r="D12" s="8" t="str">
        <x:v>USD millions</x:v>
      </x:c>
      <x:c r="E12" s="8" t="str">
        <x:v>(FY CFO - 39wk CFO) - (FY capex - 39wk capex)</x:v>
      </x:c>
      <x:c r="F12" s="8" t="str">
        <x:v>["target.FY2024.operating_cash_flow", "target.FY2024.capex", "detail.target.ytd_cash_flow"]</x:v>
      </x:c>
      <x:c r="G12" s="8" t="str">
        <x:v>Derived 13 weeks Nov 3 2024-Feb 1 2025; demonstrates seasonality, not a forecast seed.</x:v>
      </x:c>
    </x:row>
    <x:row r="13" ht="80" customHeight="1">
      <x:c r="A13" s="8" t="str">
        <x:v>FL cash reconciliation</x:v>
      </x:c>
      <x:c r="B13" s="8" t="str">
        <x:v>Supported</x:v>
      </x:c>
      <x:c r="C13" s="27" t="n">
        <x:v>0</x:v>
      </x:c>
      <x:c r="D13" s="8" t="str">
        <x:v>USD millions</x:v>
      </x:c>
      <x:c r="E13" s="8" t="str">
        <x:v>401 + 4 + 25 - 430 = 0</x:v>
      </x:c>
      <x:c r="F13" s="8" t="str">
        <x:v>["detail.target.cash", "detail.target.restricted_cash"]</x:v>
      </x:c>
      <x:c r="G13" s="8" t="str">
        <x:v>Accounting reconciliation; no legal cash-release conclusion.</x:v>
      </x:c>
    </x:row>
    <x:row r="14" ht="80" customHeight="1">
      <x:c r="A14" s="8" t="str">
        <x:v>FL financial debt principal</x:v>
      </x:c>
      <x:c r="B14" s="8" t="str">
        <x:v>Supported</x:v>
      </x:c>
      <x:c r="C14" s="27" t="n">
        <x:v>450</x:v>
      </x:c>
      <x:c r="D14" s="8" t="str">
        <x:v>USD millions</x:v>
      </x:c>
      <x:c r="E14" s="8" t="str">
        <x:v>Notes principal + finance-lease liability</x:v>
      </x:c>
      <x:c r="F14" s="8" t="str">
        <x:v>["detail.target.notes_principal", "detail.target.finance_lease"]</x:v>
      </x:c>
      <x:c r="G14" s="8" t="str">
        <x:v>Operating lease liabilities excluded; not complete instrument-level payment schedule.</x:v>
      </x:c>
    </x:row>
    <x:row r="15" ht="80" customHeight="1">
      <x:c r="A15" s="8" t="str">
        <x:v>FL finance-lease rollforward check</x:v>
      </x:c>
      <x:c r="B15" s="8" t="str">
        <x:v>Supported</x:v>
      </x:c>
      <x:c r="C15" s="27" t="n">
        <x:v>0</x:v>
      </x:c>
      <x:c r="D15" s="8" t="str">
        <x:v>USD millions</x:v>
      </x:c>
      <x:c r="E15" s="8" t="str">
        <x:v>Opening + additions - (cash paid - interest) - closing</x:v>
      </x:c>
      <x:c r="F15" s="8" t="str">
        <x:v>["detail.target.leases", "detail.target.finance_lease"]</x:v>
      </x:c>
      <x:c r="G15" s="8" t="str">
        <x:v>Aggregate liability check; cannot infer each future instrument principal payment.</x:v>
      </x:c>
    </x:row>
    <x:row r="16" ht="80" customHeight="1">
      <x:c r="A16" s="8" t="str">
        <x:v>Common shares all-cash consideration</x:v>
      </x:c>
      <x:c r="B16" s="8" t="str">
        <x:v>Supported</x:v>
      </x:c>
      <x:c r="C16" s="27" t="n">
        <x:v>2293.453968</x:v>
      </x:c>
      <x:c r="D16" s="8" t="str">
        <x:v>USD millions</x:v>
      </x:c>
      <x:c r="E16" s="8" t="str">
        <x:v>May 12 outstanding common shares x $24 / 1e6</x:v>
      </x:c>
      <x:c r="F16" s="8" t="str">
        <x:v>["detail.transaction.capitalization", "transaction.cash_price"]</x:v>
      </x:c>
      <x:c r="G16" s="8" t="str">
        <x:v>Common shares only: excludes awards, fees, debt, closing share changes and fractional-share payments.</x:v>
      </x:c>
    </x:row>
    <x:row r="17" ht="80" customHeight="1">
      <x:c r="A17" s="8" t="str">
        <x:v>Common shares all-stock issuance</x:v>
      </x:c>
      <x:c r="B17" s="8" t="str">
        <x:v>Supported</x:v>
      </x:c>
      <x:c r="C17" s="27" t="n">
        <x:v>11.1614759776</x:v>
      </x:c>
      <x:c r="D17" s="8" t="str">
        <x:v>million DKS shares</x:v>
      </x:c>
      <x:c r="E17" s="8" t="str">
        <x:v>May 12 outstanding common shares x 0.1168 / 1e6</x:v>
      </x:c>
      <x:c r="F17" s="8" t="str">
        <x:v>["detail.transaction.capitalization", "transaction.exchange_ratio"]</x:v>
      </x:c>
      <x:c r="G17" s="8" t="str">
        <x:v>Election endpoint only, not predicted elections; excludes awards and fractional-share cash.</x:v>
      </x:c>
    </x:row>
    <x:row r="18" ht="80" customHeight="1">
      <x:c r="A18" s="8" t="str">
        <x:v>DKS note annual coupon obligation</x:v>
      </x:c>
      <x:c r="B18" s="8" t="str">
        <x:v>Supported</x:v>
      </x:c>
      <x:c r="C18" s="27" t="n">
        <x:v>54.375</x:v>
      </x:c>
      <x:c r="D18" s="8" t="str">
        <x:v>USD millions</x:v>
      </x:c>
      <x:c r="E18" s="8" t="str">
        <x:v>750 x 3.15% + 750 x 4.10%</x:v>
      </x:c>
      <x:c r="F18" s="8" t="str">
        <x:v>["detail.acquirer.notes", "detail.acquirer.notes_outstanding"]</x:v>
      </x:c>
      <x:c r="G18" s="8" t="str">
        <x:v>Original fixed notes only; no revolver, lease interest or refinancing.</x:v>
      </x:c>
    </x:row>
    <x:row r="19" ht="80" customHeight="1">
      <x:c r="A19" s="8" t="str">
        <x:v>FL note annual coupon obligation</x:v>
      </x:c>
      <x:c r="B19" s="8" t="str">
        <x:v>Supported</x:v>
      </x:c>
      <x:c r="C19" s="27" t="n">
        <x:v>16</x:v>
      </x:c>
      <x:c r="D19" s="8" t="str">
        <x:v>USD millions</x:v>
      </x:c>
      <x:c r="E19" s="8" t="str">
        <x:v>400 x 4%</x:v>
      </x:c>
      <x:c r="F19" s="8" t="str">
        <x:v>["detail.target.notes_principal", "detail.target.notes_terms"]</x:v>
      </x:c>
      <x:c r="G19" s="8" t="str">
        <x:v>Retained-note contractual coupon only; not total cash interest.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5" hidden="0" customWidth="1"/>
    <x:col min="2" max="2" width="20" hidden="0" customWidth="1"/>
    <x:col min="3" max="3" width="28" hidden="0" customWidth="1"/>
    <x:col min="4" max="4" width="35" hidden="0" customWidth="1"/>
    <x:col min="5" max="5" width="70" hidden="0" customWidth="1"/>
    <x:col min="6" max="6" width="85" hidden="0" customWidth="1"/>
    <x:col min="7" max="7" width="90" hidden="0" customWidth="1"/>
    <x:col min="8" max="8" width="90" hidden="0" customWidth="1"/>
    <x:col min="9" max="9" width="80" hidden="0" customWidth="1"/>
    <x:col min="10" max="10" width="90" hidden="0" customWidth="1"/>
  </x:cols>
  <x:sheetData>
    <x:row r="2" ht="42" customHeight="1">
      <x:c r="A2" s="5" t="str">
        <x:v>Evidence review | Historical gap review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42" customHeight="1">
      <x:c r="A4" s="7" t="str">
        <x:v>Input</x:v>
      </x:c>
      <x:c r="B4" s="7" t="str">
        <x:v>Status</x:v>
      </x:c>
      <x:c r="C4" s="7" t="str">
        <x:v>Classification</x:v>
      </x:c>
      <x:c r="D4" s="7" t="str">
        <x:v>Type</x:v>
      </x:c>
      <x:c r="E4" s="7" t="str">
        <x:v>Materiality</x:v>
      </x:c>
      <x:c r="F4" s="7" t="str">
        <x:v>Current evidence</x:v>
      </x:c>
      <x:c r="G4" s="7" t="str">
        <x:v>Exact missing information</x:v>
      </x:c>
      <x:c r="H4" s="7" t="str">
        <x:v>Applicability</x:v>
      </x:c>
      <x:c r="I4" s="7" t="str">
        <x:v>Primary source</x:v>
      </x:c>
      <x:c r="J4" s="7" t="str">
        <x:v>Resolution</x:v>
      </x:c>
    </x:row>
    <x:row r="5" ht="150" customHeight="1">
      <x:c r="A5" s="8" t="str">
        <x:v>transaction.share_and_award_treatment</x:v>
      </x:c>
      <x:c r="B5" s="8" t="str">
        <x:v>Remaining</x:v>
      </x:c>
      <x:c r="C5" s="8" t="str">
        <x:v>missing evidence</x:v>
      </x:c>
      <x:c r="D5" s="8" t="str">
        <x:v>historical fact</x:v>
      </x:c>
      <x:c r="E5" s="8" t="str">
        <x:v>Material transaction or unregistered model dependency: unsupported consideration or scope can change financing needs.</x:v>
      </x:c>
      <x:c r="F5" s="8" t="str">
        <x:v>May 12 common shares 95,560,582; options/RSUs/PSUs/DSUs counts and different settlement rules archived.</x:v>
      </x:c>
      <x:c r="G5" s="8" t="str">
        <x:v>Individual option strikes, director versus employee RSU split, PSU performance/award agreement settlement and award tax/withholding cash. Weighted-average strike cannot prove all options out of money.</x:v>
      </x:c>
      <x:c r="H5" s="8" t="str">
        <x:v>Required for all complete funding structures.</x:v>
      </x:c>
      <x:c r="I5" s="8" t="str">
        <x:v>https://www.sec.gov/Archives/edgar/data/850209/000110465925049592/tm2515123d3_ex2-1.htm</x:v>
      </x:c>
      <x:c r="J5" s="8" t="str">
        <x:v>Merger Sections 3.4/4.2; omitted Company Disclosure Letter 4.2 and equity-administration ledger. April 10 proxy is an earlier, incomplete employee population; later merger proxy excluded.</x:v>
      </x:c>
    </x:row>
    <x:row r="6" ht="150" customHeight="1">
      <x:c r="A6" s="8" t="str">
        <x:v>acquirer.opening.unrestricted_cash</x:v>
      </x:c>
      <x:c r="B6" s="8" t="str">
        <x:v>Remaining</x:v>
      </x:c>
      <x:c r="C6" s="8" t="str">
        <x:v>missing evidence</x:v>
      </x:c>
      <x:c r="D6" s="8" t="str">
        <x:v>historical fact</x:v>
      </x:c>
      <x:c r="E6" s="8" t="str">
        <x:v>Opening liquidity and debt determine spendable cash, financing need and net leverage; a wrong balance can falsely imply funding.</x:v>
      </x:c>
      <x:c r="F6" s="8" t="str">
        <x:v>Feb 1 cash and equivalents: DKS 1689.940; FL 401, with separately restricted 29. Accounting balances are verified separately.</x:v>
      </x:c>
      <x:c r="G6" s="8" t="str">
        <x:v>Entity-level encumbrances, trapped/repatriable cash, minimum operating balances, and legally available cash at the selected closing date.</x:v>
      </x:c>
      <x:c r="H6" s="8" t="str">
        <x:v>Cash-first consumes availability. A zero contribution removes acquisition use, but group liquidity still cannot count restricted or inaccessible balances. No waiver applied.</x:v>
      </x:c>
      <x:c r="I6" s="8" t="str">
        <x:v>https://www.sec.gov/Archives/edgar/data/1089063/000108906325000012/dks-20250201.htm</x:v>
      </x:c>
      <x:c r="J6" s="8" t="str">
        <x:v>Treasury cash-by-entity/restriction schedule, credit security documents and counsel review; prospective cash bridge must remain a forecast.</x:v>
      </x:c>
    </x:row>
    <x:row r="7" ht="150" customHeight="1">
      <x:c r="A7" s="8" t="str">
        <x:v>acquirer.opening.cash_restrictions</x:v>
      </x:c>
      <x:c r="B7" s="8" t="str">
        <x:v>Remaining</x:v>
      </x:c>
      <x:c r="C7" s="8" t="str">
        <x:v>missing evidence</x:v>
      </x:c>
      <x:c r="D7" s="8" t="str">
        <x:v>historical fact</x:v>
      </x:c>
      <x:c r="E7" s="8" t="str">
        <x:v>Opening liquidity and debt determine spendable cash, financing need and net leverage; a wrong balance can falsely imply funding.</x:v>
      </x:c>
      <x:c r="F7" s="8" t="str">
        <x:v>Feb 1 cash and equivalents: DKS 1689.940; FL 401, with separately restricted 29. Accounting balances are verified separately.</x:v>
      </x:c>
      <x:c r="G7" s="8" t="str">
        <x:v>Entity-level encumbrances, trapped/repatriable cash, minimum operating balances, and legally available cash at the selected closing date.</x:v>
      </x:c>
      <x:c r="H7" s="8" t="str">
        <x:v>Cash-first consumes availability. A zero contribution removes acquisition use, but group liquidity still cannot count restricted or inaccessible balances. No waiver applied.</x:v>
      </x:c>
      <x:c r="I7" s="8" t="str">
        <x:v>https://www.sec.gov/Archives/edgar/data/1089063/000108906325000012/dks-20250201.htm</x:v>
      </x:c>
      <x:c r="J7" s="8" t="str">
        <x:v>Treasury cash-by-entity/restriction schedule, credit security documents and counsel review; prospective cash bridge must remain a forecast.</x:v>
      </x:c>
    </x:row>
    <x:row r="8" ht="150" customHeight="1">
      <x:c r="A8" s="8" t="str">
        <x:v>acquirer.opening.debt_principal</x:v>
      </x:c>
      <x:c r="B8" s="8" t="str">
        <x:v>Remaining</x:v>
      </x:c>
      <x:c r="C8" s="8" t="str">
        <x:v>missing evidence</x:v>
      </x:c>
      <x:c r="D8" s="8" t="str">
        <x:v>historical fact</x:v>
      </x:c>
      <x:c r="E8" s="8" t="str">
        <x:v>Opening liquidity and debt determine spendable cash, financing need and net leverage; a wrong balance can falsely imply funding.</x:v>
      </x:c>
      <x:c r="F8" s="8" t="str">
        <x:v>DKS notes 750+750; FL notes 400 and finance-lease liability 50. Carrying amounts are separate.</x:v>
      </x:c>
      <x:c r="G8" s="8" t="str">
        <x:v>DKS complete principal-to-balance-sheet reconciliation including any finance leases; no zero inferred from zero annual finance-lease payment.</x:v>
      </x:c>
      <x:c r="H8" s="8" t="str">
        <x:v>Required for all complete funding structures.</x:v>
      </x:c>
      <x:c r="I8" s="8" t="str">
        <x:v>https://www.sec.gov/Archives/edgar/data/1089063/000108906325000012/dks-20250201.htm</x:v>
      </x:c>
      <x:c r="J8" s="8" t="str">
        <x:v>Debt Note 9 / Note 13 and lease liability ledger; exclude operating leases from financial-debt principal.</x:v>
      </x:c>
    </x:row>
    <x:row r="9" ht="150" customHeight="1">
      <x:c r="A9" s="8" t="str">
        <x:v>acquirer.FY2024.ebitda_reconciliation</x:v>
      </x:c>
      <x:c r="B9" s="8" t="str">
        <x:v>Resolved</x:v>
      </x:c>
      <x:c r="C9" s="8" t="str">
        <x:v>verified fact</x:v>
      </x:c>
      <x:c r="D9" s="8" t="str">
        <x:v>historical fact</x:v>
      </x:c>
      <x:c r="E9" s="8" t="str">
        <x:v>Latest standalone operating base drives forecast EBITDA, cash taxes, working capital and cash available for debt service.</x:v>
      </x:c>
      <x:c r="F9" s="8" t="str">
        <x:v>Computed from verified FY2024 operating profit plus disclosed cash-flow D&amp;A. No exceptional-item addbacks.</x:v>
      </x:c>
      <x:c r="G9" s="8" t="str">
        <x:v>None for this narrowly defined input; related financing dependencies remain separate.</x:v>
      </x:c>
      <x:c r="H9" s="8" t="str">
        <x:v>Required for all complete funding structures.</x:v>
      </x:c>
      <x:c r="I9" s="8" t="str">
        <x:v>https://www.sec.gov/Archives/edgar/data/1089063/000108906325000012/dks-20250201.htm</x:v>
      </x:c>
      <x:c r="J9" s="8" t="str">
        <x:v>Code-owned sum with dependency checks. This resolves simple operating EBITDA, not covenant EBITDAR.</x:v>
      </x:c>
    </x:row>
    <x:row r="10" ht="150" customHeight="1">
      <x:c r="A10" s="8" t="str">
        <x:v>acquirer.FY2024.lease_reconciliation</x:v>
      </x:c>
      <x:c r="B10" s="8" t="str">
        <x:v>Remaining</x:v>
      </x:c>
      <x:c r="C10" s="8" t="str">
        <x:v>missing evidence</x:v>
      </x:c>
      <x:c r="D10" s="8" t="str">
        <x:v>historical fact</x:v>
      </x:c>
      <x:c r="E10" s="8" t="str">
        <x:v>Latest standalone operating base drives forecast EBITDA, cash taxes, working capital and cash available for debt service.</x:v>
      </x:c>
      <x:c r="F10" s="8" t="str">
        <x:v>Rent cost components, fixed lease cash, operating liabilities, uncommenced commitments and FL finance cash are separately archived.</x:v>
      </x:c>
      <x:c r="G10" s="8" t="str">
        <x:v>Cash timing for variable/short-term rent, subleases and complete instrument finance-lease interest/principal schedules; reconcile held-for-sale treatment.</x:v>
      </x:c>
      <x:c r="H10" s="8" t="str">
        <x:v>Required for all complete funding structures.</x:v>
      </x:c>
      <x:c r="I10" s="8" t="str">
        <x:v>https://www.sec.gov/Archives/edgar/data/1089063/000108906325000012/dks-20250201.htm</x:v>
      </x:c>
      <x:c r="J10" s="8" t="str">
        <x:v>Lease Note 7 (DKS) / 16 (FL), lease payment ledger and explicit future rent assumptions. FL liability includes 5 held for sale outside main table.</x:v>
      </x:c>
    </x:row>
    <x:row r="11" ht="150" customHeight="1">
      <x:c r="A11" s="8" t="str">
        <x:v>acquirer.FY2024.dividends_buybacks_commitments</x:v>
      </x:c>
      <x:c r="B11" s="8" t="str">
        <x:v>Remaining</x:v>
      </x:c>
      <x:c r="C11" s="8" t="str">
        <x:v>missing evidence</x:v>
      </x:c>
      <x:c r="D11" s="8" t="str">
        <x:v>historical fact</x:v>
      </x:c>
      <x:c r="E11" s="8" t="str">
        <x:v>Contractual capital commitments can compete with debt service; discretionary future distributions are separate explicit assumptions.</x:v>
      </x:c>
      <x:c r="F11" s="8" t="str">
        <x:v>Cash-flow historical distributions and lease commitments disclosed; future discretionary distributions set to zero only as a scenario assumption. MD&amp;A p36 discloses approximately 180 of non-cancellable purchase commitments, but not their annual cash timing.</x:v>
      </x:c>
      <x:c r="G11" s="8" t="str">
        <x:v>Reconciliation of declared/unpaid distributions and binding capex, purchase and lease commitments affecting the closing bridge and forecast.</x:v>
      </x:c>
      <x:c r="H11" s="8" t="str">
        <x:v>Required for all complete funding structures.</x:v>
      </x:c>
      <x:c r="I11" s="8" t="str">
        <x:v>https://www.sec.gov/Archives/edgar/data/1089063/000108906325000012/dks-20250201.htm</x:v>
      </x:c>
      <x:c r="J11" s="8" t="str">
        <x:v>Annual cash-flow statement, commitments notes, pre-cutoff dividend declarations, treasury payable and capital-commitment schedules.</x:v>
      </x:c>
    </x:row>
    <x:row r="12" ht="150" customHeight="1">
      <x:c r="A12" s="8" t="str">
        <x:v>acquirer.debt.instrument_inventory</x:v>
      </x:c>
      <x:c r="B12" s="8" t="str">
        <x:v>Remaining</x:v>
      </x:c>
      <x:c r="C12" s="8" t="str">
        <x:v>missing evidence</x:v>
      </x:c>
      <x:c r="D12" s="8" t="str">
        <x:v>conditionally applicable requirement</x:v>
      </x:c>
      <x:c r="E12" s="8" t="str">
        <x:v>Instrument rights determine mandatory repayments, coupon resets and legally available borrowing; numerical solvency cannot replace contract evidence.</x:v>
      </x:c>
      <x:c r="F12" s="8" t="str">
        <x:v>Bond series and aggregate lease liabilities disclosed; supplemental disclosures are not a complete executable instrument inventory.</x:v>
      </x:c>
      <x:c r="G12" s="8" t="str">
        <x:v>Complete lease/other borrowing register with principal, maturity, coupon, repayment and close treatment reconciled to debt notes.</x:v>
      </x:c>
      <x:c r="H12" s="8" t="str">
        <x:v>Required for all complete funding structures.</x:v>
      </x:c>
      <x:c r="I12" s="8" t="str">
        <x:v>https://www.sec.gov/Archives/edgar/data/1089063/000108906325000012/dks-20250201.htm</x:v>
      </x:c>
      <x:c r="J12" s="8" t="str">
        <x:v>Annual debt and lease notes, treasury debt ledger and all material financing leases.</x:v>
      </x:c>
    </x:row>
    <x:row r="13" ht="150" customHeight="1">
      <x:c r="A13" s="8" t="str">
        <x:v>acquirer.debt.maturity_and_amortisation_schedule</x:v>
      </x:c>
      <x:c r="B13" s="8" t="str">
        <x:v>Remaining</x:v>
      </x:c>
      <x:c r="C13" s="8" t="str">
        <x:v>missing evidence</x:v>
      </x:c>
      <x:c r="D13" s="8" t="str">
        <x:v>conditionally applicable requirement</x:v>
      </x:c>
      <x:c r="E13" s="8" t="str">
        <x:v>Instrument rights determine mandatory repayments, coupon resets and legally available borrowing; numerical solvency cannot replace contract evidence.</x:v>
      </x:c>
      <x:c r="F13" s="8" t="str">
        <x:v>DKS bullets Jan 15 2032/2052; FL note Oct 1 2029; annual aggregate lease payments disclosed.</x:v>
      </x:c>
      <x:c r="G13" s="8" t="str">
        <x:v>Finance-lease principal versus interest allocation and instrument-level remaining payment dates; relative model maturity must use assumed closing date.</x:v>
      </x:c>
      <x:c r="H13" s="8" t="str">
        <x:v>Required for all complete funding structures.</x:v>
      </x:c>
      <x:c r="I13" s="8" t="str">
        <x:v>https://www.sec.gov/Archives/edgar/data/1089063/000108906325000012/dks-20250201.htm</x:v>
      </x:c>
      <x:c r="J13" s="8" t="str">
        <x:v>Original indentures plus lease amortisation ledger. Aggregate future minimum payments are not all principal.</x:v>
      </x:c>
    </x:row>
    <x:row r="14" ht="150" customHeight="1">
      <x:c r="A14" s="8" t="str">
        <x:v>acquirer.debt.coupons_and_resets</x:v>
      </x:c>
      <x:c r="B14" s="8" t="str">
        <x:v>Remaining</x:v>
      </x:c>
      <x:c r="C14" s="8" t="str">
        <x:v>missing evidence</x:v>
      </x:c>
      <x:c r="D14" s="8" t="str">
        <x:v>conditionally applicable requirement</x:v>
      </x:c>
      <x:c r="E14" s="8" t="str">
        <x:v>Instrument rights determine mandatory repayments, coupon resets and legally available borrowing; numerical solvency cannot replace contract evidence.</x:v>
      </x:c>
      <x:c r="F14" s="8" t="str">
        <x:v>Fixed note coupons 3.15%/4.10% DKS and 4% FL; DKS SOFR margin 112.5bp at year-end, FL term-SOFR grid 150-200bp.</x:v>
      </x:c>
      <x:c r="G14" s="8" t="str">
        <x:v>Instrument lease effective interest schedules, applicable future facility pricing-grid/rating assumptions and resets.</x:v>
      </x:c>
      <x:c r="H14" s="8" t="str">
        <x:v>Required for all complete funding structures.</x:v>
      </x:c>
      <x:c r="I14" s="8" t="str">
        <x:v>https://www.sec.gov/Archives/edgar/data/1089063/000108906325000012/dks-20250201.htm</x:v>
      </x:c>
      <x:c r="J14" s="8" t="str">
        <x:v>Indentures and credit agreements plus lease ledger. Weighted-average lease discount rate is not each instrument coupon.</x:v>
      </x:c>
    </x:row>
    <x:row r="15" ht="150" customHeight="1">
      <x:c r="A15" s="8" t="str">
        <x:v>acquirer.debt.change_of_control</x:v>
      </x:c>
      <x:c r="B15" s="8" t="str">
        <x:v>Remaining</x:v>
      </x:c>
      <x:c r="C15" s="8" t="str">
        <x:v>missing evidence</x:v>
      </x:c>
      <x:c r="D15" s="8" t="str">
        <x:v>conditionally applicable requirement</x:v>
      </x:c>
      <x:c r="E15" s="8" t="str">
        <x:v>Instrument rights determine mandatory repayments, coupon resets and legally available borrowing; numerical solvency cannot replace contract evidence.</x:v>
      </x:c>
      <x:c r="F15" s="8" t="str">
        <x:v>FL ABL termination required at closing. FL note offer 101% requires control AND ratings event. DKS purchase of target does not itself establish DKS control change.</x:v>
      </x:c>
      <x:c r="G15" s="8" t="str">
        <x:v>Facility and lease consent/default application, notes ratings-event assessment and exact retained versus redeemed treatment.</x:v>
      </x:c>
      <x:c r="H15" s="8" t="str">
        <x:v>Required for all complete funding structures.</x:v>
      </x:c>
      <x:c r="I15" s="8" t="str">
        <x:v>https://www.sec.gov/Archives/edgar/data/850209/000110465925049592/tm2515123d3_ex2-1.htm</x:v>
      </x:c>
      <x:c r="J15" s="8" t="str">
        <x:v>Merger 7.16, indenture definitions/4.10, ABL 8.01 and lease contracts; scenario-specific legal review.</x:v>
      </x:c>
    </x:row>
    <x:row r="16" ht="150" customHeight="1">
      <x:c r="A16" s="8" t="str">
        <x:v>acquirer.debt.refinancing_and_repricing</x:v>
      </x:c>
      <x:c r="B16" s="8" t="str">
        <x:v>Remaining</x:v>
      </x:c>
      <x:c r="C16" s="8" t="str">
        <x:v>missing evidence</x:v>
      </x:c>
      <x:c r="D16" s="8" t="str">
        <x:v>conditionally applicable requirement</x:v>
      </x:c>
      <x:c r="E16" s="8" t="str">
        <x:v>Instrument rights determine mandatory repayments, coupon resets and legally available borrowing; numerical solvency cannot replace contract evidence.</x:v>
      </x:c>
      <x:c r="F16" s="8" t="str">
        <x:v>DKS pre-par make-whole; FL redemption 102% before Oct 1 2025, 101% until Oct 1 2026, then par, plus accrued interest.</x:v>
      </x:c>
      <x:c r="G16" s="8" t="str">
        <x:v>Scenario treatment for each instrument, accrued interest, notice timing and any lease termination/consent costs; actual future refinancing is not guaranteed.</x:v>
      </x:c>
      <x:c r="H16" s="8" t="str">
        <x:v>Retain versus redeem changes required calculations. Refinancing coupon/fees are future assumptions; existing call premium/consent rights remain historical facts. No waiver applied.</x:v>
      </x:c>
      <x:c r="I16" s="8" t="str">
        <x:v>https://www.sec.gov/Archives/edgar/data/1089063/000119312522009887/d285529dex42.htm</x:v>
      </x:c>
      <x:c r="J16" s="8" t="str">
        <x:v>Original indenture redemption sections and prospective quote sensitivities. Retained DKS notes with no optional redemption do not require a make-whole quote.</x:v>
      </x:c>
    </x:row>
    <x:row r="17" ht="150" customHeight="1">
      <x:c r="A17" s="8" t="str">
        <x:v>acquirer.debt.revolver_commitments</x:v>
      </x:c>
      <x:c r="B17" s="8" t="str">
        <x:v>Resolved</x:v>
      </x:c>
      <x:c r="C17" s="8" t="str">
        <x:v>verified fact</x:v>
      </x:c>
      <x:c r="D17" s="8" t="str">
        <x:v>conditionally applicable requirement</x:v>
      </x:c>
      <x:c r="E17" s="8" t="str">
        <x:v>Instrument rights determine mandatory repayments, coupon resets and legally available borrowing; numerical solvency cannot replace contract evidence.</x:v>
      </x:c>
      <x:c r="F17" s="8" t="str">
        <x:v>DKS unsecured 1600, Jan 14 2027; FL secured 600, June 20 2029. Both zero drawn at fiscal year-end. Uncommitted accordions excluded.</x:v>
      </x:c>
      <x:c r="G17" s="8" t="str">
        <x:v>None for this narrowly defined input; related financing dependencies remain separate.</x:v>
      </x:c>
      <x:c r="H17" s="8" t="str">
        <x:v>Required for all complete funding structures.</x:v>
      </x:c>
      <x:c r="I17" s="8" t="str">
        <x:v>https://www.sec.gov/Archives/edgar/data/1089063/000108906325000012/dks-20250201.htm</x:v>
      </x:c>
      <x:c r="J17" s="8" t="str">
        <x:v>Annual debt notes verify contractual size and dates; does not resolve borrowing eligibility.</x:v>
      </x:c>
    </x:row>
    <x:row r="18" ht="150" customHeight="1">
      <x:c r="A18" s="8" t="str">
        <x:v>acquirer.debt.borrowing_base_and_letters_of_credit</x:v>
      </x:c>
      <x:c r="B18" s="8" t="str">
        <x:v>Resolved</x:v>
      </x:c>
      <x:c r="C18" s="8" t="str">
        <x:v>verified fact</x:v>
      </x:c>
      <x:c r="D18" s="8" t="str">
        <x:v>conditionally applicable requirement</x:v>
      </x:c>
      <x:c r="E18" s="8" t="str">
        <x:v>Instrument rights determine mandatory repayments, coupon resets and legally available borrowing; numerical solvency cannot replace contract evidence.</x:v>
      </x:c>
      <x:c r="F18" s="8" t="str">
        <x:v>DKS LC 19.9 against unsecured 1600; FL LC 7 against 600 commitment, subject to eligible inventory/reserves.</x:v>
      </x:c>
      <x:c r="G18" s="8" t="str">
        <x:v>None for this narrowly defined input; related financing dependencies remain separate.</x:v>
      </x:c>
      <x:c r="H18" s="8" t="str">
        <x:v>Target ABL is terminated under merger 7.16(a); no post-close availability counted. Certificate matters for interim liquidity; funded payoff and LC replacement still matter for closing uses. No blanket waiver.</x:v>
      </x:c>
      <x:c r="I18" s="8" t="str">
        <x:v>https://www.sec.gov/Archives/edgar/data/1089063/000108906325000012/dks-20250201.htm</x:v>
      </x:c>
      <x:c r="J18" s="8" t="str">
        <x:v>DKS Note 9; FL ABL borrowing-base certificate under agreement reporting provisions, held by Wells Fargo/borrower treasury.</x:v>
      </x:c>
    </x:row>
    <x:row r="19" ht="150" customHeight="1">
      <x:c r="A19" s="8" t="str">
        <x:v>acquirer.debt.covenants_and_restricted_payments</x:v>
      </x:c>
      <x:c r="B19" s="8" t="str">
        <x:v>Remaining</x:v>
      </x:c>
      <x:c r="C19" s="8" t="str">
        <x:v>missing evidence</x:v>
      </x:c>
      <x:c r="D19" s="8" t="str">
        <x:v>conditionally applicable requirement</x:v>
      </x:c>
      <x:c r="E19" s="8" t="str">
        <x:v>Instrument rights determine mandatory repayments, coupon resets and legally available borrowing; numerical solvency cannot replace contract evidence.</x:v>
      </x:c>
      <x:c r="F19" s="8" t="str">
        <x:v>DKS lease-adjusted maximum 3.75x; conditional acquisition election 4.25x. FL springing FCCR 1.00x plus restricted-payment conditions.</x:v>
      </x:c>
      <x:c r="G19" s="8" t="str">
        <x:v>Contractual numerator/denominator reconciliation, permitted debt and lien baskets, payment-condition capacity and post-acquisition eligibility.</x:v>
      </x:c>
      <x:c r="H19" s="8" t="str">
        <x:v>Required for all complete funding structures.</x:v>
      </x:c>
      <x:c r="I19" s="8" t="str">
        <x:v>https://www.sec.gov/Archives/edgar/data/1089063/000119312522009887/d285529dex101.htm</x:v>
      </x:c>
      <x:c r="J19" s="8" t="str">
        <x:v>Executed agreements and latest compliance certificates; counsel interpretation. Generic net-debt/EBITDA engine thresholds do not implement these covenants.</x:v>
      </x:c>
    </x:row>
    <x:row r="20" ht="150" customHeight="1">
      <x:c r="A20" s="8" t="str">
        <x:v>target.opening.unrestricted_cash</x:v>
      </x:c>
      <x:c r="B20" s="8" t="str">
        <x:v>Remaining</x:v>
      </x:c>
      <x:c r="C20" s="8" t="str">
        <x:v>missing evidence</x:v>
      </x:c>
      <x:c r="D20" s="8" t="str">
        <x:v>historical fact</x:v>
      </x:c>
      <x:c r="E20" s="8" t="str">
        <x:v>Opening liquidity and debt determine spendable cash, financing need and net leverage; a wrong balance can falsely imply funding.</x:v>
      </x:c>
      <x:c r="F20" s="8" t="str">
        <x:v>Feb 1 cash and equivalents: DKS 1689.940; FL 401, with separately restricted 29. Accounting balances are verified separately.</x:v>
      </x:c>
      <x:c r="G20" s="8" t="str">
        <x:v>Entity-level encumbrances, trapped/repatriable cash, minimum operating balances, and legally available cash at the selected closing date.</x:v>
      </x:c>
      <x:c r="H20" s="8" t="str">
        <x:v>Cash-first consumes availability. A zero contribution removes acquisition use, but group liquidity still cannot count restricted or inaccessible balances. No waiver applied.</x:v>
      </x:c>
      <x:c r="I20" s="8" t="str">
        <x:v>https://www.sec.gov/Archives/edgar/data/850209/000143774925009620/floc20241213_10k.htm</x:v>
      </x:c>
      <x:c r="J20" s="8" t="str">
        <x:v>Treasury cash-by-entity/restriction schedule, credit security documents and counsel review; prospective cash bridge must remain a forecast.</x:v>
      </x:c>
    </x:row>
    <x:row r="21" ht="150" customHeight="1">
      <x:c r="A21" s="8" t="str">
        <x:v>target.opening.cash_restrictions</x:v>
      </x:c>
      <x:c r="B21" s="8" t="str">
        <x:v>Remaining</x:v>
      </x:c>
      <x:c r="C21" s="8" t="str">
        <x:v>missing evidence</x:v>
      </x:c>
      <x:c r="D21" s="8" t="str">
        <x:v>historical fact</x:v>
      </x:c>
      <x:c r="E21" s="8" t="str">
        <x:v>Opening liquidity and debt determine spendable cash, financing need and net leverage; a wrong balance can falsely imply funding.</x:v>
      </x:c>
      <x:c r="F21" s="8" t="str">
        <x:v>Feb 1 cash and equivalents: DKS 1689.940; FL 401, with separately restricted 29. Accounting balances are verified separately.</x:v>
      </x:c>
      <x:c r="G21" s="8" t="str">
        <x:v>Entity-level encumbrances, trapped/repatriable cash, minimum operating balances, and legally available cash at the selected closing date.</x:v>
      </x:c>
      <x:c r="H21" s="8" t="str">
        <x:v>Cash-first consumes availability. A zero contribution removes acquisition use, but group liquidity still cannot count restricted or inaccessible balances. No waiver applied.</x:v>
      </x:c>
      <x:c r="I21" s="8" t="str">
        <x:v>https://www.sec.gov/Archives/edgar/data/850209/000143774925009620/floc20241213_10k.htm</x:v>
      </x:c>
      <x:c r="J21" s="8" t="str">
        <x:v>Treasury cash-by-entity/restriction schedule, credit security documents and counsel review; prospective cash bridge must remain a forecast.</x:v>
      </x:c>
    </x:row>
    <x:row r="22" ht="150" customHeight="1">
      <x:c r="A22" s="8" t="str">
        <x:v>target.opening.debt_principal</x:v>
      </x:c>
      <x:c r="B22" s="8" t="str">
        <x:v>Resolved</x:v>
      </x:c>
      <x:c r="C22" s="8" t="str">
        <x:v>verified fact</x:v>
      </x:c>
      <x:c r="D22" s="8" t="str">
        <x:v>historical fact</x:v>
      </x:c>
      <x:c r="E22" s="8" t="str">
        <x:v>Opening liquidity and debt determine spendable cash, financing need and net leverage; a wrong balance can falsely imply funding.</x:v>
      </x:c>
      <x:c r="F22" s="8" t="str">
        <x:v>DKS notes 750+750; FL notes 400 and finance-lease liability 50. Carrying amounts are separate.</x:v>
      </x:c>
      <x:c r="G22" s="8" t="str">
        <x:v>None for this narrowly defined input; related financing dependencies remain separate.</x:v>
      </x:c>
      <x:c r="H22" s="8" t="str">
        <x:v>Required for all complete funding structures.</x:v>
      </x:c>
      <x:c r="I22" s="8" t="str">
        <x:v>https://www.sec.gov/Archives/edgar/data/850209/000143774925009620/floc20241213_10k.htm</x:v>
      </x:c>
      <x:c r="J22" s="8" t="str">
        <x:v>Debt Note 9 / Note 13 and lease liability ledger; exclude operating leases from financial-debt principal.</x:v>
      </x:c>
    </x:row>
    <x:row r="23" ht="150" customHeight="1">
      <x:c r="A23" s="8" t="str">
        <x:v>target.FY2024.ebitda_reconciliation</x:v>
      </x:c>
      <x:c r="B23" s="8" t="str">
        <x:v>Resolved</x:v>
      </x:c>
      <x:c r="C23" s="8" t="str">
        <x:v>verified fact</x:v>
      </x:c>
      <x:c r="D23" s="8" t="str">
        <x:v>historical fact</x:v>
      </x:c>
      <x:c r="E23" s="8" t="str">
        <x:v>Latest standalone operating base drives forecast EBITDA, cash taxes, working capital and cash available for debt service.</x:v>
      </x:c>
      <x:c r="F23" s="8" t="str">
        <x:v>Computed from verified FY2024 operating profit plus disclosed cash-flow D&amp;A. No exceptional-item addbacks.</x:v>
      </x:c>
      <x:c r="G23" s="8" t="str">
        <x:v>None for this narrowly defined input; related financing dependencies remain separate.</x:v>
      </x:c>
      <x:c r="H23" s="8" t="str">
        <x:v>Required for all complete funding structures.</x:v>
      </x:c>
      <x:c r="I23" s="8" t="str">
        <x:v>https://www.sec.gov/Archives/edgar/data/850209/000143774925009620/floc20241213_10k.htm</x:v>
      </x:c>
      <x:c r="J23" s="8" t="str">
        <x:v>Code-owned sum with dependency checks. This resolves simple operating EBITDA, not covenant EBITDAR.</x:v>
      </x:c>
    </x:row>
    <x:row r="24" ht="150" customHeight="1">
      <x:c r="A24" s="8" t="str">
        <x:v>target.FY2024.receivables</x:v>
      </x:c>
      <x:c r="B24" s="8" t="str">
        <x:v>Resolved</x:v>
      </x:c>
      <x:c r="C24" s="8" t="str">
        <x:v>verified fact</x:v>
      </x:c>
      <x:c r="D24" s="8" t="str">
        <x:v>historical fact</x:v>
      </x:c>
      <x:c r="E24" s="8" t="str">
        <x:v>Latest standalone operating base drives forecast EBITDA, cash taxes, working capital and cash available for debt service.</x:v>
      </x:c>
      <x:c r="F24" s="8" t="str">
        <x:v>FL Note 8 p54: net receivables 156 at Feb 1, 2025; 160 comparative.</x:v>
      </x:c>
      <x:c r="G24" s="8" t="str">
        <x:v>None for this narrowly defined input; related financing dependencies remain separate.</x:v>
      </x:c>
      <x:c r="H24" s="8" t="str">
        <x:v>Required for all complete funding structures.</x:v>
      </x:c>
      <x:c r="I24" s="8" t="str">
        <x:v>https://www.sec.gov/Archives/edgar/data/850209/000143774925009620/floc20241213_10k.htm</x:v>
      </x:c>
      <x:c r="J24" s="8" t="str">
        <x:v>Exact units/date reviewed; feeds selected operating NWC, not all current assets.</x:v>
      </x:c>
    </x:row>
    <x:row r="25" ht="150" customHeight="1">
      <x:c r="A25" s="8" t="str">
        <x:v>target.FY2024.lease_reconciliation</x:v>
      </x:c>
      <x:c r="B25" s="8" t="str">
        <x:v>Remaining</x:v>
      </x:c>
      <x:c r="C25" s="8" t="str">
        <x:v>missing evidence</x:v>
      </x:c>
      <x:c r="D25" s="8" t="str">
        <x:v>historical fact</x:v>
      </x:c>
      <x:c r="E25" s="8" t="str">
        <x:v>Latest standalone operating base drives forecast EBITDA, cash taxes, working capital and cash available for debt service.</x:v>
      </x:c>
      <x:c r="F25" s="8" t="str">
        <x:v>Rent cost components, fixed lease cash, operating liabilities, uncommenced commitments and FL finance cash are separately archived.</x:v>
      </x:c>
      <x:c r="G25" s="8" t="str">
        <x:v>Cash timing for variable/short-term rent, subleases and complete instrument finance-lease interest/principal schedules; reconcile held-for-sale treatment.</x:v>
      </x:c>
      <x:c r="H25" s="8" t="str">
        <x:v>Required for all complete funding structures.</x:v>
      </x:c>
      <x:c r="I25" s="8" t="str">
        <x:v>https://www.sec.gov/Archives/edgar/data/850209/000143774925009620/floc20241213_10k.htm</x:v>
      </x:c>
      <x:c r="J25" s="8" t="str">
        <x:v>Lease Note 7 (DKS) / 16 (FL), lease payment ledger and explicit future rent assumptions. FL liability includes 5 held for sale outside main table.</x:v>
      </x:c>
    </x:row>
    <x:row r="26" ht="150" customHeight="1">
      <x:c r="A26" s="8" t="str">
        <x:v>target.FY2024.dividends_buybacks_commitments</x:v>
      </x:c>
      <x:c r="B26" s="8" t="str">
        <x:v>Remaining</x:v>
      </x:c>
      <x:c r="C26" s="8" t="str">
        <x:v>missing evidence</x:v>
      </x:c>
      <x:c r="D26" s="8" t="str">
        <x:v>historical fact</x:v>
      </x:c>
      <x:c r="E26" s="8" t="str">
        <x:v>Contractual capital commitments can compete with debt service; discretionary future distributions are separate explicit assumptions.</x:v>
      </x:c>
      <x:c r="F26" s="8" t="str">
        <x:v>Cash-flow historical distributions and lease commitments disclosed; future discretionary distributions set to zero only as a scenario assumption.</x:v>
      </x:c>
      <x:c r="G26" s="8" t="str">
        <x:v>Reconciliation of declared/unpaid distributions and binding capex, purchase and lease commitments affecting the closing bridge and forecast.</x:v>
      </x:c>
      <x:c r="H26" s="8" t="str">
        <x:v>Required for all complete funding structures.</x:v>
      </x:c>
      <x:c r="I26" s="8" t="str">
        <x:v>https://www.sec.gov/Archives/edgar/data/850209/000143774925009620/floc20241213_10k.htm</x:v>
      </x:c>
      <x:c r="J26" s="8" t="str">
        <x:v>Annual cash-flow statement, commitments notes, pre-cutoff dividend declarations, treasury payable and capital-commitment schedules.</x:v>
      </x:c>
    </x:row>
    <x:row r="27" ht="150" customHeight="1">
      <x:c r="A27" s="8" t="str">
        <x:v>target.debt.instrument_inventory</x:v>
      </x:c>
      <x:c r="B27" s="8" t="str">
        <x:v>Remaining</x:v>
      </x:c>
      <x:c r="C27" s="8" t="str">
        <x:v>missing evidence</x:v>
      </x:c>
      <x:c r="D27" s="8" t="str">
        <x:v>conditionally applicable requirement</x:v>
      </x:c>
      <x:c r="E27" s="8" t="str">
        <x:v>Instrument rights determine mandatory repayments, coupon resets and legally available borrowing; numerical solvency cannot replace contract evidence.</x:v>
      </x:c>
      <x:c r="F27" s="8" t="str">
        <x:v>Bond series and aggregate lease liabilities disclosed; supplemental disclosures are not a complete executable instrument inventory.</x:v>
      </x:c>
      <x:c r="G27" s="8" t="str">
        <x:v>Complete lease/other borrowing register with principal, maturity, coupon, repayment and close treatment reconciled to debt notes.</x:v>
      </x:c>
      <x:c r="H27" s="8" t="str">
        <x:v>Required for all complete funding structures.</x:v>
      </x:c>
      <x:c r="I27" s="8" t="str">
        <x:v>https://www.sec.gov/Archives/edgar/data/850209/000143774925009620/floc20241213_10k.htm</x:v>
      </x:c>
      <x:c r="J27" s="8" t="str">
        <x:v>Annual debt and lease notes, treasury debt ledger and all material financing leases.</x:v>
      </x:c>
    </x:row>
    <x:row r="28" ht="150" customHeight="1">
      <x:c r="A28" s="8" t="str">
        <x:v>target.debt.maturity_and_amortisation_schedule</x:v>
      </x:c>
      <x:c r="B28" s="8" t="str">
        <x:v>Remaining</x:v>
      </x:c>
      <x:c r="C28" s="8" t="str">
        <x:v>missing evidence</x:v>
      </x:c>
      <x:c r="D28" s="8" t="str">
        <x:v>conditionally applicable requirement</x:v>
      </x:c>
      <x:c r="E28" s="8" t="str">
        <x:v>Instrument rights determine mandatory repayments, coupon resets and legally available borrowing; numerical solvency cannot replace contract evidence.</x:v>
      </x:c>
      <x:c r="F28" s="8" t="str">
        <x:v>DKS bullets Jan 15 2032/2052; FL note Oct 1 2029; annual aggregate lease payments disclosed.</x:v>
      </x:c>
      <x:c r="G28" s="8" t="str">
        <x:v>Finance-lease principal versus interest allocation and instrument-level remaining payment dates; relative model maturity must use assumed closing date.</x:v>
      </x:c>
      <x:c r="H28" s="8" t="str">
        <x:v>Required for all complete funding structures.</x:v>
      </x:c>
      <x:c r="I28" s="8" t="str">
        <x:v>https://www.sec.gov/Archives/edgar/data/850209/000143774925009620/floc20241213_10k.htm</x:v>
      </x:c>
      <x:c r="J28" s="8" t="str">
        <x:v>Original indentures plus lease amortisation ledger. Aggregate future minimum payments are not all principal.</x:v>
      </x:c>
    </x:row>
    <x:row r="29" ht="150" customHeight="1">
      <x:c r="A29" s="8" t="str">
        <x:v>target.debt.coupons_and_resets</x:v>
      </x:c>
      <x:c r="B29" s="8" t="str">
        <x:v>Remaining</x:v>
      </x:c>
      <x:c r="C29" s="8" t="str">
        <x:v>missing evidence</x:v>
      </x:c>
      <x:c r="D29" s="8" t="str">
        <x:v>conditionally applicable requirement</x:v>
      </x:c>
      <x:c r="E29" s="8" t="str">
        <x:v>Instrument rights determine mandatory repayments, coupon resets and legally available borrowing; numerical solvency cannot replace contract evidence.</x:v>
      </x:c>
      <x:c r="F29" s="8" t="str">
        <x:v>Fixed note coupons 3.15%/4.10% DKS and 4% FL; DKS SOFR margin 112.5bp at year-end, FL term-SOFR grid 150-200bp.</x:v>
      </x:c>
      <x:c r="G29" s="8" t="str">
        <x:v>Instrument lease effective interest schedules, applicable future facility pricing-grid/rating assumptions and resets.</x:v>
      </x:c>
      <x:c r="H29" s="8" t="str">
        <x:v>Required for all complete funding structures.</x:v>
      </x:c>
      <x:c r="I29" s="8" t="str">
        <x:v>https://www.sec.gov/Archives/edgar/data/850209/000143774925009620/floc20241213_10k.htm</x:v>
      </x:c>
      <x:c r="J29" s="8" t="str">
        <x:v>Indentures and credit agreements plus lease ledger. Weighted-average lease discount rate is not each instrument coupon.</x:v>
      </x:c>
    </x:row>
    <x:row r="30" ht="150" customHeight="1">
      <x:c r="A30" s="8" t="str">
        <x:v>target.debt.change_of_control</x:v>
      </x:c>
      <x:c r="B30" s="8" t="str">
        <x:v>Remaining</x:v>
      </x:c>
      <x:c r="C30" s="8" t="str">
        <x:v>missing evidence</x:v>
      </x:c>
      <x:c r="D30" s="8" t="str">
        <x:v>conditionally applicable requirement</x:v>
      </x:c>
      <x:c r="E30" s="8" t="str">
        <x:v>Instrument rights determine mandatory repayments, coupon resets and legally available borrowing; numerical solvency cannot replace contract evidence.</x:v>
      </x:c>
      <x:c r="F30" s="8" t="str">
        <x:v>FL ABL termination required at closing. FL note offer 101% requires control AND ratings event. DKS purchase of target does not itself establish DKS control change.</x:v>
      </x:c>
      <x:c r="G30" s="8" t="str">
        <x:v>Facility and lease consent/default application, notes ratings-event assessment and exact retained versus redeemed treatment.</x:v>
      </x:c>
      <x:c r="H30" s="8" t="str">
        <x:v>Required for all complete funding structures.</x:v>
      </x:c>
      <x:c r="I30" s="8" t="str">
        <x:v>https://www.sec.gov/Archives/edgar/data/850209/000110465925049592/tm2515123d3_ex2-1.htm</x:v>
      </x:c>
      <x:c r="J30" s="8" t="str">
        <x:v>Merger 7.16, indenture definitions/4.10, ABL 8.01 and lease contracts; scenario-specific legal review.</x:v>
      </x:c>
    </x:row>
    <x:row r="31" ht="150" customHeight="1">
      <x:c r="A31" s="8" t="str">
        <x:v>target.debt.refinancing_and_repricing</x:v>
      </x:c>
      <x:c r="B31" s="8" t="str">
        <x:v>Remaining</x:v>
      </x:c>
      <x:c r="C31" s="8" t="str">
        <x:v>missing evidence</x:v>
      </x:c>
      <x:c r="D31" s="8" t="str">
        <x:v>conditionally applicable requirement</x:v>
      </x:c>
      <x:c r="E31" s="8" t="str">
        <x:v>Instrument rights determine mandatory repayments, coupon resets and legally available borrowing; numerical solvency cannot replace contract evidence.</x:v>
      </x:c>
      <x:c r="F31" s="8" t="str">
        <x:v>DKS pre-par make-whole; FL redemption 102% before Oct 1 2025, 101% until Oct 1 2026, then par, plus accrued interest.</x:v>
      </x:c>
      <x:c r="G31" s="8" t="str">
        <x:v>Scenario treatment for each instrument, accrued interest, notice timing and any lease termination/consent costs; actual future refinancing is not guaranteed.</x:v>
      </x:c>
      <x:c r="H31" s="8" t="str">
        <x:v>Retain versus redeem changes required calculations. Refinancing coupon/fees are future assumptions; existing call premium/consent rights remain historical facts. No waiver applied.</x:v>
      </x:c>
      <x:c r="I31" s="8" t="str">
        <x:v>https://www.sec.gov/Archives/edgar/data/850209/000153949721001514/exh4-1_indenture.htm</x:v>
      </x:c>
      <x:c r="J31" s="8" t="str">
        <x:v>Original indenture redemption sections and prospective quote sensitivities. Retained DKS notes with no optional redemption do not require a make-whole quote.</x:v>
      </x:c>
    </x:row>
    <x:row r="32" ht="150" customHeight="1">
      <x:c r="A32" s="8" t="str">
        <x:v>target.debt.revolver_commitments</x:v>
      </x:c>
      <x:c r="B32" s="8" t="str">
        <x:v>Resolved</x:v>
      </x:c>
      <x:c r="C32" s="8" t="str">
        <x:v>verified fact</x:v>
      </x:c>
      <x:c r="D32" s="8" t="str">
        <x:v>conditionally applicable requirement</x:v>
      </x:c>
      <x:c r="E32" s="8" t="str">
        <x:v>Instrument rights determine mandatory repayments, coupon resets and legally available borrowing; numerical solvency cannot replace contract evidence.</x:v>
      </x:c>
      <x:c r="F32" s="8" t="str">
        <x:v>DKS unsecured 1600, Jan 14 2027; FL secured 600, June 20 2029. Both zero drawn at fiscal year-end. Uncommitted accordions excluded.</x:v>
      </x:c>
      <x:c r="G32" s="8" t="str">
        <x:v>None for this narrowly defined input; related financing dependencies remain separate.</x:v>
      </x:c>
      <x:c r="H32" s="8" t="str">
        <x:v>Required for all complete funding structures.</x:v>
      </x:c>
      <x:c r="I32" s="8" t="str">
        <x:v>https://www.sec.gov/Archives/edgar/data/850209/000143774925009620/floc20241213_10k.htm</x:v>
      </x:c>
      <x:c r="J32" s="8" t="str">
        <x:v>Annual debt notes verify contractual size and dates; does not resolve borrowing eligibility.</x:v>
      </x:c>
    </x:row>
    <x:row r="33" ht="150" customHeight="1">
      <x:c r="A33" s="8" t="str">
        <x:v>target.debt.borrowing_base_and_letters_of_credit</x:v>
      </x:c>
      <x:c r="B33" s="8" t="str">
        <x:v>Remaining</x:v>
      </x:c>
      <x:c r="C33" s="8" t="str">
        <x:v>missing evidence</x:v>
      </x:c>
      <x:c r="D33" s="8" t="str">
        <x:v>conditionally applicable requirement</x:v>
      </x:c>
      <x:c r="E33" s="8" t="str">
        <x:v>Instrument rights determine mandatory repayments, coupon resets and legally available borrowing; numerical solvency cannot replace contract evidence.</x:v>
      </x:c>
      <x:c r="F33" s="8" t="str">
        <x:v>DKS LC 19.9 against unsecured 1600; FL LC 7 against 600 commitment, subject to eligible inventory/reserves.</x:v>
      </x:c>
      <x:c r="G33" s="8" t="str">
        <x:v>Latest certified eligible collateral, reserves and LC replacement/cash-collateral terms.</x:v>
      </x:c>
      <x:c r="H33" s="8" t="str">
        <x:v>Target ABL is terminated under merger 7.16(a); no post-close availability counted. Certificate matters for interim liquidity; funded payoff and LC replacement still matter for closing uses. No blanket waiver.</x:v>
      </x:c>
      <x:c r="I33" s="8" t="str">
        <x:v>https://www.sec.gov/Archives/edgar/data/850209/000143774925009620/floc20241213_10k.htm</x:v>
      </x:c>
      <x:c r="J33" s="8" t="str">
        <x:v>DKS Note 9; FL ABL borrowing-base certificate under agreement reporting provisions, held by Wells Fargo/borrower treasury.</x:v>
      </x:c>
    </x:row>
    <x:row r="34" ht="150" customHeight="1">
      <x:c r="A34" s="8" t="str">
        <x:v>target.debt.covenants_and_restricted_payments</x:v>
      </x:c>
      <x:c r="B34" s="8" t="str">
        <x:v>Remaining</x:v>
      </x:c>
      <x:c r="C34" s="8" t="str">
        <x:v>missing evidence</x:v>
      </x:c>
      <x:c r="D34" s="8" t="str">
        <x:v>conditionally applicable requirement</x:v>
      </x:c>
      <x:c r="E34" s="8" t="str">
        <x:v>Instrument rights determine mandatory repayments, coupon resets and legally available borrowing; numerical solvency cannot replace contract evidence.</x:v>
      </x:c>
      <x:c r="F34" s="8" t="str">
        <x:v>DKS lease-adjusted maximum 3.75x; conditional acquisition election 4.25x. FL springing FCCR 1.00x plus restricted-payment conditions.</x:v>
      </x:c>
      <x:c r="G34" s="8" t="str">
        <x:v>Contractual numerator/denominator reconciliation, permitted debt and lien baskets, payment-condition capacity and post-acquisition eligibility.</x:v>
      </x:c>
      <x:c r="H34" s="8" t="str">
        <x:v>Required for all complete funding structures.</x:v>
      </x:c>
      <x:c r="I34" s="8" t="str">
        <x:v>https://www.sec.gov/Archives/edgar/data/850209/000143774924021177/ex_691205.htm</x:v>
      </x:c>
      <x:c r="J34" s="8" t="str">
        <x:v>Executed agreements and latest compliance certificates; counsel interpretation. Generic net-debt/EBITDA engine thresholds do not implement these covenants.</x:v>
      </x:c>
    </x:row>
    <x:row r="35" ht="150" customHeight="1">
      <x:c r="A35" s="8" t="str">
        <x:v>assumption.closing_bridge</x:v>
      </x:c>
      <x:c r="B35" s="8" t="str">
        <x:v>Resolved</x:v>
      </x:c>
      <x:c r="C35" s="8" t="str">
        <x:v>explicit modelling assumption</x:v>
      </x:c>
      <x:c r="D35" s="8" t="str">
        <x:v>future modelling assumption</x:v>
      </x:c>
      <x:c r="E35" s="8" t="str">
        <x:v>Future choice controls forecast or funding mechanics; explicit rationale is required, but it is not a historical fact.</x:v>
      </x:c>
      <x:c r="F35" s="8" t="str">
        <x:v>Projected 39-week bridge removes separately disclosed prior-year trade-WC movements before applying explicit closing-WC forecasts once; capex uses verified FY2024 seasonal calibration; not actual FY2025 interim balances. Lease principal must also map to the debt inventory. Public case applies separate cash-access assumptions. Supersedes frozen-balance diagnostic.</x:v>
      </x:c>
      <x:c r="G35" s="8" t="str">
        <x:v>None for this narrowly defined input; related financing dependencies remain separate.</x:v>
      </x:c>
      <x:c r="H35" s="8" t="str">
        <x:v>Required when running the full prospective model. Partial studies disclose only the assumptions they consume.</x:v>
      </x:c>
      <x:c r="I35" s="8" t="str">
        <x:v>Analyst assumption register</x:v>
      </x:c>
      <x:c r="J35" s="8" t="str">
        <x:v>Explicit prospective choice; test uncertainty. Does not replace missing historical balance, rights or obligations.</x:v>
      </x:c>
    </x:row>
    <x:row r="36" ht="150" customHeight="1">
      <x:c r="A36" s="8" t="str">
        <x:v>assumption.operating_forecast</x:v>
      </x:c>
      <x:c r="B36" s="8" t="str">
        <x:v>Resolved</x:v>
      </x:c>
      <x:c r="C36" s="8" t="str">
        <x:v>explicit modelling assumption</x:v>
      </x:c>
      <x:c r="D36" s="8" t="str">
        <x:v>future modelling assumption</x:v>
      </x:c>
      <x:c r="E36" s="8" t="str">
        <x:v>Future choice controls forecast or funding mechanics; explicit rationale is required, but it is not a historical fact.</x:v>
      </x:c>
      <x:c r="F36" s="8" t="str">
        <x:v>Explicit future cost decomposition and growth paths, not reported margins. Calibrate fixed expenses to verified operating EBITDA. Stress revenue and EBITDA margin; preliminary target Q1 deterioration makes flat extrapolation unreliable.</x:v>
      </x:c>
      <x:c r="G36" s="8" t="str">
        <x:v>None for this narrowly defined input; related financing dependencies remain separate.</x:v>
      </x:c>
      <x:c r="H36" s="8" t="str">
        <x:v>Required when running the full prospective model. Partial studies disclose only the assumptions they consume.</x:v>
      </x:c>
      <x:c r="I36" s="8" t="str">
        <x:v>Analyst assumption register</x:v>
      </x:c>
      <x:c r="J36" s="8" t="str">
        <x:v>Explicit prospective choice; test uncertainty. Does not replace missing historical balance, rights or obligations.</x:v>
      </x:c>
    </x:row>
    <x:row r="37" ht="150" customHeight="1">
      <x:c r="A37" s="8" t="str">
        <x:v>assumption.synergy_delivery_and_costs</x:v>
      </x:c>
      <x:c r="B37" s="8" t="str">
        <x:v>Resolved</x:v>
      </x:c>
      <x:c r="C37" s="8" t="str">
        <x:v>explicit modelling assumption</x:v>
      </x:c>
      <x:c r="D37" s="8" t="str">
        <x:v>future modelling assumption</x:v>
      </x:c>
      <x:c r="E37" s="8" t="str">
        <x:v>Future choice controls forecast or funding mechanics; explicit rationale is required, but it is not a historical fact.</x:v>
      </x:c>
      <x:c r="F37" s="8" t="str">
        <x:v>Future delivery/cost choices, not management cost guidance. Test run rates 0/100/125, one-year delay and doubled integration costs.</x:v>
      </x:c>
      <x:c r="G37" s="8" t="str">
        <x:v>None for this narrowly defined input; related financing dependencies remain separate.</x:v>
      </x:c>
      <x:c r="H37" s="8" t="str">
        <x:v>Required when running the full prospective model. Partial studies disclose only the assumptions they consume.</x:v>
      </x:c>
      <x:c r="I37" s="8" t="str">
        <x:v>Analyst assumption register</x:v>
      </x:c>
      <x:c r="J37" s="8" t="str">
        <x:v>Explicit prospective choice; test uncertainty. Does not replace missing historical balance, rights or obligations.</x:v>
      </x:c>
    </x:row>
    <x:row r="38" ht="150" customHeight="1">
      <x:c r="A38" s="8" t="str">
        <x:v>assumption.financing_terms_and_fees</x:v>
      </x:c>
      <x:c r="B38" s="8" t="str">
        <x:v>Resolved</x:v>
      </x:c>
      <x:c r="C38" s="8" t="str">
        <x:v>explicit modelling assumption</x:v>
      </x:c>
      <x:c r="D38" s="8" t="str">
        <x:v>future modelling assumption</x:v>
      </x:c>
      <x:c r="E38" s="8" t="str">
        <x:v>Future choice controls forecast or funding mechanics; explicit rationale is required, but it is not a historical fact.</x:v>
      </x:c>
      <x:c r="F38" s="8" t="str">
        <x:v>Hypothetical future quote: 4.5% benchmark plus 250bp, 2% upfront, 75 transaction costs, stock reference 200. No claim these are committed financing or observed prices. Test rates +/-200bp, spreads +100/+200bp, fees 1/2/3%; historical redemption costs remain separate.</x:v>
      </x:c>
      <x:c r="G38" s="8" t="str">
        <x:v>None for this narrowly defined input; related financing dependencies remain separate.</x:v>
      </x:c>
      <x:c r="H38" s="8" t="str">
        <x:v>Required when running the full prospective model. Partial studies disclose only the assumptions they consume.</x:v>
      </x:c>
      <x:c r="I38" s="8" t="str">
        <x:v>Analyst assumption register</x:v>
      </x:c>
      <x:c r="J38" s="8" t="str">
        <x:v>Explicit prospective choice; test uncertainty. Does not replace missing historical balance, rights or obligations.</x:v>
      </x:c>
    </x:row>
    <x:row r="39" ht="150" customHeight="1">
      <x:c r="A39" s="8" t="str">
        <x:v>assumption.analytical_thresholds</x:v>
      </x:c>
      <x:c r="B39" s="8" t="str">
        <x:v>Resolved</x:v>
      </x:c>
      <x:c r="C39" s="8" t="str">
        <x:v>explicit modelling assumption</x:v>
      </x:c>
      <x:c r="D39" s="8" t="str">
        <x:v>future modelling assumption</x:v>
      </x:c>
      <x:c r="E39" s="8" t="str">
        <x:v>Future choice controls forecast or funding mechanics; explicit rationale is required, but it is not a historical fact.</x:v>
      </x:c>
      <x:c r="F39" s="8" t="str">
        <x:v>Analyst screening limits, not lender covenants or verified tax deductibility; test cash floors 500/750/1000 and leverage 2/3/4.</x:v>
      </x:c>
      <x:c r="G39" s="8" t="str">
        <x:v>None for this narrowly defined input; related financing dependencies remain separate.</x:v>
      </x:c>
      <x:c r="H39" s="8" t="str">
        <x:v>Required when running the full prospective model. Partial studies disclose only the assumptions they consume.</x:v>
      </x:c>
      <x:c r="I39" s="8" t="str">
        <x:v>Analyst assumption register</x:v>
      </x:c>
      <x:c r="J39" s="8" t="str">
        <x:v>Explicit prospective choice; test uncertainty. Does not replace missing historical balance, rights or obligations.</x:v>
      </x:c>
    </x:row>
    <x:row r="40" ht="150" customHeight="1">
      <x:c r="A40" s="8" t="str">
        <x:v>assumption.capital_allocation</x:v>
      </x:c>
      <x:c r="B40" s="8" t="str">
        <x:v>Resolved</x:v>
      </x:c>
      <x:c r="C40" s="8" t="str">
        <x:v>explicit modelling assumption</x:v>
      </x:c>
      <x:c r="D40" s="8" t="str">
        <x:v>future modelling assumption</x:v>
      </x:c>
      <x:c r="E40" s="8" t="str">
        <x:v>Future choice controls forecast or funding mechanics; explicit rationale is required, but it is not a historical fact.</x:v>
      </x:c>
      <x:c r="F40" s="8" t="str">
        <x:v>Prospective suspension of discretionary distributions and optional repayments. Existing declared obligations remain separate missing facts, not zeroed.</x:v>
      </x:c>
      <x:c r="G40" s="8" t="str">
        <x:v>None for this narrowly defined input; related financing dependencies remain separate.</x:v>
      </x:c>
      <x:c r="H40" s="8" t="str">
        <x:v>Required when running the full prospective model. Partial studies disclose only the assumptions they consume.</x:v>
      </x:c>
      <x:c r="I40" s="8" t="str">
        <x:v>Analyst assumption register</x:v>
      </x:c>
      <x:c r="J40" s="8" t="str">
        <x:v>Explicit prospective choice; test uncertainty. Does not replace missing historical balance, rights or obligations.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5" hidden="0" customWidth="1"/>
    <x:col min="2" max="2" width="22" hidden="0" customWidth="1"/>
    <x:col min="3" max="3" width="1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90" hidden="0" customWidth="1"/>
  </x:cols>
  <x:sheetData>
    <x:row r="2" ht="42" customHeight="1">
      <x:c r="A2" s="5" t="str">
        <x:v>Evidence review | Historical sensitivities</x:v>
      </x:c>
      <x:c r="B2" s="5"/>
      <x:c r="C2" s="5"/>
      <x:c r="D2" s="5"/>
      <x:c r="E2" s="5"/>
      <x:c r="F2" s="5"/>
      <x:c r="G2" s="5"/>
      <x:c r="H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  <x:c r="F3" s="4"/>
      <x:c r="G3" s="4"/>
      <x:c r="H3" s="4"/>
    </x:row>
    <x:row r="4" ht="42" customHeight="1">
      <x:c r="A4" s="7" t="str">
        <x:v>Study</x:v>
      </x:c>
      <x:c r="B4" s="7" t="str">
        <x:v>Company</x:v>
      </x:c>
      <x:c r="C4" s="7" t="str">
        <x:v>Year</x:v>
      </x:c>
      <x:c r="D4" s="7" t="str">
        <x:v>Annual growth</x:v>
      </x:c>
      <x:c r="E4" s="7" t="str">
        <x:v>Margin shift</x:v>
      </x:c>
      <x:c r="F4" s="7" t="str">
        <x:v>Revenue</x:v>
      </x:c>
      <x:c r="G4" s="7" t="str">
        <x:v>EBITDA</x:v>
      </x:c>
      <x:c r="H4" s="7" t="str">
        <x:v>Limitations</x:v>
      </x:c>
    </x:row>
    <x:row r="5" ht="80" customHeight="1">
      <x:c r="A5" s="8" t="str">
        <x:v>Hypothetical operating sensitivity; not actual company forecast or capacity</x:v>
      </x:c>
      <x:c r="B5" s="8" t="str">
        <x:v>acquirer</x:v>
      </x:c>
      <x:c r="C5" s="23" t="n">
        <x:v>1</x:v>
      </x:c>
      <x:c r="D5" s="22" t="n">
        <x:v>0</x:v>
      </x:c>
      <x:c r="E5" s="22" t="n">
        <x:v>0</x:v>
      </x:c>
      <x:c r="F5" s="8" t="n">
        <x:v>13442.849</x:v>
      </x:c>
      <x:c r="G5" s="8" t="n">
        <x:v>1874.3410000000001</x:v>
      </x:c>
      <x:c r="H5" s="8" t="str">
        <x:v>Constant stressed EBITDA margin; excludes synergies, integration, capex, taxes, rent cash and financing. No preferred structure.</x:v>
      </x:c>
    </x:row>
    <x:row r="6" ht="80" customHeight="1">
      <x:c r="A6" s="8" t="str">
        <x:v>Hypothetical operating sensitivity; not actual company forecast or capacity</x:v>
      </x:c>
      <x:c r="B6" s="8" t="str">
        <x:v>acquirer</x:v>
      </x:c>
      <x:c r="C6" s="23" t="n">
        <x:v>2</x:v>
      </x:c>
      <x:c r="D6" s="22" t="n">
        <x:v>0</x:v>
      </x:c>
      <x:c r="E6" s="22" t="n">
        <x:v>0</x:v>
      </x:c>
      <x:c r="F6" s="8" t="n">
        <x:v>13442.849</x:v>
      </x:c>
      <x:c r="G6" s="8" t="n">
        <x:v>1874.3410000000001</x:v>
      </x:c>
      <x:c r="H6" s="8" t="str">
        <x:v>Constant stressed EBITDA margin; excludes synergies, integration, capex, taxes, rent cash and financing. No preferred structure.</x:v>
      </x:c>
    </x:row>
    <x:row r="7" ht="80" customHeight="1">
      <x:c r="A7" s="8" t="str">
        <x:v>Hypothetical operating sensitivity; not actual company forecast or capacity</x:v>
      </x:c>
      <x:c r="B7" s="8" t="str">
        <x:v>acquirer</x:v>
      </x:c>
      <x:c r="C7" s="23" t="n">
        <x:v>3</x:v>
      </x:c>
      <x:c r="D7" s="22" t="n">
        <x:v>0</x:v>
      </x:c>
      <x:c r="E7" s="22" t="n">
        <x:v>0</x:v>
      </x:c>
      <x:c r="F7" s="8" t="n">
        <x:v>13442.849</x:v>
      </x:c>
      <x:c r="G7" s="8" t="n">
        <x:v>1874.3410000000001</x:v>
      </x:c>
      <x:c r="H7" s="8" t="str">
        <x:v>Constant stressed EBITDA margin; excludes synergies, integration, capex, taxes, rent cash and financing. No preferred structure.</x:v>
      </x:c>
    </x:row>
    <x:row r="8" ht="80" customHeight="1">
      <x:c r="A8" s="8" t="str">
        <x:v>Hypothetical operating sensitivity; not actual company forecast or capacity</x:v>
      </x:c>
      <x:c r="B8" s="8" t="str">
        <x:v>acquirer</x:v>
      </x:c>
      <x:c r="C8" s="23" t="n">
        <x:v>4</x:v>
      </x:c>
      <x:c r="D8" s="22" t="n">
        <x:v>0</x:v>
      </x:c>
      <x:c r="E8" s="22" t="n">
        <x:v>0</x:v>
      </x:c>
      <x:c r="F8" s="8" t="n">
        <x:v>13442.849</x:v>
      </x:c>
      <x:c r="G8" s="8" t="n">
        <x:v>1874.3410000000001</x:v>
      </x:c>
      <x:c r="H8" s="8" t="str">
        <x:v>Constant stressed EBITDA margin; excludes synergies, integration, capex, taxes, rent cash and financing. No preferred structure.</x:v>
      </x:c>
    </x:row>
    <x:row r="9" ht="80" customHeight="1">
      <x:c r="A9" s="8" t="str">
        <x:v>Hypothetical operating sensitivity; not actual company forecast or capacity</x:v>
      </x:c>
      <x:c r="B9" s="8" t="str">
        <x:v>acquirer</x:v>
      </x:c>
      <x:c r="C9" s="23" t="n">
        <x:v>5</x:v>
      </x:c>
      <x:c r="D9" s="22" t="n">
        <x:v>0</x:v>
      </x:c>
      <x:c r="E9" s="22" t="n">
        <x:v>0</x:v>
      </x:c>
      <x:c r="F9" s="8" t="n">
        <x:v>13442.849</x:v>
      </x:c>
      <x:c r="G9" s="8" t="n">
        <x:v>1874.3410000000001</x:v>
      </x:c>
      <x:c r="H9" s="8" t="str">
        <x:v>Constant stressed EBITDA margin; excludes synergies, integration, capex, taxes, rent cash and financing. No preferred structure.</x:v>
      </x:c>
    </x:row>
    <x:row r="10" ht="80" customHeight="1">
      <x:c r="A10" s="8" t="str">
        <x:v>Hypothetical operating sensitivity; not actual company forecast or capacity</x:v>
      </x:c>
      <x:c r="B10" s="8" t="str">
        <x:v>acquirer</x:v>
      </x:c>
      <x:c r="C10" s="23" t="n">
        <x:v>1</x:v>
      </x:c>
      <x:c r="D10" s="22" t="n">
        <x:v>0</x:v>
      </x:c>
      <x:c r="E10" s="22" t="n">
        <x:v>-0.01</x:v>
      </x:c>
      <x:c r="F10" s="8" t="n">
        <x:v>13442.849</x:v>
      </x:c>
      <x:c r="G10" s="8" t="n">
        <x:v>1739.9125099999999</x:v>
      </x:c>
      <x:c r="H10" s="8" t="str">
        <x:v>Constant stressed EBITDA margin; excludes synergies, integration, capex, taxes, rent cash and financing. No preferred structure.</x:v>
      </x:c>
    </x:row>
    <x:row r="11" ht="80" customHeight="1">
      <x:c r="A11" s="8" t="str">
        <x:v>Hypothetical operating sensitivity; not actual company forecast or capacity</x:v>
      </x:c>
      <x:c r="B11" s="8" t="str">
        <x:v>acquirer</x:v>
      </x:c>
      <x:c r="C11" s="23" t="n">
        <x:v>2</x:v>
      </x:c>
      <x:c r="D11" s="22" t="n">
        <x:v>0</x:v>
      </x:c>
      <x:c r="E11" s="22" t="n">
        <x:v>-0.01</x:v>
      </x:c>
      <x:c r="F11" s="8" t="n">
        <x:v>13442.849</x:v>
      </x:c>
      <x:c r="G11" s="8" t="n">
        <x:v>1739.9125099999999</x:v>
      </x:c>
      <x:c r="H11" s="8" t="str">
        <x:v>Constant stressed EBITDA margin; excludes synergies, integration, capex, taxes, rent cash and financing. No preferred structure.</x:v>
      </x:c>
    </x:row>
    <x:row r="12" ht="80" customHeight="1">
      <x:c r="A12" s="8" t="str">
        <x:v>Hypothetical operating sensitivity; not actual company forecast or capacity</x:v>
      </x:c>
      <x:c r="B12" s="8" t="str">
        <x:v>acquirer</x:v>
      </x:c>
      <x:c r="C12" s="23" t="n">
        <x:v>3</x:v>
      </x:c>
      <x:c r="D12" s="22" t="n">
        <x:v>0</x:v>
      </x:c>
      <x:c r="E12" s="22" t="n">
        <x:v>-0.01</x:v>
      </x:c>
      <x:c r="F12" s="8" t="n">
        <x:v>13442.849</x:v>
      </x:c>
      <x:c r="G12" s="8" t="n">
        <x:v>1739.9125099999999</x:v>
      </x:c>
      <x:c r="H12" s="8" t="str">
        <x:v>Constant stressed EBITDA margin; excludes synergies, integration, capex, taxes, rent cash and financing. No preferred structure.</x:v>
      </x:c>
    </x:row>
    <x:row r="13" ht="80" customHeight="1">
      <x:c r="A13" s="8" t="str">
        <x:v>Hypothetical operating sensitivity; not actual company forecast or capacity</x:v>
      </x:c>
      <x:c r="B13" s="8" t="str">
        <x:v>acquirer</x:v>
      </x:c>
      <x:c r="C13" s="23" t="n">
        <x:v>4</x:v>
      </x:c>
      <x:c r="D13" s="22" t="n">
        <x:v>0</x:v>
      </x:c>
      <x:c r="E13" s="22" t="n">
        <x:v>-0.01</x:v>
      </x:c>
      <x:c r="F13" s="8" t="n">
        <x:v>13442.849</x:v>
      </x:c>
      <x:c r="G13" s="8" t="n">
        <x:v>1739.9125099999999</x:v>
      </x:c>
      <x:c r="H13" s="8" t="str">
        <x:v>Constant stressed EBITDA margin; excludes synergies, integration, capex, taxes, rent cash and financing. No preferred structure.</x:v>
      </x:c>
    </x:row>
    <x:row r="14" ht="80" customHeight="1">
      <x:c r="A14" s="8" t="str">
        <x:v>Hypothetical operating sensitivity; not actual company forecast or capacity</x:v>
      </x:c>
      <x:c r="B14" s="8" t="str">
        <x:v>acquirer</x:v>
      </x:c>
      <x:c r="C14" s="23" t="n">
        <x:v>5</x:v>
      </x:c>
      <x:c r="D14" s="22" t="n">
        <x:v>0</x:v>
      </x:c>
      <x:c r="E14" s="22" t="n">
        <x:v>-0.01</x:v>
      </x:c>
      <x:c r="F14" s="8" t="n">
        <x:v>13442.849</x:v>
      </x:c>
      <x:c r="G14" s="8" t="n">
        <x:v>1739.9125099999999</x:v>
      </x:c>
      <x:c r="H14" s="8" t="str">
        <x:v>Constant stressed EBITDA margin; excludes synergies, integration, capex, taxes, rent cash and financing. No preferred structure.</x:v>
      </x:c>
    </x:row>
    <x:row r="15" ht="80" customHeight="1">
      <x:c r="A15" s="8" t="str">
        <x:v>Hypothetical operating sensitivity; not actual company forecast or capacity</x:v>
      </x:c>
      <x:c r="B15" s="8" t="str">
        <x:v>acquirer</x:v>
      </x:c>
      <x:c r="C15" s="23" t="n">
        <x:v>1</x:v>
      </x:c>
      <x:c r="D15" s="22" t="n">
        <x:v>0</x:v>
      </x:c>
      <x:c r="E15" s="22" t="n">
        <x:v>-0.02</x:v>
      </x:c>
      <x:c r="F15" s="8" t="n">
        <x:v>13442.849</x:v>
      </x:c>
      <x:c r="G15" s="8" t="n">
        <x:v>1605.48402</x:v>
      </x:c>
      <x:c r="H15" s="8" t="str">
        <x:v>Constant stressed EBITDA margin; excludes synergies, integration, capex, taxes, rent cash and financing. No preferred structure.</x:v>
      </x:c>
    </x:row>
    <x:row r="16" ht="80" customHeight="1">
      <x:c r="A16" s="8" t="str">
        <x:v>Hypothetical operating sensitivity; not actual company forecast or capacity</x:v>
      </x:c>
      <x:c r="B16" s="8" t="str">
        <x:v>acquirer</x:v>
      </x:c>
      <x:c r="C16" s="23" t="n">
        <x:v>2</x:v>
      </x:c>
      <x:c r="D16" s="22" t="n">
        <x:v>0</x:v>
      </x:c>
      <x:c r="E16" s="22" t="n">
        <x:v>-0.02</x:v>
      </x:c>
      <x:c r="F16" s="8" t="n">
        <x:v>13442.849</x:v>
      </x:c>
      <x:c r="G16" s="8" t="n">
        <x:v>1605.48402</x:v>
      </x:c>
      <x:c r="H16" s="8" t="str">
        <x:v>Constant stressed EBITDA margin; excludes synergies, integration, capex, taxes, rent cash and financing. No preferred structure.</x:v>
      </x:c>
    </x:row>
    <x:row r="17" ht="80" customHeight="1">
      <x:c r="A17" s="8" t="str">
        <x:v>Hypothetical operating sensitivity; not actual company forecast or capacity</x:v>
      </x:c>
      <x:c r="B17" s="8" t="str">
        <x:v>acquirer</x:v>
      </x:c>
      <x:c r="C17" s="23" t="n">
        <x:v>3</x:v>
      </x:c>
      <x:c r="D17" s="22" t="n">
        <x:v>0</x:v>
      </x:c>
      <x:c r="E17" s="22" t="n">
        <x:v>-0.02</x:v>
      </x:c>
      <x:c r="F17" s="8" t="n">
        <x:v>13442.849</x:v>
      </x:c>
      <x:c r="G17" s="8" t="n">
        <x:v>1605.48402</x:v>
      </x:c>
      <x:c r="H17" s="8" t="str">
        <x:v>Constant stressed EBITDA margin; excludes synergies, integration, capex, taxes, rent cash and financing. No preferred structure.</x:v>
      </x:c>
    </x:row>
    <x:row r="18" ht="80" customHeight="1">
      <x:c r="A18" s="8" t="str">
        <x:v>Hypothetical operating sensitivity; not actual company forecast or capacity</x:v>
      </x:c>
      <x:c r="B18" s="8" t="str">
        <x:v>acquirer</x:v>
      </x:c>
      <x:c r="C18" s="23" t="n">
        <x:v>4</x:v>
      </x:c>
      <x:c r="D18" s="22" t="n">
        <x:v>0</x:v>
      </x:c>
      <x:c r="E18" s="22" t="n">
        <x:v>-0.02</x:v>
      </x:c>
      <x:c r="F18" s="8" t="n">
        <x:v>13442.849</x:v>
      </x:c>
      <x:c r="G18" s="8" t="n">
        <x:v>1605.48402</x:v>
      </x:c>
      <x:c r="H18" s="8" t="str">
        <x:v>Constant stressed EBITDA margin; excludes synergies, integration, capex, taxes, rent cash and financing. No preferred structure.</x:v>
      </x:c>
    </x:row>
    <x:row r="19" ht="80" customHeight="1">
      <x:c r="A19" s="8" t="str">
        <x:v>Hypothetical operating sensitivity; not actual company forecast or capacity</x:v>
      </x:c>
      <x:c r="B19" s="8" t="str">
        <x:v>acquirer</x:v>
      </x:c>
      <x:c r="C19" s="23" t="n">
        <x:v>5</x:v>
      </x:c>
      <x:c r="D19" s="22" t="n">
        <x:v>0</x:v>
      </x:c>
      <x:c r="E19" s="22" t="n">
        <x:v>-0.02</x:v>
      </x:c>
      <x:c r="F19" s="8" t="n">
        <x:v>13442.849</x:v>
      </x:c>
      <x:c r="G19" s="8" t="n">
        <x:v>1605.48402</x:v>
      </x:c>
      <x:c r="H19" s="8" t="str">
        <x:v>Constant stressed EBITDA margin; excludes synergies, integration, capex, taxes, rent cash and financing. No preferred structure.</x:v>
      </x:c>
    </x:row>
    <x:row r="20" ht="80" customHeight="1">
      <x:c r="A20" s="8" t="str">
        <x:v>Hypothetical operating sensitivity; not actual company forecast or capacity</x:v>
      </x:c>
      <x:c r="B20" s="8" t="str">
        <x:v>acquirer</x:v>
      </x:c>
      <x:c r="C20" s="23" t="n">
        <x:v>1</x:v>
      </x:c>
      <x:c r="D20" s="22" t="n">
        <x:v>-0.05</x:v>
      </x:c>
      <x:c r="E20" s="22" t="n">
        <x:v>0</x:v>
      </x:c>
      <x:c r="F20" s="8" t="n">
        <x:v>12770.706549999999</x:v>
      </x:c>
      <x:c r="G20" s="8" t="n">
        <x:v>1780.62395</x:v>
      </x:c>
      <x:c r="H20" s="8" t="str">
        <x:v>Constant stressed EBITDA margin; excludes synergies, integration, capex, taxes, rent cash and financing. No preferred structure.</x:v>
      </x:c>
    </x:row>
    <x:row r="21" ht="80" customHeight="1">
      <x:c r="A21" s="8" t="str">
        <x:v>Hypothetical operating sensitivity; not actual company forecast or capacity</x:v>
      </x:c>
      <x:c r="B21" s="8" t="str">
        <x:v>acquirer</x:v>
      </x:c>
      <x:c r="C21" s="23" t="n">
        <x:v>2</x:v>
      </x:c>
      <x:c r="D21" s="22" t="n">
        <x:v>-0.05</x:v>
      </x:c>
      <x:c r="E21" s="22" t="n">
        <x:v>0</x:v>
      </x:c>
      <x:c r="F21" s="8" t="n">
        <x:v>12132.1712225</x:v>
      </x:c>
      <x:c r="G21" s="8" t="n">
        <x:v>1691.5927525</x:v>
      </x:c>
      <x:c r="H21" s="8" t="str">
        <x:v>Constant stressed EBITDA margin; excludes synergies, integration, capex, taxes, rent cash and financing. No preferred structure.</x:v>
      </x:c>
    </x:row>
    <x:row r="22" ht="80" customHeight="1">
      <x:c r="A22" s="8" t="str">
        <x:v>Hypothetical operating sensitivity; not actual company forecast or capacity</x:v>
      </x:c>
      <x:c r="B22" s="8" t="str">
        <x:v>acquirer</x:v>
      </x:c>
      <x:c r="C22" s="23" t="n">
        <x:v>3</x:v>
      </x:c>
      <x:c r="D22" s="22" t="n">
        <x:v>-0.05</x:v>
      </x:c>
      <x:c r="E22" s="22" t="n">
        <x:v>0</x:v>
      </x:c>
      <x:c r="F22" s="8" t="n">
        <x:v>11525.562661375</x:v>
      </x:c>
      <x:c r="G22" s="8" t="n">
        <x:v>1607.013114875</x:v>
      </x:c>
      <x:c r="H22" s="8" t="str">
        <x:v>Constant stressed EBITDA margin; excludes synergies, integration, capex, taxes, rent cash and financing. No preferred structure.</x:v>
      </x:c>
    </x:row>
    <x:row r="23" ht="80" customHeight="1">
      <x:c r="A23" s="8" t="str">
        <x:v>Hypothetical operating sensitivity; not actual company forecast or capacity</x:v>
      </x:c>
      <x:c r="B23" s="8" t="str">
        <x:v>acquirer</x:v>
      </x:c>
      <x:c r="C23" s="23" t="n">
        <x:v>4</x:v>
      </x:c>
      <x:c r="D23" s="22" t="n">
        <x:v>-0.05</x:v>
      </x:c>
      <x:c r="E23" s="22" t="n">
        <x:v>0</x:v>
      </x:c>
      <x:c r="F23" s="8" t="n">
        <x:v>10949.284528306249</x:v>
      </x:c>
      <x:c r="G23" s="8" t="n">
        <x:v>1526.6624591312498</x:v>
      </x:c>
      <x:c r="H23" s="8" t="str">
        <x:v>Constant stressed EBITDA margin; excludes synergies, integration, capex, taxes, rent cash and financing. No preferred structure.</x:v>
      </x:c>
    </x:row>
    <x:row r="24" ht="80" customHeight="1">
      <x:c r="A24" s="8" t="str">
        <x:v>Hypothetical operating sensitivity; not actual company forecast or capacity</x:v>
      </x:c>
      <x:c r="B24" s="8" t="str">
        <x:v>acquirer</x:v>
      </x:c>
      <x:c r="C24" s="23" t="n">
        <x:v>5</x:v>
      </x:c>
      <x:c r="D24" s="22" t="n">
        <x:v>-0.05</x:v>
      </x:c>
      <x:c r="E24" s="22" t="n">
        <x:v>0</x:v>
      </x:c>
      <x:c r="F24" s="8" t="n">
        <x:v>10401.820301890935</x:v>
      </x:c>
      <x:c r="G24" s="8" t="n">
        <x:v>1450.3293361746871</x:v>
      </x:c>
      <x:c r="H24" s="8" t="str">
        <x:v>Constant stressed EBITDA margin; excludes synergies, integration, capex, taxes, rent cash and financing. No preferred structure.</x:v>
      </x:c>
    </x:row>
    <x:row r="25" ht="80" customHeight="1">
      <x:c r="A25" s="8" t="str">
        <x:v>Hypothetical operating sensitivity; not actual company forecast or capacity</x:v>
      </x:c>
      <x:c r="B25" s="8" t="str">
        <x:v>acquirer</x:v>
      </x:c>
      <x:c r="C25" s="23" t="n">
        <x:v>1</x:v>
      </x:c>
      <x:c r="D25" s="22" t="n">
        <x:v>-0.05</x:v>
      </x:c>
      <x:c r="E25" s="22" t="n">
        <x:v>-0.01</x:v>
      </x:c>
      <x:c r="F25" s="8" t="n">
        <x:v>12770.706549999999</x:v>
      </x:c>
      <x:c r="G25" s="8" t="n">
        <x:v>1652.9168844999997</x:v>
      </x:c>
      <x:c r="H25" s="8" t="str">
        <x:v>Constant stressed EBITDA margin; excludes synergies, integration, capex, taxes, rent cash and financing. No preferred structure.</x:v>
      </x:c>
    </x:row>
    <x:row r="26" ht="80" customHeight="1">
      <x:c r="A26" s="8" t="str">
        <x:v>Hypothetical operating sensitivity; not actual company forecast or capacity</x:v>
      </x:c>
      <x:c r="B26" s="8" t="str">
        <x:v>acquirer</x:v>
      </x:c>
      <x:c r="C26" s="23" t="n">
        <x:v>2</x:v>
      </x:c>
      <x:c r="D26" s="22" t="n">
        <x:v>-0.05</x:v>
      </x:c>
      <x:c r="E26" s="22" t="n">
        <x:v>-0.01</x:v>
      </x:c>
      <x:c r="F26" s="8" t="n">
        <x:v>12132.1712225</x:v>
      </x:c>
      <x:c r="G26" s="8" t="n">
        <x:v>1570.271040275</x:v>
      </x:c>
      <x:c r="H26" s="8" t="str">
        <x:v>Constant stressed EBITDA margin; excludes synergies, integration, capex, taxes, rent cash and financing. No preferred structure.</x:v>
      </x:c>
    </x:row>
    <x:row r="27" ht="80" customHeight="1">
      <x:c r="A27" s="8" t="str">
        <x:v>Hypothetical operating sensitivity; not actual company forecast or capacity</x:v>
      </x:c>
      <x:c r="B27" s="8" t="str">
        <x:v>acquirer</x:v>
      </x:c>
      <x:c r="C27" s="23" t="n">
        <x:v>3</x:v>
      </x:c>
      <x:c r="D27" s="22" t="n">
        <x:v>-0.05</x:v>
      </x:c>
      <x:c r="E27" s="22" t="n">
        <x:v>-0.01</x:v>
      </x:c>
      <x:c r="F27" s="8" t="n">
        <x:v>11525.562661375</x:v>
      </x:c>
      <x:c r="G27" s="8" t="n">
        <x:v>1491.7574882612498</x:v>
      </x:c>
      <x:c r="H27" s="8" t="str">
        <x:v>Constant stressed EBITDA margin; excludes synergies, integration, capex, taxes, rent cash and financing. No preferred structure.</x:v>
      </x:c>
    </x:row>
    <x:row r="28" ht="80" customHeight="1">
      <x:c r="A28" s="8" t="str">
        <x:v>Hypothetical operating sensitivity; not actual company forecast or capacity</x:v>
      </x:c>
      <x:c r="B28" s="8" t="str">
        <x:v>acquirer</x:v>
      </x:c>
      <x:c r="C28" s="23" t="n">
        <x:v>4</x:v>
      </x:c>
      <x:c r="D28" s="22" t="n">
        <x:v>-0.05</x:v>
      </x:c>
      <x:c r="E28" s="22" t="n">
        <x:v>-0.01</x:v>
      </x:c>
      <x:c r="F28" s="8" t="n">
        <x:v>10949.284528306249</x:v>
      </x:c>
      <x:c r="G28" s="8" t="n">
        <x:v>1417.1696138481873</x:v>
      </x:c>
      <x:c r="H28" s="8" t="str">
        <x:v>Constant stressed EBITDA margin; excludes synergies, integration, capex, taxes, rent cash and financing. No preferred structure.</x:v>
      </x:c>
    </x:row>
    <x:row r="29" ht="80" customHeight="1">
      <x:c r="A29" s="8" t="str">
        <x:v>Hypothetical operating sensitivity; not actual company forecast or capacity</x:v>
      </x:c>
      <x:c r="B29" s="8" t="str">
        <x:v>acquirer</x:v>
      </x:c>
      <x:c r="C29" s="23" t="n">
        <x:v>5</x:v>
      </x:c>
      <x:c r="D29" s="22" t="n">
        <x:v>-0.05</x:v>
      </x:c>
      <x:c r="E29" s="22" t="n">
        <x:v>-0.01</x:v>
      </x:c>
      <x:c r="F29" s="8" t="n">
        <x:v>10401.820301890935</x:v>
      </x:c>
      <x:c r="G29" s="8" t="n">
        <x:v>1346.3111331557777</x:v>
      </x:c>
      <x:c r="H29" s="8" t="str">
        <x:v>Constant stressed EBITDA margin; excludes synergies, integration, capex, taxes, rent cash and financing. No preferred structure.</x:v>
      </x:c>
    </x:row>
    <x:row r="30" ht="80" customHeight="1">
      <x:c r="A30" s="8" t="str">
        <x:v>Hypothetical operating sensitivity; not actual company forecast or capacity</x:v>
      </x:c>
      <x:c r="B30" s="8" t="str">
        <x:v>acquirer</x:v>
      </x:c>
      <x:c r="C30" s="23" t="n">
        <x:v>1</x:v>
      </x:c>
      <x:c r="D30" s="22" t="n">
        <x:v>-0.05</x:v>
      </x:c>
      <x:c r="E30" s="22" t="n">
        <x:v>-0.02</x:v>
      </x:c>
      <x:c r="F30" s="8" t="n">
        <x:v>12770.706549999999</x:v>
      </x:c>
      <x:c r="G30" s="8" t="n">
        <x:v>1525.209819</x:v>
      </x:c>
      <x:c r="H30" s="8" t="str">
        <x:v>Constant stressed EBITDA margin; excludes synergies, integration, capex, taxes, rent cash and financing. No preferred structure.</x:v>
      </x:c>
    </x:row>
    <x:row r="31" ht="80" customHeight="1">
      <x:c r="A31" s="8" t="str">
        <x:v>Hypothetical operating sensitivity; not actual company forecast or capacity</x:v>
      </x:c>
      <x:c r="B31" s="8" t="str">
        <x:v>acquirer</x:v>
      </x:c>
      <x:c r="C31" s="23" t="n">
        <x:v>2</x:v>
      </x:c>
      <x:c r="D31" s="22" t="n">
        <x:v>-0.05</x:v>
      </x:c>
      <x:c r="E31" s="22" t="n">
        <x:v>-0.02</x:v>
      </x:c>
      <x:c r="F31" s="8" t="n">
        <x:v>12132.1712225</x:v>
      </x:c>
      <x:c r="G31" s="8" t="n">
        <x:v>1448.9493280499998</x:v>
      </x:c>
      <x:c r="H31" s="8" t="str">
        <x:v>Constant stressed EBITDA margin; excludes synergies, integration, capex, taxes, rent cash and financing. No preferred structure.</x:v>
      </x:c>
    </x:row>
    <x:row r="32" ht="80" customHeight="1">
      <x:c r="A32" s="8" t="str">
        <x:v>Hypothetical operating sensitivity; not actual company forecast or capacity</x:v>
      </x:c>
      <x:c r="B32" s="8" t="str">
        <x:v>acquirer</x:v>
      </x:c>
      <x:c r="C32" s="23" t="n">
        <x:v>3</x:v>
      </x:c>
      <x:c r="D32" s="22" t="n">
        <x:v>-0.05</x:v>
      </x:c>
      <x:c r="E32" s="22" t="n">
        <x:v>-0.02</x:v>
      </x:c>
      <x:c r="F32" s="8" t="n">
        <x:v>11525.562661375</x:v>
      </x:c>
      <x:c r="G32" s="8" t="n">
        <x:v>1376.5018616475</x:v>
      </x:c>
      <x:c r="H32" s="8" t="str">
        <x:v>Constant stressed EBITDA margin; excludes synergies, integration, capex, taxes, rent cash and financing. No preferred structure.</x:v>
      </x:c>
    </x:row>
    <x:row r="33" ht="80" customHeight="1">
      <x:c r="A33" s="8" t="str">
        <x:v>Hypothetical operating sensitivity; not actual company forecast or capacity</x:v>
      </x:c>
      <x:c r="B33" s="8" t="str">
        <x:v>acquirer</x:v>
      </x:c>
      <x:c r="C33" s="23" t="n">
        <x:v>4</x:v>
      </x:c>
      <x:c r="D33" s="22" t="n">
        <x:v>-0.05</x:v>
      </x:c>
      <x:c r="E33" s="22" t="n">
        <x:v>-0.02</x:v>
      </x:c>
      <x:c r="F33" s="8" t="n">
        <x:v>10949.284528306249</x:v>
      </x:c>
      <x:c r="G33" s="8" t="n">
        <x:v>1307.6767685651248</x:v>
      </x:c>
      <x:c r="H33" s="8" t="str">
        <x:v>Constant stressed EBITDA margin; excludes synergies, integration, capex, taxes, rent cash and financing. No preferred structure.</x:v>
      </x:c>
    </x:row>
    <x:row r="34" ht="80" customHeight="1">
      <x:c r="A34" s="8" t="str">
        <x:v>Hypothetical operating sensitivity; not actual company forecast or capacity</x:v>
      </x:c>
      <x:c r="B34" s="8" t="str">
        <x:v>acquirer</x:v>
      </x:c>
      <x:c r="C34" s="23" t="n">
        <x:v>5</x:v>
      </x:c>
      <x:c r="D34" s="22" t="n">
        <x:v>-0.05</x:v>
      </x:c>
      <x:c r="E34" s="22" t="n">
        <x:v>-0.02</x:v>
      </x:c>
      <x:c r="F34" s="8" t="n">
        <x:v>10401.820301890935</x:v>
      </x:c>
      <x:c r="G34" s="8" t="n">
        <x:v>1242.2929301368686</x:v>
      </x:c>
      <x:c r="H34" s="8" t="str">
        <x:v>Constant stressed EBITDA margin; excludes synergies, integration, capex, taxes, rent cash and financing. No preferred structure.</x:v>
      </x:c>
    </x:row>
    <x:row r="35" ht="80" customHeight="1">
      <x:c r="A35" s="8" t="str">
        <x:v>Hypothetical operating sensitivity; not actual company forecast or capacity</x:v>
      </x:c>
      <x:c r="B35" s="8" t="str">
        <x:v>acquirer</x:v>
      </x:c>
      <x:c r="C35" s="23" t="n">
        <x:v>1</x:v>
      </x:c>
      <x:c r="D35" s="22" t="n">
        <x:v>-0.1</x:v>
      </x:c>
      <x:c r="E35" s="22" t="n">
        <x:v>0</x:v>
      </x:c>
      <x:c r="F35" s="8" t="n">
        <x:v>12098.5641</x:v>
      </x:c>
      <x:c r="G35" s="8" t="n">
        <x:v>1686.9069</x:v>
      </x:c>
      <x:c r="H35" s="8" t="str">
        <x:v>Constant stressed EBITDA margin; excludes synergies, integration, capex, taxes, rent cash and financing. No preferred structure.</x:v>
      </x:c>
    </x:row>
    <x:row r="36" ht="80" customHeight="1">
      <x:c r="A36" s="8" t="str">
        <x:v>Hypothetical operating sensitivity; not actual company forecast or capacity</x:v>
      </x:c>
      <x:c r="B36" s="8" t="str">
        <x:v>acquirer</x:v>
      </x:c>
      <x:c r="C36" s="23" t="n">
        <x:v>2</x:v>
      </x:c>
      <x:c r="D36" s="22" t="n">
        <x:v>-0.1</x:v>
      </x:c>
      <x:c r="E36" s="22" t="n">
        <x:v>0</x:v>
      </x:c>
      <x:c r="F36" s="8" t="n">
        <x:v>10888.707690000001</x:v>
      </x:c>
      <x:c r="G36" s="8" t="n">
        <x:v>1518.2162100000003</x:v>
      </x:c>
      <x:c r="H36" s="8" t="str">
        <x:v>Constant stressed EBITDA margin; excludes synergies, integration, capex, taxes, rent cash and financing. No preferred structure.</x:v>
      </x:c>
    </x:row>
    <x:row r="37" ht="80" customHeight="1">
      <x:c r="A37" s="8" t="str">
        <x:v>Hypothetical operating sensitivity; not actual company forecast or capacity</x:v>
      </x:c>
      <x:c r="B37" s="8" t="str">
        <x:v>acquirer</x:v>
      </x:c>
      <x:c r="C37" s="23" t="n">
        <x:v>3</x:v>
      </x:c>
      <x:c r="D37" s="22" t="n">
        <x:v>-0.1</x:v>
      </x:c>
      <x:c r="E37" s="22" t="n">
        <x:v>0</x:v>
      </x:c>
      <x:c r="F37" s="8" t="n">
        <x:v>9799.836921000002</x:v>
      </x:c>
      <x:c r="G37" s="8" t="n">
        <x:v>1366.3945890000002</x:v>
      </x:c>
      <x:c r="H37" s="8" t="str">
        <x:v>Constant stressed EBITDA margin; excludes synergies, integration, capex, taxes, rent cash and financing. No preferred structure.</x:v>
      </x:c>
    </x:row>
    <x:row r="38" ht="80" customHeight="1">
      <x:c r="A38" s="8" t="str">
        <x:v>Hypothetical operating sensitivity; not actual company forecast or capacity</x:v>
      </x:c>
      <x:c r="B38" s="8" t="str">
        <x:v>acquirer</x:v>
      </x:c>
      <x:c r="C38" s="23" t="n">
        <x:v>4</x:v>
      </x:c>
      <x:c r="D38" s="22" t="n">
        <x:v>-0.1</x:v>
      </x:c>
      <x:c r="E38" s="22" t="n">
        <x:v>0</x:v>
      </x:c>
      <x:c r="F38" s="8" t="n">
        <x:v>8819.8532289</x:v>
      </x:c>
      <x:c r="G38" s="8" t="n">
        <x:v>1229.7551300999999</x:v>
      </x:c>
      <x:c r="H38" s="8" t="str">
        <x:v>Constant stressed EBITDA margin; excludes synergies, integration, capex, taxes, rent cash and financing. No preferred structure.</x:v>
      </x:c>
    </x:row>
    <x:row r="39" ht="80" customHeight="1">
      <x:c r="A39" s="8" t="str">
        <x:v>Hypothetical operating sensitivity; not actual company forecast or capacity</x:v>
      </x:c>
      <x:c r="B39" s="8" t="str">
        <x:v>acquirer</x:v>
      </x:c>
      <x:c r="C39" s="23" t="n">
        <x:v>5</x:v>
      </x:c>
      <x:c r="D39" s="22" t="n">
        <x:v>-0.1</x:v>
      </x:c>
      <x:c r="E39" s="22" t="n">
        <x:v>0</x:v>
      </x:c>
      <x:c r="F39" s="8" t="n">
        <x:v>7937.867906010001</x:v>
      </x:c>
      <x:c r="G39" s="8" t="n">
        <x:v>1106.77961709</x:v>
      </x:c>
      <x:c r="H39" s="8" t="str">
        <x:v>Constant stressed EBITDA margin; excludes synergies, integration, capex, taxes, rent cash and financing. No preferred structure.</x:v>
      </x:c>
    </x:row>
    <x:row r="40" ht="80" customHeight="1">
      <x:c r="A40" s="8" t="str">
        <x:v>Hypothetical operating sensitivity; not actual company forecast or capacity</x:v>
      </x:c>
      <x:c r="B40" s="8" t="str">
        <x:v>acquirer</x:v>
      </x:c>
      <x:c r="C40" s="23" t="n">
        <x:v>1</x:v>
      </x:c>
      <x:c r="D40" s="22" t="n">
        <x:v>-0.1</x:v>
      </x:c>
      <x:c r="E40" s="22" t="n">
        <x:v>-0.01</x:v>
      </x:c>
      <x:c r="F40" s="8" t="n">
        <x:v>12098.5641</x:v>
      </x:c>
      <x:c r="G40" s="8" t="n">
        <x:v>1565.921259</x:v>
      </x:c>
      <x:c r="H40" s="8" t="str">
        <x:v>Constant stressed EBITDA margin; excludes synergies, integration, capex, taxes, rent cash and financing. No preferred structure.</x:v>
      </x:c>
    </x:row>
    <x:row r="41" ht="80" customHeight="1">
      <x:c r="A41" s="8" t="str">
        <x:v>Hypothetical operating sensitivity; not actual company forecast or capacity</x:v>
      </x:c>
      <x:c r="B41" s="8" t="str">
        <x:v>acquirer</x:v>
      </x:c>
      <x:c r="C41" s="23" t="n">
        <x:v>2</x:v>
      </x:c>
      <x:c r="D41" s="22" t="n">
        <x:v>-0.1</x:v>
      </x:c>
      <x:c r="E41" s="22" t="n">
        <x:v>-0.01</x:v>
      </x:c>
      <x:c r="F41" s="8" t="n">
        <x:v>10888.707690000001</x:v>
      </x:c>
      <x:c r="G41" s="8" t="n">
        <x:v>1409.3291331</x:v>
      </x:c>
      <x:c r="H41" s="8" t="str">
        <x:v>Constant stressed EBITDA margin; excludes synergies, integration, capex, taxes, rent cash and financing. No preferred structure.</x:v>
      </x:c>
    </x:row>
    <x:row r="42" ht="80" customHeight="1">
      <x:c r="A42" s="8" t="str">
        <x:v>Hypothetical operating sensitivity; not actual company forecast or capacity</x:v>
      </x:c>
      <x:c r="B42" s="8" t="str">
        <x:v>acquirer</x:v>
      </x:c>
      <x:c r="C42" s="23" t="n">
        <x:v>3</x:v>
      </x:c>
      <x:c r="D42" s="22" t="n">
        <x:v>-0.1</x:v>
      </x:c>
      <x:c r="E42" s="22" t="n">
        <x:v>-0.01</x:v>
      </x:c>
      <x:c r="F42" s="8" t="n">
        <x:v>9799.836921000002</x:v>
      </x:c>
      <x:c r="G42" s="8" t="n">
        <x:v>1268.3962197900003</x:v>
      </x:c>
      <x:c r="H42" s="8" t="str">
        <x:v>Constant stressed EBITDA margin; excludes synergies, integration, capex, taxes, rent cash and financing. No preferred structure.</x:v>
      </x:c>
    </x:row>
    <x:row r="43" ht="80" customHeight="1">
      <x:c r="A43" s="8" t="str">
        <x:v>Hypothetical operating sensitivity; not actual company forecast or capacity</x:v>
      </x:c>
      <x:c r="B43" s="8" t="str">
        <x:v>acquirer</x:v>
      </x:c>
      <x:c r="C43" s="23" t="n">
        <x:v>4</x:v>
      </x:c>
      <x:c r="D43" s="22" t="n">
        <x:v>-0.1</x:v>
      </x:c>
      <x:c r="E43" s="22" t="n">
        <x:v>-0.01</x:v>
      </x:c>
      <x:c r="F43" s="8" t="n">
        <x:v>8819.8532289</x:v>
      </x:c>
      <x:c r="G43" s="8" t="n">
        <x:v>1141.5565978109998</x:v>
      </x:c>
      <x:c r="H43" s="8" t="str">
        <x:v>Constant stressed EBITDA margin; excludes synergies, integration, capex, taxes, rent cash and financing. No preferred structure.</x:v>
      </x:c>
    </x:row>
    <x:row r="44" ht="80" customHeight="1">
      <x:c r="A44" s="8" t="str">
        <x:v>Hypothetical operating sensitivity; not actual company forecast or capacity</x:v>
      </x:c>
      <x:c r="B44" s="8" t="str">
        <x:v>acquirer</x:v>
      </x:c>
      <x:c r="C44" s="23" t="n">
        <x:v>5</x:v>
      </x:c>
      <x:c r="D44" s="22" t="n">
        <x:v>-0.1</x:v>
      </x:c>
      <x:c r="E44" s="22" t="n">
        <x:v>-0.01</x:v>
      </x:c>
      <x:c r="F44" s="8" t="n">
        <x:v>7937.867906010001</x:v>
      </x:c>
      <x:c r="G44" s="8" t="n">
        <x:v>1027.4009380299</x:v>
      </x:c>
      <x:c r="H44" s="8" t="str">
        <x:v>Constant stressed EBITDA margin; excludes synergies, integration, capex, taxes, rent cash and financing. No preferred structure.</x:v>
      </x:c>
    </x:row>
    <x:row r="45" ht="80" customHeight="1">
      <x:c r="A45" s="8" t="str">
        <x:v>Hypothetical operating sensitivity; not actual company forecast or capacity</x:v>
      </x:c>
      <x:c r="B45" s="8" t="str">
        <x:v>acquirer</x:v>
      </x:c>
      <x:c r="C45" s="23" t="n">
        <x:v>1</x:v>
      </x:c>
      <x:c r="D45" s="22" t="n">
        <x:v>-0.1</x:v>
      </x:c>
      <x:c r="E45" s="22" t="n">
        <x:v>-0.02</x:v>
      </x:c>
      <x:c r="F45" s="8" t="n">
        <x:v>12098.5641</x:v>
      </x:c>
      <x:c r="G45" s="8" t="n">
        <x:v>1444.935618</x:v>
      </x:c>
      <x:c r="H45" s="8" t="str">
        <x:v>Constant stressed EBITDA margin; excludes synergies, integration, capex, taxes, rent cash and financing. No preferred structure.</x:v>
      </x:c>
    </x:row>
    <x:row r="46" ht="80" customHeight="1">
      <x:c r="A46" s="8" t="str">
        <x:v>Hypothetical operating sensitivity; not actual company forecast or capacity</x:v>
      </x:c>
      <x:c r="B46" s="8" t="str">
        <x:v>acquirer</x:v>
      </x:c>
      <x:c r="C46" s="23" t="n">
        <x:v>2</x:v>
      </x:c>
      <x:c r="D46" s="22" t="n">
        <x:v>-0.1</x:v>
      </x:c>
      <x:c r="E46" s="22" t="n">
        <x:v>-0.02</x:v>
      </x:c>
      <x:c r="F46" s="8" t="n">
        <x:v>10888.707690000001</x:v>
      </x:c>
      <x:c r="G46" s="8" t="n">
        <x:v>1300.4420562</x:v>
      </x:c>
      <x:c r="H46" s="8" t="str">
        <x:v>Constant stressed EBITDA margin; excludes synergies, integration, capex, taxes, rent cash and financing. No preferred structure.</x:v>
      </x:c>
    </x:row>
    <x:row r="47" ht="80" customHeight="1">
      <x:c r="A47" s="8" t="str">
        <x:v>Hypothetical operating sensitivity; not actual company forecast or capacity</x:v>
      </x:c>
      <x:c r="B47" s="8" t="str">
        <x:v>acquirer</x:v>
      </x:c>
      <x:c r="C47" s="23" t="n">
        <x:v>3</x:v>
      </x:c>
      <x:c r="D47" s="22" t="n">
        <x:v>-0.1</x:v>
      </x:c>
      <x:c r="E47" s="22" t="n">
        <x:v>-0.02</x:v>
      </x:c>
      <x:c r="F47" s="8" t="n">
        <x:v>9799.836921000002</x:v>
      </x:c>
      <x:c r="G47" s="8" t="n">
        <x:v>1170.3978505800003</x:v>
      </x:c>
      <x:c r="H47" s="8" t="str">
        <x:v>Constant stressed EBITDA margin; excludes synergies, integration, capex, taxes, rent cash and financing. No preferred structure.</x:v>
      </x:c>
    </x:row>
    <x:row r="48" ht="80" customHeight="1">
      <x:c r="A48" s="8" t="str">
        <x:v>Hypothetical operating sensitivity; not actual company forecast or capacity</x:v>
      </x:c>
      <x:c r="B48" s="8" t="str">
        <x:v>acquirer</x:v>
      </x:c>
      <x:c r="C48" s="23" t="n">
        <x:v>4</x:v>
      </x:c>
      <x:c r="D48" s="22" t="n">
        <x:v>-0.1</x:v>
      </x:c>
      <x:c r="E48" s="22" t="n">
        <x:v>-0.02</x:v>
      </x:c>
      <x:c r="F48" s="8" t="n">
        <x:v>8819.8532289</x:v>
      </x:c>
      <x:c r="G48" s="8" t="n">
        <x:v>1053.3580655219998</x:v>
      </x:c>
      <x:c r="H48" s="8" t="str">
        <x:v>Constant stressed EBITDA margin; excludes synergies, integration, capex, taxes, rent cash and financing. No preferred structure.</x:v>
      </x:c>
    </x:row>
    <x:row r="49" ht="80" customHeight="1">
      <x:c r="A49" s="8" t="str">
        <x:v>Hypothetical operating sensitivity; not actual company forecast or capacity</x:v>
      </x:c>
      <x:c r="B49" s="8" t="str">
        <x:v>acquirer</x:v>
      </x:c>
      <x:c r="C49" s="23" t="n">
        <x:v>5</x:v>
      </x:c>
      <x:c r="D49" s="22" t="n">
        <x:v>-0.1</x:v>
      </x:c>
      <x:c r="E49" s="22" t="n">
        <x:v>-0.02</x:v>
      </x:c>
      <x:c r="F49" s="8" t="n">
        <x:v>7937.867906010001</x:v>
      </x:c>
      <x:c r="G49" s="8" t="n">
        <x:v>948.0222589698001</x:v>
      </x:c>
      <x:c r="H49" s="8" t="str">
        <x:v>Constant stressed EBITDA margin; excludes synergies, integration, capex, taxes, rent cash and financing. No preferred structure.</x:v>
      </x:c>
    </x:row>
    <x:row r="50" ht="80" customHeight="1">
      <x:c r="A50" s="8" t="str">
        <x:v>Hypothetical operating sensitivity; not actual company forecast or capacity</x:v>
      </x:c>
      <x:c r="B50" s="8" t="str">
        <x:v>target</x:v>
      </x:c>
      <x:c r="C50" s="23" t="n">
        <x:v>1</x:v>
      </x:c>
      <x:c r="D50" s="22" t="n">
        <x:v>0</x:v>
      </x:c>
      <x:c r="E50" s="22" t="n">
        <x:v>0</x:v>
      </x:c>
      <x:c r="F50" s="8" t="n">
        <x:v>7988</x:v>
      </x:c>
      <x:c r="G50" s="8" t="n">
        <x:v>305</x:v>
      </x:c>
      <x:c r="H50" s="8" t="str">
        <x:v>Constant stressed EBITDA margin; excludes synergies, integration, capex, taxes, rent cash and financing. No preferred structure.</x:v>
      </x:c>
    </x:row>
    <x:row r="51" ht="80" customHeight="1">
      <x:c r="A51" s="8" t="str">
        <x:v>Hypothetical operating sensitivity; not actual company forecast or capacity</x:v>
      </x:c>
      <x:c r="B51" s="8" t="str">
        <x:v>target</x:v>
      </x:c>
      <x:c r="C51" s="23" t="n">
        <x:v>2</x:v>
      </x:c>
      <x:c r="D51" s="22" t="n">
        <x:v>0</x:v>
      </x:c>
      <x:c r="E51" s="22" t="n">
        <x:v>0</x:v>
      </x:c>
      <x:c r="F51" s="8" t="n">
        <x:v>7988</x:v>
      </x:c>
      <x:c r="G51" s="8" t="n">
        <x:v>305</x:v>
      </x:c>
      <x:c r="H51" s="8" t="str">
        <x:v>Constant stressed EBITDA margin; excludes synergies, integration, capex, taxes, rent cash and financing. No preferred structure.</x:v>
      </x:c>
    </x:row>
    <x:row r="52" ht="80" customHeight="1">
      <x:c r="A52" s="8" t="str">
        <x:v>Hypothetical operating sensitivity; not actual company forecast or capacity</x:v>
      </x:c>
      <x:c r="B52" s="8" t="str">
        <x:v>target</x:v>
      </x:c>
      <x:c r="C52" s="23" t="n">
        <x:v>3</x:v>
      </x:c>
      <x:c r="D52" s="22" t="n">
        <x:v>0</x:v>
      </x:c>
      <x:c r="E52" s="22" t="n">
        <x:v>0</x:v>
      </x:c>
      <x:c r="F52" s="8" t="n">
        <x:v>7988</x:v>
      </x:c>
      <x:c r="G52" s="8" t="n">
        <x:v>305</x:v>
      </x:c>
      <x:c r="H52" s="8" t="str">
        <x:v>Constant stressed EBITDA margin; excludes synergies, integration, capex, taxes, rent cash and financing. No preferred structure.</x:v>
      </x:c>
    </x:row>
    <x:row r="53" ht="80" customHeight="1">
      <x:c r="A53" s="8" t="str">
        <x:v>Hypothetical operating sensitivity; not actual company forecast or capacity</x:v>
      </x:c>
      <x:c r="B53" s="8" t="str">
        <x:v>target</x:v>
      </x:c>
      <x:c r="C53" s="23" t="n">
        <x:v>4</x:v>
      </x:c>
      <x:c r="D53" s="22" t="n">
        <x:v>0</x:v>
      </x:c>
      <x:c r="E53" s="22" t="n">
        <x:v>0</x:v>
      </x:c>
      <x:c r="F53" s="8" t="n">
        <x:v>7988</x:v>
      </x:c>
      <x:c r="G53" s="8" t="n">
        <x:v>305</x:v>
      </x:c>
      <x:c r="H53" s="8" t="str">
        <x:v>Constant stressed EBITDA margin; excludes synergies, integration, capex, taxes, rent cash and financing. No preferred structure.</x:v>
      </x:c>
    </x:row>
    <x:row r="54" ht="80" customHeight="1">
      <x:c r="A54" s="8" t="str">
        <x:v>Hypothetical operating sensitivity; not actual company forecast or capacity</x:v>
      </x:c>
      <x:c r="B54" s="8" t="str">
        <x:v>target</x:v>
      </x:c>
      <x:c r="C54" s="23" t="n">
        <x:v>5</x:v>
      </x:c>
      <x:c r="D54" s="22" t="n">
        <x:v>0</x:v>
      </x:c>
      <x:c r="E54" s="22" t="n">
        <x:v>0</x:v>
      </x:c>
      <x:c r="F54" s="8" t="n">
        <x:v>7988</x:v>
      </x:c>
      <x:c r="G54" s="8" t="n">
        <x:v>305</x:v>
      </x:c>
      <x:c r="H54" s="8" t="str">
        <x:v>Constant stressed EBITDA margin; excludes synergies, integration, capex, taxes, rent cash and financing. No preferred structure.</x:v>
      </x:c>
    </x:row>
    <x:row r="55" ht="80" customHeight="1">
      <x:c r="A55" s="8" t="str">
        <x:v>Hypothetical operating sensitivity; not actual company forecast or capacity</x:v>
      </x:c>
      <x:c r="B55" s="8" t="str">
        <x:v>target</x:v>
      </x:c>
      <x:c r="C55" s="23" t="n">
        <x:v>1</x:v>
      </x:c>
      <x:c r="D55" s="22" t="n">
        <x:v>0</x:v>
      </x:c>
      <x:c r="E55" s="22" t="n">
        <x:v>-0.01</x:v>
      </x:c>
      <x:c r="F55" s="8" t="n">
        <x:v>7988</x:v>
      </x:c>
      <x:c r="G55" s="8" t="n">
        <x:v>225.12</x:v>
      </x:c>
      <x:c r="H55" s="8" t="str">
        <x:v>Constant stressed EBITDA margin; excludes synergies, integration, capex, taxes, rent cash and financing. No preferred structure.</x:v>
      </x:c>
    </x:row>
    <x:row r="56" ht="80" customHeight="1">
      <x:c r="A56" s="8" t="str">
        <x:v>Hypothetical operating sensitivity; not actual company forecast or capacity</x:v>
      </x:c>
      <x:c r="B56" s="8" t="str">
        <x:v>target</x:v>
      </x:c>
      <x:c r="C56" s="23" t="n">
        <x:v>2</x:v>
      </x:c>
      <x:c r="D56" s="22" t="n">
        <x:v>0</x:v>
      </x:c>
      <x:c r="E56" s="22" t="n">
        <x:v>-0.01</x:v>
      </x:c>
      <x:c r="F56" s="8" t="n">
        <x:v>7988</x:v>
      </x:c>
      <x:c r="G56" s="8" t="n">
        <x:v>225.12</x:v>
      </x:c>
      <x:c r="H56" s="8" t="str">
        <x:v>Constant stressed EBITDA margin; excludes synergies, integration, capex, taxes, rent cash and financing. No preferred structure.</x:v>
      </x:c>
    </x:row>
    <x:row r="57" ht="80" customHeight="1">
      <x:c r="A57" s="8" t="str">
        <x:v>Hypothetical operating sensitivity; not actual company forecast or capacity</x:v>
      </x:c>
      <x:c r="B57" s="8" t="str">
        <x:v>target</x:v>
      </x:c>
      <x:c r="C57" s="23" t="n">
        <x:v>3</x:v>
      </x:c>
      <x:c r="D57" s="22" t="n">
        <x:v>0</x:v>
      </x:c>
      <x:c r="E57" s="22" t="n">
        <x:v>-0.01</x:v>
      </x:c>
      <x:c r="F57" s="8" t="n">
        <x:v>7988</x:v>
      </x:c>
      <x:c r="G57" s="8" t="n">
        <x:v>225.12</x:v>
      </x:c>
      <x:c r="H57" s="8" t="str">
        <x:v>Constant stressed EBITDA margin; excludes synergies, integration, capex, taxes, rent cash and financing. No preferred structure.</x:v>
      </x:c>
    </x:row>
    <x:row r="58" ht="80" customHeight="1">
      <x:c r="A58" s="8" t="str">
        <x:v>Hypothetical operating sensitivity; not actual company forecast or capacity</x:v>
      </x:c>
      <x:c r="B58" s="8" t="str">
        <x:v>target</x:v>
      </x:c>
      <x:c r="C58" s="23" t="n">
        <x:v>4</x:v>
      </x:c>
      <x:c r="D58" s="22" t="n">
        <x:v>0</x:v>
      </x:c>
      <x:c r="E58" s="22" t="n">
        <x:v>-0.01</x:v>
      </x:c>
      <x:c r="F58" s="8" t="n">
        <x:v>7988</x:v>
      </x:c>
      <x:c r="G58" s="8" t="n">
        <x:v>225.12</x:v>
      </x:c>
      <x:c r="H58" s="8" t="str">
        <x:v>Constant stressed EBITDA margin; excludes synergies, integration, capex, taxes, rent cash and financing. No preferred structure.</x:v>
      </x:c>
    </x:row>
    <x:row r="59" ht="80" customHeight="1">
      <x:c r="A59" s="8" t="str">
        <x:v>Hypothetical operating sensitivity; not actual company forecast or capacity</x:v>
      </x:c>
      <x:c r="B59" s="8" t="str">
        <x:v>target</x:v>
      </x:c>
      <x:c r="C59" s="23" t="n">
        <x:v>5</x:v>
      </x:c>
      <x:c r="D59" s="22" t="n">
        <x:v>0</x:v>
      </x:c>
      <x:c r="E59" s="22" t="n">
        <x:v>-0.01</x:v>
      </x:c>
      <x:c r="F59" s="8" t="n">
        <x:v>7988</x:v>
      </x:c>
      <x:c r="G59" s="8" t="n">
        <x:v>225.12</x:v>
      </x:c>
      <x:c r="H59" s="8" t="str">
        <x:v>Constant stressed EBITDA margin; excludes synergies, integration, capex, taxes, rent cash and financing. No preferred structure.</x:v>
      </x:c>
    </x:row>
    <x:row r="60" ht="80" customHeight="1">
      <x:c r="A60" s="8" t="str">
        <x:v>Hypothetical operating sensitivity; not actual company forecast or capacity</x:v>
      </x:c>
      <x:c r="B60" s="8" t="str">
        <x:v>target</x:v>
      </x:c>
      <x:c r="C60" s="23" t="n">
        <x:v>1</x:v>
      </x:c>
      <x:c r="D60" s="22" t="n">
        <x:v>0</x:v>
      </x:c>
      <x:c r="E60" s="22" t="n">
        <x:v>-0.02</x:v>
      </x:c>
      <x:c r="F60" s="8" t="n">
        <x:v>7988</x:v>
      </x:c>
      <x:c r="G60" s="8" t="n">
        <x:v>145.24</x:v>
      </x:c>
      <x:c r="H60" s="8" t="str">
        <x:v>Constant stressed EBITDA margin; excludes synergies, integration, capex, taxes, rent cash and financing. No preferred structure.</x:v>
      </x:c>
    </x:row>
    <x:row r="61" ht="80" customHeight="1">
      <x:c r="A61" s="8" t="str">
        <x:v>Hypothetical operating sensitivity; not actual company forecast or capacity</x:v>
      </x:c>
      <x:c r="B61" s="8" t="str">
        <x:v>target</x:v>
      </x:c>
      <x:c r="C61" s="23" t="n">
        <x:v>2</x:v>
      </x:c>
      <x:c r="D61" s="22" t="n">
        <x:v>0</x:v>
      </x:c>
      <x:c r="E61" s="22" t="n">
        <x:v>-0.02</x:v>
      </x:c>
      <x:c r="F61" s="8" t="n">
        <x:v>7988</x:v>
      </x:c>
      <x:c r="G61" s="8" t="n">
        <x:v>145.24</x:v>
      </x:c>
      <x:c r="H61" s="8" t="str">
        <x:v>Constant stressed EBITDA margin; excludes synergies, integration, capex, taxes, rent cash and financing. No preferred structure.</x:v>
      </x:c>
    </x:row>
    <x:row r="62" ht="80" customHeight="1">
      <x:c r="A62" s="8" t="str">
        <x:v>Hypothetical operating sensitivity; not actual company forecast or capacity</x:v>
      </x:c>
      <x:c r="B62" s="8" t="str">
        <x:v>target</x:v>
      </x:c>
      <x:c r="C62" s="23" t="n">
        <x:v>3</x:v>
      </x:c>
      <x:c r="D62" s="22" t="n">
        <x:v>0</x:v>
      </x:c>
      <x:c r="E62" s="22" t="n">
        <x:v>-0.02</x:v>
      </x:c>
      <x:c r="F62" s="8" t="n">
        <x:v>7988</x:v>
      </x:c>
      <x:c r="G62" s="8" t="n">
        <x:v>145.24</x:v>
      </x:c>
      <x:c r="H62" s="8" t="str">
        <x:v>Constant stressed EBITDA margin; excludes synergies, integration, capex, taxes, rent cash and financing. No preferred structure.</x:v>
      </x:c>
    </x:row>
    <x:row r="63" ht="80" customHeight="1">
      <x:c r="A63" s="8" t="str">
        <x:v>Hypothetical operating sensitivity; not actual company forecast or capacity</x:v>
      </x:c>
      <x:c r="B63" s="8" t="str">
        <x:v>target</x:v>
      </x:c>
      <x:c r="C63" s="23" t="n">
        <x:v>4</x:v>
      </x:c>
      <x:c r="D63" s="22" t="n">
        <x:v>0</x:v>
      </x:c>
      <x:c r="E63" s="22" t="n">
        <x:v>-0.02</x:v>
      </x:c>
      <x:c r="F63" s="8" t="n">
        <x:v>7988</x:v>
      </x:c>
      <x:c r="G63" s="8" t="n">
        <x:v>145.24</x:v>
      </x:c>
      <x:c r="H63" s="8" t="str">
        <x:v>Constant stressed EBITDA margin; excludes synergies, integration, capex, taxes, rent cash and financing. No preferred structure.</x:v>
      </x:c>
    </x:row>
    <x:row r="64" ht="80" customHeight="1">
      <x:c r="A64" s="8" t="str">
        <x:v>Hypothetical operating sensitivity; not actual company forecast or capacity</x:v>
      </x:c>
      <x:c r="B64" s="8" t="str">
        <x:v>target</x:v>
      </x:c>
      <x:c r="C64" s="23" t="n">
        <x:v>5</x:v>
      </x:c>
      <x:c r="D64" s="22" t="n">
        <x:v>0</x:v>
      </x:c>
      <x:c r="E64" s="22" t="n">
        <x:v>-0.02</x:v>
      </x:c>
      <x:c r="F64" s="8" t="n">
        <x:v>7988</x:v>
      </x:c>
      <x:c r="G64" s="8" t="n">
        <x:v>145.24</x:v>
      </x:c>
      <x:c r="H64" s="8" t="str">
        <x:v>Constant stressed EBITDA margin; excludes synergies, integration, capex, taxes, rent cash and financing. No preferred structure.</x:v>
      </x:c>
    </x:row>
    <x:row r="65" ht="80" customHeight="1">
      <x:c r="A65" s="8" t="str">
        <x:v>Hypothetical operating sensitivity; not actual company forecast or capacity</x:v>
      </x:c>
      <x:c r="B65" s="8" t="str">
        <x:v>target</x:v>
      </x:c>
      <x:c r="C65" s="23" t="n">
        <x:v>1</x:v>
      </x:c>
      <x:c r="D65" s="22" t="n">
        <x:v>-0.05</x:v>
      </x:c>
      <x:c r="E65" s="22" t="n">
        <x:v>0</x:v>
      </x:c>
      <x:c r="F65" s="8" t="n">
        <x:v>7588.599999999999</x:v>
      </x:c>
      <x:c r="G65" s="8" t="n">
        <x:v>289.75</x:v>
      </x:c>
      <x:c r="H65" s="8" t="str">
        <x:v>Constant stressed EBITDA margin; excludes synergies, integration, capex, taxes, rent cash and financing. No preferred structure.</x:v>
      </x:c>
    </x:row>
    <x:row r="66" ht="80" customHeight="1">
      <x:c r="A66" s="8" t="str">
        <x:v>Hypothetical operating sensitivity; not actual company forecast or capacity</x:v>
      </x:c>
      <x:c r="B66" s="8" t="str">
        <x:v>target</x:v>
      </x:c>
      <x:c r="C66" s="23" t="n">
        <x:v>2</x:v>
      </x:c>
      <x:c r="D66" s="22" t="n">
        <x:v>-0.05</x:v>
      </x:c>
      <x:c r="E66" s="22" t="n">
        <x:v>0</x:v>
      </x:c>
      <x:c r="F66" s="8" t="n">
        <x:v>7209.17</x:v>
      </x:c>
      <x:c r="G66" s="8" t="n">
        <x:v>275.2625</x:v>
      </x:c>
      <x:c r="H66" s="8" t="str">
        <x:v>Constant stressed EBITDA margin; excludes synergies, integration, capex, taxes, rent cash and financing. No preferred structure.</x:v>
      </x:c>
    </x:row>
    <x:row r="67" ht="80" customHeight="1">
      <x:c r="A67" s="8" t="str">
        <x:v>Hypothetical operating sensitivity; not actual company forecast or capacity</x:v>
      </x:c>
      <x:c r="B67" s="8" t="str">
        <x:v>target</x:v>
      </x:c>
      <x:c r="C67" s="23" t="n">
        <x:v>3</x:v>
      </x:c>
      <x:c r="D67" s="22" t="n">
        <x:v>-0.05</x:v>
      </x:c>
      <x:c r="E67" s="22" t="n">
        <x:v>0</x:v>
      </x:c>
      <x:c r="F67" s="8" t="n">
        <x:v>6848.711499999999</x:v>
      </x:c>
      <x:c r="G67" s="8" t="n">
        <x:v>261.499375</x:v>
      </x:c>
      <x:c r="H67" s="8" t="str">
        <x:v>Constant stressed EBITDA margin; excludes synergies, integration, capex, taxes, rent cash and financing. No preferred structure.</x:v>
      </x:c>
    </x:row>
    <x:row r="68" ht="80" customHeight="1">
      <x:c r="A68" s="8" t="str">
        <x:v>Hypothetical operating sensitivity; not actual company forecast or capacity</x:v>
      </x:c>
      <x:c r="B68" s="8" t="str">
        <x:v>target</x:v>
      </x:c>
      <x:c r="C68" s="23" t="n">
        <x:v>4</x:v>
      </x:c>
      <x:c r="D68" s="22" t="n">
        <x:v>-0.05</x:v>
      </x:c>
      <x:c r="E68" s="22" t="n">
        <x:v>0</x:v>
      </x:c>
      <x:c r="F68" s="8" t="n">
        <x:v>6506.275924999999</x:v>
      </x:c>
      <x:c r="G68" s="8" t="n">
        <x:v>248.42440624999998</x:v>
      </x:c>
      <x:c r="H68" s="8" t="str">
        <x:v>Constant stressed EBITDA margin; excludes synergies, integration, capex, taxes, rent cash and financing. No preferred structure.</x:v>
      </x:c>
    </x:row>
    <x:row r="69" ht="80" customHeight="1">
      <x:c r="A69" s="8" t="str">
        <x:v>Hypothetical operating sensitivity; not actual company forecast or capacity</x:v>
      </x:c>
      <x:c r="B69" s="8" t="str">
        <x:v>target</x:v>
      </x:c>
      <x:c r="C69" s="23" t="n">
        <x:v>5</x:v>
      </x:c>
      <x:c r="D69" s="22" t="n">
        <x:v>-0.05</x:v>
      </x:c>
      <x:c r="E69" s="22" t="n">
        <x:v>0</x:v>
      </x:c>
      <x:c r="F69" s="8" t="n">
        <x:v>6180.962128749999</x:v>
      </x:c>
      <x:c r="G69" s="8" t="n">
        <x:v>236.00318593749995</x:v>
      </x:c>
      <x:c r="H69" s="8" t="str">
        <x:v>Constant stressed EBITDA margin; excludes synergies, integration, capex, taxes, rent cash and financing. No preferred structure.</x:v>
      </x:c>
    </x:row>
    <x:row r="70" ht="80" customHeight="1">
      <x:c r="A70" s="8" t="str">
        <x:v>Hypothetical operating sensitivity; not actual company forecast or capacity</x:v>
      </x:c>
      <x:c r="B70" s="8" t="str">
        <x:v>target</x:v>
      </x:c>
      <x:c r="C70" s="23" t="n">
        <x:v>1</x:v>
      </x:c>
      <x:c r="D70" s="22" t="n">
        <x:v>-0.05</x:v>
      </x:c>
      <x:c r="E70" s="22" t="n">
        <x:v>-0.01</x:v>
      </x:c>
      <x:c r="F70" s="8" t="n">
        <x:v>7588.599999999999</x:v>
      </x:c>
      <x:c r="G70" s="8" t="n">
        <x:v>213.86399999999998</x:v>
      </x:c>
      <x:c r="H70" s="8" t="str">
        <x:v>Constant stressed EBITDA margin; excludes synergies, integration, capex, taxes, rent cash and financing. No preferred structure.</x:v>
      </x:c>
    </x:row>
    <x:row r="71" ht="80" customHeight="1">
      <x:c r="A71" s="8" t="str">
        <x:v>Hypothetical operating sensitivity; not actual company forecast or capacity</x:v>
      </x:c>
      <x:c r="B71" s="8" t="str">
        <x:v>target</x:v>
      </x:c>
      <x:c r="C71" s="23" t="n">
        <x:v>2</x:v>
      </x:c>
      <x:c r="D71" s="22" t="n">
        <x:v>-0.05</x:v>
      </x:c>
      <x:c r="E71" s="22" t="n">
        <x:v>-0.01</x:v>
      </x:c>
      <x:c r="F71" s="8" t="n">
        <x:v>7209.17</x:v>
      </x:c>
      <x:c r="G71" s="8" t="n">
        <x:v>203.17079999999999</x:v>
      </x:c>
      <x:c r="H71" s="8" t="str">
        <x:v>Constant stressed EBITDA margin; excludes synergies, integration, capex, taxes, rent cash and financing. No preferred structure.</x:v>
      </x:c>
    </x:row>
    <x:row r="72" ht="80" customHeight="1">
      <x:c r="A72" s="8" t="str">
        <x:v>Hypothetical operating sensitivity; not actual company forecast or capacity</x:v>
      </x:c>
      <x:c r="B72" s="8" t="str">
        <x:v>target</x:v>
      </x:c>
      <x:c r="C72" s="23" t="n">
        <x:v>3</x:v>
      </x:c>
      <x:c r="D72" s="22" t="n">
        <x:v>-0.05</x:v>
      </x:c>
      <x:c r="E72" s="22" t="n">
        <x:v>-0.01</x:v>
      </x:c>
      <x:c r="F72" s="8" t="n">
        <x:v>6848.711499999999</x:v>
      </x:c>
      <x:c r="G72" s="8" t="n">
        <x:v>193.01225999999997</x:v>
      </x:c>
      <x:c r="H72" s="8" t="str">
        <x:v>Constant stressed EBITDA margin; excludes synergies, integration, capex, taxes, rent cash and financing. No preferred structure.</x:v>
      </x:c>
    </x:row>
    <x:row r="73" ht="80" customHeight="1">
      <x:c r="A73" s="8" t="str">
        <x:v>Hypothetical operating sensitivity; not actual company forecast or capacity</x:v>
      </x:c>
      <x:c r="B73" s="8" t="str">
        <x:v>target</x:v>
      </x:c>
      <x:c r="C73" s="23" t="n">
        <x:v>4</x:v>
      </x:c>
      <x:c r="D73" s="22" t="n">
        <x:v>-0.05</x:v>
      </x:c>
      <x:c r="E73" s="22" t="n">
        <x:v>-0.01</x:v>
      </x:c>
      <x:c r="F73" s="8" t="n">
        <x:v>6506.275924999999</x:v>
      </x:c>
      <x:c r="G73" s="8" t="n">
        <x:v>183.36164699999998</x:v>
      </x:c>
      <x:c r="H73" s="8" t="str">
        <x:v>Constant stressed EBITDA margin; excludes synergies, integration, capex, taxes, rent cash and financing. No preferred structure.</x:v>
      </x:c>
    </x:row>
    <x:row r="74" ht="80" customHeight="1">
      <x:c r="A74" s="8" t="str">
        <x:v>Hypothetical operating sensitivity; not actual company forecast or capacity</x:v>
      </x:c>
      <x:c r="B74" s="8" t="str">
        <x:v>target</x:v>
      </x:c>
      <x:c r="C74" s="23" t="n">
        <x:v>5</x:v>
      </x:c>
      <x:c r="D74" s="22" t="n">
        <x:v>-0.05</x:v>
      </x:c>
      <x:c r="E74" s="22" t="n">
        <x:v>-0.01</x:v>
      </x:c>
      <x:c r="F74" s="8" t="n">
        <x:v>6180.962128749999</x:v>
      </x:c>
      <x:c r="G74" s="8" t="n">
        <x:v>174.19356464999996</x:v>
      </x:c>
      <x:c r="H74" s="8" t="str">
        <x:v>Constant stressed EBITDA margin; excludes synergies, integration, capex, taxes, rent cash and financing. No preferred structure.</x:v>
      </x:c>
    </x:row>
    <x:row r="75" ht="80" customHeight="1">
      <x:c r="A75" s="8" t="str">
        <x:v>Hypothetical operating sensitivity; not actual company forecast or capacity</x:v>
      </x:c>
      <x:c r="B75" s="8" t="str">
        <x:v>target</x:v>
      </x:c>
      <x:c r="C75" s="23" t="n">
        <x:v>1</x:v>
      </x:c>
      <x:c r="D75" s="22" t="n">
        <x:v>-0.05</x:v>
      </x:c>
      <x:c r="E75" s="22" t="n">
        <x:v>-0.02</x:v>
      </x:c>
      <x:c r="F75" s="8" t="n">
        <x:v>7588.599999999999</x:v>
      </x:c>
      <x:c r="G75" s="8" t="n">
        <x:v>137.97799999999998</x:v>
      </x:c>
      <x:c r="H75" s="8" t="str">
        <x:v>Constant stressed EBITDA margin; excludes synergies, integration, capex, taxes, rent cash and financing. No preferred structure.</x:v>
      </x:c>
    </x:row>
    <x:row r="76" ht="80" customHeight="1">
      <x:c r="A76" s="8" t="str">
        <x:v>Hypothetical operating sensitivity; not actual company forecast or capacity</x:v>
      </x:c>
      <x:c r="B76" s="8" t="str">
        <x:v>target</x:v>
      </x:c>
      <x:c r="C76" s="23" t="n">
        <x:v>2</x:v>
      </x:c>
      <x:c r="D76" s="22" t="n">
        <x:v>-0.05</x:v>
      </x:c>
      <x:c r="E76" s="22" t="n">
        <x:v>-0.02</x:v>
      </x:c>
      <x:c r="F76" s="8" t="n">
        <x:v>7209.17</x:v>
      </x:c>
      <x:c r="G76" s="8" t="n">
        <x:v>131.0791</x:v>
      </x:c>
      <x:c r="H76" s="8" t="str">
        <x:v>Constant stressed EBITDA margin; excludes synergies, integration, capex, taxes, rent cash and financing. No preferred structure.</x:v>
      </x:c>
    </x:row>
    <x:row r="77" ht="80" customHeight="1">
      <x:c r="A77" s="8" t="str">
        <x:v>Hypothetical operating sensitivity; not actual company forecast or capacity</x:v>
      </x:c>
      <x:c r="B77" s="8" t="str">
        <x:v>target</x:v>
      </x:c>
      <x:c r="C77" s="23" t="n">
        <x:v>3</x:v>
      </x:c>
      <x:c r="D77" s="22" t="n">
        <x:v>-0.05</x:v>
      </x:c>
      <x:c r="E77" s="22" t="n">
        <x:v>-0.02</x:v>
      </x:c>
      <x:c r="F77" s="8" t="n">
        <x:v>6848.711499999999</x:v>
      </x:c>
      <x:c r="G77" s="8" t="n">
        <x:v>124.525145</x:v>
      </x:c>
      <x:c r="H77" s="8" t="str">
        <x:v>Constant stressed EBITDA margin; excludes synergies, integration, capex, taxes, rent cash and financing. No preferred structure.</x:v>
      </x:c>
    </x:row>
    <x:row r="78" ht="80" customHeight="1">
      <x:c r="A78" s="8" t="str">
        <x:v>Hypothetical operating sensitivity; not actual company forecast or capacity</x:v>
      </x:c>
      <x:c r="B78" s="8" t="str">
        <x:v>target</x:v>
      </x:c>
      <x:c r="C78" s="23" t="n">
        <x:v>4</x:v>
      </x:c>
      <x:c r="D78" s="22" t="n">
        <x:v>-0.05</x:v>
      </x:c>
      <x:c r="E78" s="22" t="n">
        <x:v>-0.02</x:v>
      </x:c>
      <x:c r="F78" s="8" t="n">
        <x:v>6506.275924999999</x:v>
      </x:c>
      <x:c r="G78" s="8" t="n">
        <x:v>118.29888774999999</x:v>
      </x:c>
      <x:c r="H78" s="8" t="str">
        <x:v>Constant stressed EBITDA margin; excludes synergies, integration, capex, taxes, rent cash and financing. No preferred structure.</x:v>
      </x:c>
    </x:row>
    <x:row r="79" ht="80" customHeight="1">
      <x:c r="A79" s="8" t="str">
        <x:v>Hypothetical operating sensitivity; not actual company forecast or capacity</x:v>
      </x:c>
      <x:c r="B79" s="8" t="str">
        <x:v>target</x:v>
      </x:c>
      <x:c r="C79" s="23" t="n">
        <x:v>5</x:v>
      </x:c>
      <x:c r="D79" s="22" t="n">
        <x:v>-0.05</x:v>
      </x:c>
      <x:c r="E79" s="22" t="n">
        <x:v>-0.02</x:v>
      </x:c>
      <x:c r="F79" s="8" t="n">
        <x:v>6180.962128749999</x:v>
      </x:c>
      <x:c r="G79" s="8" t="n">
        <x:v>112.38394336249998</x:v>
      </x:c>
      <x:c r="H79" s="8" t="str">
        <x:v>Constant stressed EBITDA margin; excludes synergies, integration, capex, taxes, rent cash and financing. No preferred structure.</x:v>
      </x:c>
    </x:row>
    <x:row r="80" ht="80" customHeight="1">
      <x:c r="A80" s="8" t="str">
        <x:v>Hypothetical operating sensitivity; not actual company forecast or capacity</x:v>
      </x:c>
      <x:c r="B80" s="8" t="str">
        <x:v>target</x:v>
      </x:c>
      <x:c r="C80" s="23" t="n">
        <x:v>1</x:v>
      </x:c>
      <x:c r="D80" s="22" t="n">
        <x:v>-0.1</x:v>
      </x:c>
      <x:c r="E80" s="22" t="n">
        <x:v>0</x:v>
      </x:c>
      <x:c r="F80" s="8" t="n">
        <x:v>7189.2</x:v>
      </x:c>
      <x:c r="G80" s="8" t="n">
        <x:v>274.5</x:v>
      </x:c>
      <x:c r="H80" s="8" t="str">
        <x:v>Constant stressed EBITDA margin; excludes synergies, integration, capex, taxes, rent cash and financing. No preferred structure.</x:v>
      </x:c>
    </x:row>
    <x:row r="81" ht="80" customHeight="1">
      <x:c r="A81" s="8" t="str">
        <x:v>Hypothetical operating sensitivity; not actual company forecast or capacity</x:v>
      </x:c>
      <x:c r="B81" s="8" t="str">
        <x:v>target</x:v>
      </x:c>
      <x:c r="C81" s="23" t="n">
        <x:v>2</x:v>
      </x:c>
      <x:c r="D81" s="22" t="n">
        <x:v>-0.1</x:v>
      </x:c>
      <x:c r="E81" s="22" t="n">
        <x:v>0</x:v>
      </x:c>
      <x:c r="F81" s="8" t="n">
        <x:v>6470.280000000001</x:v>
      </x:c>
      <x:c r="G81" s="8" t="n">
        <x:v>247.05000000000004</x:v>
      </x:c>
      <x:c r="H81" s="8" t="str">
        <x:v>Constant stressed EBITDA margin; excludes synergies, integration, capex, taxes, rent cash and financing. No preferred structure.</x:v>
      </x:c>
    </x:row>
    <x:row r="82" ht="80" customHeight="1">
      <x:c r="A82" s="8" t="str">
        <x:v>Hypothetical operating sensitivity; not actual company forecast or capacity</x:v>
      </x:c>
      <x:c r="B82" s="8" t="str">
        <x:v>target</x:v>
      </x:c>
      <x:c r="C82" s="23" t="n">
        <x:v>3</x:v>
      </x:c>
      <x:c r="D82" s="22" t="n">
        <x:v>-0.1</x:v>
      </x:c>
      <x:c r="E82" s="22" t="n">
        <x:v>0</x:v>
      </x:c>
      <x:c r="F82" s="8" t="n">
        <x:v>5823.252</x:v>
      </x:c>
      <x:c r="G82" s="8" t="n">
        <x:v>222.34500000000003</x:v>
      </x:c>
      <x:c r="H82" s="8" t="str">
        <x:v>Constant stressed EBITDA margin; excludes synergies, integration, capex, taxes, rent cash and financing. No preferred structure.</x:v>
      </x:c>
    </x:row>
    <x:row r="83" ht="80" customHeight="1">
      <x:c r="A83" s="8" t="str">
        <x:v>Hypothetical operating sensitivity; not actual company forecast or capacity</x:v>
      </x:c>
      <x:c r="B83" s="8" t="str">
        <x:v>target</x:v>
      </x:c>
      <x:c r="C83" s="23" t="n">
        <x:v>4</x:v>
      </x:c>
      <x:c r="D83" s="22" t="n">
        <x:v>-0.1</x:v>
      </x:c>
      <x:c r="E83" s="22" t="n">
        <x:v>0</x:v>
      </x:c>
      <x:c r="F83" s="8" t="n">
        <x:v>5240.9268</x:v>
      </x:c>
      <x:c r="G83" s="8" t="n">
        <x:v>200.1105</x:v>
      </x:c>
      <x:c r="H83" s="8" t="str">
        <x:v>Constant stressed EBITDA margin; excludes synergies, integration, capex, taxes, rent cash and financing. No preferred structure.</x:v>
      </x:c>
    </x:row>
    <x:row r="84" ht="80" customHeight="1">
      <x:c r="A84" s="8" t="str">
        <x:v>Hypothetical operating sensitivity; not actual company forecast or capacity</x:v>
      </x:c>
      <x:c r="B84" s="8" t="str">
        <x:v>target</x:v>
      </x:c>
      <x:c r="C84" s="23" t="n">
        <x:v>5</x:v>
      </x:c>
      <x:c r="D84" s="22" t="n">
        <x:v>-0.1</x:v>
      </x:c>
      <x:c r="E84" s="22" t="n">
        <x:v>0</x:v>
      </x:c>
      <x:c r="F84" s="8" t="n">
        <x:v>4716.83412</x:v>
      </x:c>
      <x:c r="G84" s="8" t="n">
        <x:v>180.09945000000002</x:v>
      </x:c>
      <x:c r="H84" s="8" t="str">
        <x:v>Constant stressed EBITDA margin; excludes synergies, integration, capex, taxes, rent cash and financing. No preferred structure.</x:v>
      </x:c>
    </x:row>
    <x:row r="85" ht="80" customHeight="1">
      <x:c r="A85" s="8" t="str">
        <x:v>Hypothetical operating sensitivity; not actual company forecast or capacity</x:v>
      </x:c>
      <x:c r="B85" s="8" t="str">
        <x:v>target</x:v>
      </x:c>
      <x:c r="C85" s="23" t="n">
        <x:v>1</x:v>
      </x:c>
      <x:c r="D85" s="22" t="n">
        <x:v>-0.1</x:v>
      </x:c>
      <x:c r="E85" s="22" t="n">
        <x:v>-0.01</x:v>
      </x:c>
      <x:c r="F85" s="8" t="n">
        <x:v>7189.2</x:v>
      </x:c>
      <x:c r="G85" s="8" t="n">
        <x:v>202.60799999999998</x:v>
      </x:c>
      <x:c r="H85" s="8" t="str">
        <x:v>Constant stressed EBITDA margin; excludes synergies, integration, capex, taxes, rent cash and financing. No preferred structure.</x:v>
      </x:c>
    </x:row>
    <x:row r="86" ht="80" customHeight="1">
      <x:c r="A86" s="8" t="str">
        <x:v>Hypothetical operating sensitivity; not actual company forecast or capacity</x:v>
      </x:c>
      <x:c r="B86" s="8" t="str">
        <x:v>target</x:v>
      </x:c>
      <x:c r="C86" s="23" t="n">
        <x:v>2</x:v>
      </x:c>
      <x:c r="D86" s="22" t="n">
        <x:v>-0.1</x:v>
      </x:c>
      <x:c r="E86" s="22" t="n">
        <x:v>-0.01</x:v>
      </x:c>
      <x:c r="F86" s="8" t="n">
        <x:v>6470.280000000001</x:v>
      </x:c>
      <x:c r="G86" s="8" t="n">
        <x:v>182.34720000000002</x:v>
      </x:c>
      <x:c r="H86" s="8" t="str">
        <x:v>Constant stressed EBITDA margin; excludes synergies, integration, capex, taxes, rent cash and financing. No preferred structure.</x:v>
      </x:c>
    </x:row>
    <x:row r="87" ht="80" customHeight="1">
      <x:c r="A87" s="8" t="str">
        <x:v>Hypothetical operating sensitivity; not actual company forecast or capacity</x:v>
      </x:c>
      <x:c r="B87" s="8" t="str">
        <x:v>target</x:v>
      </x:c>
      <x:c r="C87" s="23" t="n">
        <x:v>3</x:v>
      </x:c>
      <x:c r="D87" s="22" t="n">
        <x:v>-0.1</x:v>
      </x:c>
      <x:c r="E87" s="22" t="n">
        <x:v>-0.01</x:v>
      </x:c>
      <x:c r="F87" s="8" t="n">
        <x:v>5823.252</x:v>
      </x:c>
      <x:c r="G87" s="8" t="n">
        <x:v>164.11248</x:v>
      </x:c>
      <x:c r="H87" s="8" t="str">
        <x:v>Constant stressed EBITDA margin; excludes synergies, integration, capex, taxes, rent cash and financing. No preferred structure.</x:v>
      </x:c>
    </x:row>
    <x:row r="88" ht="80" customHeight="1">
      <x:c r="A88" s="8" t="str">
        <x:v>Hypothetical operating sensitivity; not actual company forecast or capacity</x:v>
      </x:c>
      <x:c r="B88" s="8" t="str">
        <x:v>target</x:v>
      </x:c>
      <x:c r="C88" s="23" t="n">
        <x:v>4</x:v>
      </x:c>
      <x:c r="D88" s="22" t="n">
        <x:v>-0.1</x:v>
      </x:c>
      <x:c r="E88" s="22" t="n">
        <x:v>-0.01</x:v>
      </x:c>
      <x:c r="F88" s="8" t="n">
        <x:v>5240.9268</x:v>
      </x:c>
      <x:c r="G88" s="8" t="n">
        <x:v>147.701232</x:v>
      </x:c>
      <x:c r="H88" s="8" t="str">
        <x:v>Constant stressed EBITDA margin; excludes synergies, integration, capex, taxes, rent cash and financing. No preferred structure.</x:v>
      </x:c>
    </x:row>
    <x:row r="89" ht="80" customHeight="1">
      <x:c r="A89" s="8" t="str">
        <x:v>Hypothetical operating sensitivity; not actual company forecast or capacity</x:v>
      </x:c>
      <x:c r="B89" s="8" t="str">
        <x:v>target</x:v>
      </x:c>
      <x:c r="C89" s="23" t="n">
        <x:v>5</x:v>
      </x:c>
      <x:c r="D89" s="22" t="n">
        <x:v>-0.1</x:v>
      </x:c>
      <x:c r="E89" s="22" t="n">
        <x:v>-0.01</x:v>
      </x:c>
      <x:c r="F89" s="8" t="n">
        <x:v>4716.83412</x:v>
      </x:c>
      <x:c r="G89" s="8" t="n">
        <x:v>132.9311088</x:v>
      </x:c>
      <x:c r="H89" s="8" t="str">
        <x:v>Constant stressed EBITDA margin; excludes synergies, integration, capex, taxes, rent cash and financing. No preferred structure.</x:v>
      </x:c>
    </x:row>
    <x:row r="90" ht="80" customHeight="1">
      <x:c r="A90" s="8" t="str">
        <x:v>Hypothetical operating sensitivity; not actual company forecast or capacity</x:v>
      </x:c>
      <x:c r="B90" s="8" t="str">
        <x:v>target</x:v>
      </x:c>
      <x:c r="C90" s="23" t="n">
        <x:v>1</x:v>
      </x:c>
      <x:c r="D90" s="22" t="n">
        <x:v>-0.1</x:v>
      </x:c>
      <x:c r="E90" s="22" t="n">
        <x:v>-0.02</x:v>
      </x:c>
      <x:c r="F90" s="8" t="n">
        <x:v>7189.2</x:v>
      </x:c>
      <x:c r="G90" s="8" t="n">
        <x:v>130.716</x:v>
      </x:c>
      <x:c r="H90" s="8" t="str">
        <x:v>Constant stressed EBITDA margin; excludes synergies, integration, capex, taxes, rent cash and financing. No preferred structure.</x:v>
      </x:c>
    </x:row>
    <x:row r="91" ht="80" customHeight="1">
      <x:c r="A91" s="8" t="str">
        <x:v>Hypothetical operating sensitivity; not actual company forecast or capacity</x:v>
      </x:c>
      <x:c r="B91" s="8" t="str">
        <x:v>target</x:v>
      </x:c>
      <x:c r="C91" s="23" t="n">
        <x:v>2</x:v>
      </x:c>
      <x:c r="D91" s="22" t="n">
        <x:v>-0.1</x:v>
      </x:c>
      <x:c r="E91" s="22" t="n">
        <x:v>-0.02</x:v>
      </x:c>
      <x:c r="F91" s="8" t="n">
        <x:v>6470.280000000001</x:v>
      </x:c>
      <x:c r="G91" s="8" t="n">
        <x:v>117.64440000000002</x:v>
      </x:c>
      <x:c r="H91" s="8" t="str">
        <x:v>Constant stressed EBITDA margin; excludes synergies, integration, capex, taxes, rent cash and financing. No preferred structure.</x:v>
      </x:c>
    </x:row>
    <x:row r="92" ht="80" customHeight="1">
      <x:c r="A92" s="8" t="str">
        <x:v>Hypothetical operating sensitivity; not actual company forecast or capacity</x:v>
      </x:c>
      <x:c r="B92" s="8" t="str">
        <x:v>target</x:v>
      </x:c>
      <x:c r="C92" s="23" t="n">
        <x:v>3</x:v>
      </x:c>
      <x:c r="D92" s="22" t="n">
        <x:v>-0.1</x:v>
      </x:c>
      <x:c r="E92" s="22" t="n">
        <x:v>-0.02</x:v>
      </x:c>
      <x:c r="F92" s="8" t="n">
        <x:v>5823.252</x:v>
      </x:c>
      <x:c r="G92" s="8" t="n">
        <x:v>105.87996000000001</x:v>
      </x:c>
      <x:c r="H92" s="8" t="str">
        <x:v>Constant stressed EBITDA margin; excludes synergies, integration, capex, taxes, rent cash and financing. No preferred structure.</x:v>
      </x:c>
    </x:row>
    <x:row r="93" ht="80" customHeight="1">
      <x:c r="A93" s="8" t="str">
        <x:v>Hypothetical operating sensitivity; not actual company forecast or capacity</x:v>
      </x:c>
      <x:c r="B93" s="8" t="str">
        <x:v>target</x:v>
      </x:c>
      <x:c r="C93" s="23" t="n">
        <x:v>4</x:v>
      </x:c>
      <x:c r="D93" s="22" t="n">
        <x:v>-0.1</x:v>
      </x:c>
      <x:c r="E93" s="22" t="n">
        <x:v>-0.02</x:v>
      </x:c>
      <x:c r="F93" s="8" t="n">
        <x:v>5240.9268</x:v>
      </x:c>
      <x:c r="G93" s="8" t="n">
        <x:v>95.29196400000001</x:v>
      </x:c>
      <x:c r="H93" s="8" t="str">
        <x:v>Constant stressed EBITDA margin; excludes synergies, integration, capex, taxes, rent cash and financing. No preferred structure.</x:v>
      </x:c>
    </x:row>
    <x:row r="94" ht="80" customHeight="1">
      <x:c r="A94" s="8" t="str">
        <x:v>Hypothetical operating sensitivity; not actual company forecast or capacity</x:v>
      </x:c>
      <x:c r="B94" s="8" t="str">
        <x:v>target</x:v>
      </x:c>
      <x:c r="C94" s="23" t="n">
        <x:v>5</x:v>
      </x:c>
      <x:c r="D94" s="22" t="n">
        <x:v>-0.1</x:v>
      </x:c>
      <x:c r="E94" s="22" t="n">
        <x:v>-0.02</x:v>
      </x:c>
      <x:c r="F94" s="8" t="n">
        <x:v>4716.83412</x:v>
      </x:c>
      <x:c r="G94" s="8" t="n">
        <x:v>85.7627676</x:v>
      </x:c>
      <x:c r="H94" s="8" t="str">
        <x:v>Constant stressed EBITDA margin; excludes synergies, integration, capex, taxes, rent cash and financing. No preferred structure.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5" hidden="0" customWidth="1"/>
    <x:col min="2" max="2" width="110" hidden="0" customWidth="1"/>
    <x:col min="3" max="3" width="110" hidden="0" customWidth="1"/>
  </x:cols>
  <x:sheetData>
    <x:row r="2" ht="42" customHeight="1">
      <x:c r="A2" s="5" t="str">
        <x:v>Evidence review | Historical assumptions</x:v>
      </x:c>
      <x:c r="B2" s="5"/>
      <x:c r="C2" s="5"/>
    </x:row>
    <x:row r="3" ht="42" customHeight="1">
      <x:c r="A3" s="4" t="str">
        <x:v>USD millions unless stated. Python snapshots; formula calculations are explicitly shown.</x:v>
      </x:c>
      <x:c r="B3" s="4"/>
      <x:c r="C3" s="4"/>
    </x:row>
    <x:row r="4" ht="42" customHeight="1">
      <x:c r="A4" s="7" t="str">
        <x:v>Future choice</x:v>
      </x:c>
      <x:c r="B4" s="7" t="str">
        <x:v>Value</x:v>
      </x:c>
      <x:c r="C4" s="7" t="str">
        <x:v>Rationale</x:v>
      </x:c>
    </x:row>
    <x:row r="5" ht="210" customHeight="1">
      <x:c r="A5" s="11" t="str">
        <x:v>assumption.analytical_thresholds</x:v>
      </x:c>
      <x:c r="B5" s="11" t="str">
        <x:v>{"cash_floor": 750.0, "max_leverage": 3.0, "min_coverage": 4.0, "tax_rate": 0.25, "interest_deduction_limit": 1.0}</x:v>
      </x:c>
      <x:c r="C5" s="11" t="str">
        <x:v>Analyst screening limits, not lender covenants or verified tax deductibility; test cash floors 500/750/1000 and leverage 2/3/4.</x:v>
      </x:c>
    </x:row>
    <x:row r="6" ht="210" customHeight="1">
      <x:c r="A6" s="11" t="str">
        <x:v>assumption.capital_allocation</x:v>
      </x:c>
      <x:c r="B6" s="11" t="str">
        <x:v>{"dividends": [0.0, 0.0, 0.0, 0.0, 0.0], "buybacks": [0.0, 0.0, 0.0, 0.0, 0.0], "sweep_fraction": 0.0}</x:v>
      </x:c>
      <x:c r="C6" s="11" t="str">
        <x:v>Prospective suspension of discretionary distributions and optional repayments. Existing declared obligations remain separate missing facts, not zeroed.</x:v>
      </x:c>
    </x:row>
    <x:row r="7" ht="210" customHeight="1">
      <x:c r="A7" s="11" t="str">
        <x:v>assumption.synergy_delivery_and_costs</x:v>
      </x:c>
      <x:c r="B7" s="11" t="str">
        <x:v>{"run_rate": 100.0, "ramp": [0.0, 0.5, 1.0, 1.0, 1.0], "integration": [100.0, 50.0, 25.0, 0.0, 0.0]}</x:v>
      </x:c>
      <x:c r="C7" s="11" t="str">
        <x:v>Future delivery/cost choices, not management cost guidance. Test run rates 0/100/125, one-year delay and doubled integration costs.</x:v>
      </x:c>
    </x:row>
    <x:row r="8" ht="210" customHeight="1">
      <x:c r="A8" s="11" t="str">
        <x:v>assumption.closing_bridge</x:v>
      </x:c>
      <x:c r="B8" s="11" t="str">
        <x:v>{"closing_date": "2025-11-01", "companies": [{"operating": 788.7715500000004, "capex": 845.6421598250608, "dividends": 291.1673650125, "buybacks": 5.0, "projected_lease_principal": 0.0}, {"operating": -70.04999999999973, "capex": 231.25, "dividends": 0.0, "buybacks": 0.0, "projected_lease_principal": 3.6}]}</x:v>
      </x:c>
      <x:c r="C8" s="11" t="str">
        <x:v>Projected 39-week bridge removes separately disclosed prior-year trade-WC movements before applying explicit closing-WC forecasts once; capex uses verified FY2024 seasonal calibration; not actual FY2025 interim balances. Lease principal must also map to the debt inventory. Public case applies separate cash-access assumptions. Supersedes frozen-balance diagnostic.</x:v>
      </x:c>
    </x:row>
    <x:row r="9" ht="210" customHeight="1">
      <x:c r="A9" s="11" t="str">
        <x:v>assumption.operating_forecast</x:v>
      </x:c>
      <x:c r="B9" s="11" t="str">
        <x:v>{"companies": [{"gross_margin": 0.35, "variable_opex": 0.1, "capex_ratio": 0.06, "growth": [0.0, 0.0, 0.0, 0.0, 0.0], "fixed_growth": 0.02, "seasonality": [0.25, 0.25, 0.25, 0.25], "inventory_seasonality": [1.0, 1.0, 1.0, 1.0]}, {"gross_margin": 0.3, "variable_opex": 0.1, "capex_ratio": 0.04, "growth": [-0.05, 0.0, 0.02, 0.02, 0.02], "fixed_growth": 0.02, "seasonality": [0.25, 0.25, 0.25, 0.25], "inventory_seasonality": [1.0, 1.0, 1.0, 1.0]}], "quarterly": {"enabled": false, "label": "No assumed quarterly historical liquidity"}}</x:v>
      </x:c>
      <x:c r="C9" s="11" t="str">
        <x:v>Explicit future cost decomposition and growth paths, not reported margins. Calibrate fixed expenses to verified operating EBITDA. Stress revenue and EBITDA margin; preliminary target Q1 deterioration makes flat extrapolation unreliable.</x:v>
      </x:c>
    </x:row>
    <x:row r="10" ht="210" customHeight="1">
      <x:c r="A10" s="11" t="str">
        <x:v>assumption.financing_terms_and_fees</x:v>
      </x:c>
      <x:c r="B10" s="11" t="str">
        <x:v>{"transaction": {"transaction_fees": 75.0, "financing_fee_rate": 0.02, "ev_other": 0.0, "allow_target_cash": false, "target_cash_rationale": "Conservative future scenario choice; no upstream availability assumed", "acquirer_reference_price": 200.0}, "new_debt": {"kind": "floating", "benchmark": [0.045, 0.045, 0.045, 0.045, 0.045], "spread": 0.025, "fixed_benchmark": 0.045, "maturity": 5.0, "amortisation": 0.02}, "policy": {"refinance": false, "refinance_limit": 0.0, "refinance_tenor": 5.0, "refinance_fee": 0.02}}</x:v>
      </x:c>
      <x:c r="C10" s="11" t="str">
        <x:v>Hypothetical future quote: 4.5% benchmark plus 250bp, 2% upfront, 75 transaction costs, stock reference 200. No claim these are committed financing or observed prices. Test rates +/-200bp, spreads +100/+200bp, fees 1/2/3%; historical redemption costs remain separate.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0" hidden="0" customWidth="1"/>
    <x:col min="2" max="2" width="70" hidden="0" customWidth="1"/>
    <x:col min="3" max="3" width="22" hidden="0" customWidth="1"/>
    <x:col min="4" max="4" width="30" hidden="0" customWidth="1"/>
    <x:col min="5" max="5" width="90" hidden="0" customWidth="1"/>
  </x:cols>
  <x:sheetData>
    <x:row r="2" ht="42" customHeight="1">
      <x:c r="A2" s="5" t="str">
        <x:v>Evidence review | Funding unit sensitivities</x:v>
      </x:c>
      <x:c r="B2" s="5"/>
      <x:c r="C2" s="5"/>
      <x:c r="D2" s="5"/>
      <x:c r="E2" s="5"/>
    </x:row>
    <x:row r="3" ht="42" customHeight="1">
      <x:c r="A3" s="4" t="str">
        <x:v>USD millions unless stated. Python snapshots; formula calculations are explicitly shown.</x:v>
      </x:c>
      <x:c r="B3" s="4"/>
      <x:c r="C3" s="4"/>
      <x:c r="D3" s="4"/>
      <x:c r="E3" s="4"/>
    </x:row>
    <x:row r="4" ht="42" customHeight="1">
      <x:c r="A4" s="7" t="str">
        <x:v>Study</x:v>
      </x:c>
      <x:c r="B4" s="7" t="str">
        <x:v>Assumptions</x:v>
      </x:c>
      <x:c r="C4" s="7" t="str">
        <x:v>Value</x:v>
      </x:c>
      <x:c r="D4" s="7" t="str">
        <x:v>Units</x:v>
      </x:c>
      <x:c r="E4" s="7" t="str">
        <x:v>Limitation</x:v>
      </x:c>
    </x:row>
    <x:row r="5" ht="80" customHeight="1">
      <x:c r="A5" s="8" t="str">
        <x:v>Annual coupon per hypothetical 1000 new debt</x:v>
      </x:c>
      <x:c r="B5" s="8" t="str">
        <x:v>Benchmark shift -2.00%; spread shift +0.00%</x:v>
      </x:c>
      <x:c r="C5" s="8" t="n">
        <x:v>50</x:v>
      </x:c>
      <x:c r="D5" s="8" t="str">
        <x:v>USD millions/year</x:v>
      </x:c>
      <x:c r="E5" s="8" t="str">
        <x:v>Unit sensitivity, not actual debt size, quote, debt capacity or fixed legacy-note repricing.</x:v>
      </x:c>
    </x:row>
    <x:row r="6" ht="80" customHeight="1">
      <x:c r="A6" s="8" t="str">
        <x:v>Annual coupon per hypothetical 1000 new debt</x:v>
      </x:c>
      <x:c r="B6" s="8" t="str">
        <x:v>Benchmark shift -2.00%; spread shift +1.00%</x:v>
      </x:c>
      <x:c r="C6" s="8" t="n">
        <x:v>60.00000000000001</x:v>
      </x:c>
      <x:c r="D6" s="8" t="str">
        <x:v>USD millions/year</x:v>
      </x:c>
      <x:c r="E6" s="8" t="str">
        <x:v>Unit sensitivity, not actual debt size, quote, debt capacity or fixed legacy-note repricing.</x:v>
      </x:c>
    </x:row>
    <x:row r="7" ht="80" customHeight="1">
      <x:c r="A7" s="8" t="str">
        <x:v>Annual coupon per hypothetical 1000 new debt</x:v>
      </x:c>
      <x:c r="B7" s="8" t="str">
        <x:v>Benchmark shift -2.00%; spread shift +2.00%</x:v>
      </x:c>
      <x:c r="C7" s="8" t="n">
        <x:v>70</x:v>
      </x:c>
      <x:c r="D7" s="8" t="str">
        <x:v>USD millions/year</x:v>
      </x:c>
      <x:c r="E7" s="8" t="str">
        <x:v>Unit sensitivity, not actual debt size, quote, debt capacity or fixed legacy-note repricing.</x:v>
      </x:c>
    </x:row>
    <x:row r="8" ht="80" customHeight="1">
      <x:c r="A8" s="8" t="str">
        <x:v>Annual coupon per hypothetical 1000 new debt</x:v>
      </x:c>
      <x:c r="B8" s="8" t="str">
        <x:v>Benchmark shift +0.00%; spread shift +0.00%</x:v>
      </x:c>
      <x:c r="C8" s="8" t="n">
        <x:v>70</x:v>
      </x:c>
      <x:c r="D8" s="8" t="str">
        <x:v>USD millions/year</x:v>
      </x:c>
      <x:c r="E8" s="8" t="str">
        <x:v>Unit sensitivity, not actual debt size, quote, debt capacity or fixed legacy-note repricing.</x:v>
      </x:c>
    </x:row>
    <x:row r="9" ht="80" customHeight="1">
      <x:c r="A9" s="8" t="str">
        <x:v>Annual coupon per hypothetical 1000 new debt</x:v>
      </x:c>
      <x:c r="B9" s="8" t="str">
        <x:v>Benchmark shift +0.00%; spread shift +1.00%</x:v>
      </x:c>
      <x:c r="C9" s="8" t="n">
        <x:v>80</x:v>
      </x:c>
      <x:c r="D9" s="8" t="str">
        <x:v>USD millions/year</x:v>
      </x:c>
      <x:c r="E9" s="8" t="str">
        <x:v>Unit sensitivity, not actual debt size, quote, debt capacity or fixed legacy-note repricing.</x:v>
      </x:c>
    </x:row>
    <x:row r="10" ht="80" customHeight="1">
      <x:c r="A10" s="8" t="str">
        <x:v>Annual coupon per hypothetical 1000 new debt</x:v>
      </x:c>
      <x:c r="B10" s="8" t="str">
        <x:v>Benchmark shift +0.00%; spread shift +2.00%</x:v>
      </x:c>
      <x:c r="C10" s="8" t="n">
        <x:v>90.00000000000001</x:v>
      </x:c>
      <x:c r="D10" s="8" t="str">
        <x:v>USD millions/year</x:v>
      </x:c>
      <x:c r="E10" s="8" t="str">
        <x:v>Unit sensitivity, not actual debt size, quote, debt capacity or fixed legacy-note repricing.</x:v>
      </x:c>
    </x:row>
    <x:row r="11" ht="80" customHeight="1">
      <x:c r="A11" s="8" t="str">
        <x:v>Annual coupon per hypothetical 1000 new debt</x:v>
      </x:c>
      <x:c r="B11" s="8" t="str">
        <x:v>Benchmark shift +2.00%; spread shift +0.00%</x:v>
      </x:c>
      <x:c r="C11" s="8" t="n">
        <x:v>90</x:v>
      </x:c>
      <x:c r="D11" s="8" t="str">
        <x:v>USD millions/year</x:v>
      </x:c>
      <x:c r="E11" s="8" t="str">
        <x:v>Unit sensitivity, not actual debt size, quote, debt capacity or fixed legacy-note repricing.</x:v>
      </x:c>
    </x:row>
    <x:row r="12" ht="80" customHeight="1">
      <x:c r="A12" s="8" t="str">
        <x:v>Annual coupon per hypothetical 1000 new debt</x:v>
      </x:c>
      <x:c r="B12" s="8" t="str">
        <x:v>Benchmark shift +2.00%; spread shift +1.00%</x:v>
      </x:c>
      <x:c r="C12" s="8" t="n">
        <x:v>99.99999999999999</x:v>
      </x:c>
      <x:c r="D12" s="8" t="str">
        <x:v>USD millions/year</x:v>
      </x:c>
      <x:c r="E12" s="8" t="str">
        <x:v>Unit sensitivity, not actual debt size, quote, debt capacity or fixed legacy-note repricing.</x:v>
      </x:c>
    </x:row>
    <x:row r="13" ht="80" customHeight="1">
      <x:c r="A13" s="8" t="str">
        <x:v>Annual coupon per hypothetical 1000 new debt</x:v>
      </x:c>
      <x:c r="B13" s="8" t="str">
        <x:v>Benchmark shift +2.00%; spread shift +2.00%</x:v>
      </x:c>
      <x:c r="C13" s="8" t="n">
        <x:v>110</x:v>
      </x:c>
      <x:c r="D13" s="8" t="str">
        <x:v>USD millions/year</x:v>
      </x:c>
      <x:c r="E13" s="8" t="str">
        <x:v>Unit sensitivity, not actual debt size, quote, debt capacity or fixed legacy-note repricing.</x:v>
      </x:c>
    </x:row>
    <x:row r="14" ht="80" customHeight="1">
      <x:c r="A14" s="8" t="str">
        <x:v>Gross borrowing to net hypothetical 1000 proceeds</x:v>
      </x:c>
      <x:c r="B14" s="8" t="str">
        <x:v>Upfront fee 1%</x:v>
      </x:c>
      <x:c r="C14" s="8" t="n">
        <x:v>1010.1010101010102</x:v>
      </x:c>
      <x:c r="D14" s="8" t="str">
        <x:v>USD millions</x:v>
      </x:c>
      <x:c r="E14" s="8" t="str">
        <x:v>1000 is a unit scenario, not historical acquisition funding.</x:v>
      </x:c>
    </x:row>
    <x:row r="15" ht="80" customHeight="1">
      <x:c r="A15" s="8" t="str">
        <x:v>Gross borrowing to net hypothetical 1000 proceeds</x:v>
      </x:c>
      <x:c r="B15" s="8" t="str">
        <x:v>Upfront fee 2%</x:v>
      </x:c>
      <x:c r="C15" s="8" t="n">
        <x:v>1020.4081632653061</x:v>
      </x:c>
      <x:c r="D15" s="8" t="str">
        <x:v>USD millions</x:v>
      </x:c>
      <x:c r="E15" s="8" t="str">
        <x:v>1000 is a unit scenario, not historical acquisition funding.</x:v>
      </x:c>
    </x:row>
    <x:row r="16" ht="80" customHeight="1">
      <x:c r="A16" s="8" t="str">
        <x:v>Gross borrowing to net hypothetical 1000 proceeds</x:v>
      </x:c>
      <x:c r="B16" s="8" t="str">
        <x:v>Upfront fee 3%</x:v>
      </x:c>
      <x:c r="C16" s="8" t="n">
        <x:v>1030.9278350515465</x:v>
      </x:c>
      <x:c r="D16" s="8" t="str">
        <x:v>USD millions</x:v>
      </x:c>
      <x:c r="E16" s="8" t="str">
        <x:v>1000 is a unit scenario, not historical acquisition funding.</x:v>
      </x:c>
    </x:row>
    <x:row r="17" ht="80" customHeight="1">
      <x:c r="A17" s="8" t="str">
        <x:v>Five-year cumulative synergy less integration costs</x:v>
      </x:c>
      <x:c r="B17" s="8" t="str">
        <x:v>Run rate 0.0; delay 0yr; cost multiplier 1.0</x:v>
      </x:c>
      <x:c r="C17" s="8" t="n">
        <x:v>-175</x:v>
      </x:c>
      <x:c r="D17" s="8" t="str">
        <x:v>USD millions, pre-tax</x:v>
      </x:c>
      <x:c r="E17" s="8" t="str">
        <x:v>Hypothetical delivery and costs; no discounting/tax, financing or working-capital effects.</x:v>
      </x:c>
    </x:row>
    <x:row r="18" ht="80" customHeight="1">
      <x:c r="A18" s="8" t="str">
        <x:v>Five-year cumulative synergy less integration costs</x:v>
      </x:c>
      <x:c r="B18" s="8" t="str">
        <x:v>Run rate 0.0; delay 0yr; cost multiplier 2.0</x:v>
      </x:c>
      <x:c r="C18" s="8" t="n">
        <x:v>-350</x:v>
      </x:c>
      <x:c r="D18" s="8" t="str">
        <x:v>USD millions, pre-tax</x:v>
      </x:c>
      <x:c r="E18" s="8" t="str">
        <x:v>Hypothetical delivery and costs; no discounting/tax, financing or working-capital effects.</x:v>
      </x:c>
    </x:row>
    <x:row r="19" ht="80" customHeight="1">
      <x:c r="A19" s="8" t="str">
        <x:v>Five-year cumulative synergy less integration costs</x:v>
      </x:c>
      <x:c r="B19" s="8" t="str">
        <x:v>Run rate 0.0; delay 1yr; cost multiplier 1.0</x:v>
      </x:c>
      <x:c r="C19" s="8" t="n">
        <x:v>-175</x:v>
      </x:c>
      <x:c r="D19" s="8" t="str">
        <x:v>USD millions, pre-tax</x:v>
      </x:c>
      <x:c r="E19" s="8" t="str">
        <x:v>Hypothetical delivery and costs; no discounting/tax, financing or working-capital effects.</x:v>
      </x:c>
    </x:row>
    <x:row r="20" ht="80" customHeight="1">
      <x:c r="A20" s="8" t="str">
        <x:v>Five-year cumulative synergy less integration costs</x:v>
      </x:c>
      <x:c r="B20" s="8" t="str">
        <x:v>Run rate 0.0; delay 1yr; cost multiplier 2.0</x:v>
      </x:c>
      <x:c r="C20" s="8" t="n">
        <x:v>-350</x:v>
      </x:c>
      <x:c r="D20" s="8" t="str">
        <x:v>USD millions, pre-tax</x:v>
      </x:c>
      <x:c r="E20" s="8" t="str">
        <x:v>Hypothetical delivery and costs; no discounting/tax, financing or working-capital effects.</x:v>
      </x:c>
    </x:row>
    <x:row r="21" ht="80" customHeight="1">
      <x:c r="A21" s="8" t="str">
        <x:v>Five-year cumulative synergy less integration costs</x:v>
      </x:c>
      <x:c r="B21" s="8" t="str">
        <x:v>Run rate 100.0; delay 0yr; cost multiplier 1.0</x:v>
      </x:c>
      <x:c r="C21" s="8" t="n">
        <x:v>175</x:v>
      </x:c>
      <x:c r="D21" s="8" t="str">
        <x:v>USD millions, pre-tax</x:v>
      </x:c>
      <x:c r="E21" s="8" t="str">
        <x:v>Hypothetical delivery and costs; no discounting/tax, financing or working-capital effects.</x:v>
      </x:c>
    </x:row>
    <x:row r="22" ht="80" customHeight="1">
      <x:c r="A22" s="8" t="str">
        <x:v>Five-year cumulative synergy less integration costs</x:v>
      </x:c>
      <x:c r="B22" s="8" t="str">
        <x:v>Run rate 100.0; delay 0yr; cost multiplier 2.0</x:v>
      </x:c>
      <x:c r="C22" s="8" t="n">
        <x:v>0</x:v>
      </x:c>
      <x:c r="D22" s="8" t="str">
        <x:v>USD millions, pre-tax</x:v>
      </x:c>
      <x:c r="E22" s="8" t="str">
        <x:v>Hypothetical delivery and costs; no discounting/tax, financing or working-capital effects.</x:v>
      </x:c>
    </x:row>
    <x:row r="23" ht="80" customHeight="1">
      <x:c r="A23" s="8" t="str">
        <x:v>Five-year cumulative synergy less integration costs</x:v>
      </x:c>
      <x:c r="B23" s="8" t="str">
        <x:v>Run rate 100.0; delay 1yr; cost multiplier 1.0</x:v>
      </x:c>
      <x:c r="C23" s="8" t="n">
        <x:v>75</x:v>
      </x:c>
      <x:c r="D23" s="8" t="str">
        <x:v>USD millions, pre-tax</x:v>
      </x:c>
      <x:c r="E23" s="8" t="str">
        <x:v>Hypothetical delivery and costs; no discounting/tax, financing or working-capital effects.</x:v>
      </x:c>
    </x:row>
    <x:row r="24" ht="80" customHeight="1">
      <x:c r="A24" s="8" t="str">
        <x:v>Five-year cumulative synergy less integration costs</x:v>
      </x:c>
      <x:c r="B24" s="8" t="str">
        <x:v>Run rate 100.0; delay 1yr; cost multiplier 2.0</x:v>
      </x:c>
      <x:c r="C24" s="8" t="n">
        <x:v>-100</x:v>
      </x:c>
      <x:c r="D24" s="8" t="str">
        <x:v>USD millions, pre-tax</x:v>
      </x:c>
      <x:c r="E24" s="8" t="str">
        <x:v>Hypothetical delivery and costs; no discounting/tax, financing or working-capital effects.</x:v>
      </x:c>
    </x:row>
    <x:row r="25" ht="80" customHeight="1">
      <x:c r="A25" s="8" t="str">
        <x:v>Five-year cumulative synergy less integration costs</x:v>
      </x:c>
      <x:c r="B25" s="8" t="str">
        <x:v>Run rate 125.0; delay 0yr; cost multiplier 1.0</x:v>
      </x:c>
      <x:c r="C25" s="8" t="n">
        <x:v>262.5</x:v>
      </x:c>
      <x:c r="D25" s="8" t="str">
        <x:v>USD millions, pre-tax</x:v>
      </x:c>
      <x:c r="E25" s="8" t="str">
        <x:v>Hypothetical delivery and costs; no discounting/tax, financing or working-capital effects.</x:v>
      </x:c>
    </x:row>
    <x:row r="26" ht="80" customHeight="1">
      <x:c r="A26" s="8" t="str">
        <x:v>Five-year cumulative synergy less integration costs</x:v>
      </x:c>
      <x:c r="B26" s="8" t="str">
        <x:v>Run rate 125.0; delay 0yr; cost multiplier 2.0</x:v>
      </x:c>
      <x:c r="C26" s="8" t="n">
        <x:v>87.5</x:v>
      </x:c>
      <x:c r="D26" s="8" t="str">
        <x:v>USD millions, pre-tax</x:v>
      </x:c>
      <x:c r="E26" s="8" t="str">
        <x:v>Hypothetical delivery and costs; no discounting/tax, financing or working-capital effects.</x:v>
      </x:c>
    </x:row>
    <x:row r="27" ht="80" customHeight="1">
      <x:c r="A27" s="8" t="str">
        <x:v>Five-year cumulative synergy less integration costs</x:v>
      </x:c>
      <x:c r="B27" s="8" t="str">
        <x:v>Run rate 125.0; delay 1yr; cost multiplier 1.0</x:v>
      </x:c>
      <x:c r="C27" s="8" t="n">
        <x:v>137.5</x:v>
      </x:c>
      <x:c r="D27" s="8" t="str">
        <x:v>USD millions, pre-tax</x:v>
      </x:c>
      <x:c r="E27" s="8" t="str">
        <x:v>Hypothetical delivery and costs; no discounting/tax, financing or working-capital effects.</x:v>
      </x:c>
    </x:row>
    <x:row r="28" ht="80" customHeight="1">
      <x:c r="A28" s="8" t="str">
        <x:v>Five-year cumulative synergy less integration costs</x:v>
      </x:c>
      <x:c r="B28" s="8" t="str">
        <x:v>Run rate 125.0; delay 1yr; cost multiplier 2.0</x:v>
      </x:c>
      <x:c r="C28" s="8" t="n">
        <x:v>-37.5</x:v>
      </x:c>
      <x:c r="D28" s="8" t="str">
        <x:v>USD millions, pre-tax</x:v>
      </x:c>
      <x:c r="E28" s="8" t="str">
        <x:v>Hypothetical delivery and costs; no discounting/tax, financing or working-capital effects.</x:v>
      </x:c>
    </x:row>
  </x:sheetData>
  <x:mergeCells>
    <x:mergeCell ref="A2:E2"/>
    <x:mergeCell ref="A3:E3"/>
  </x:mergeCells>
  <x:pageMargins left="0.7" right="0.7" top="0.75" bottom="0.75" header="0.3" footer="0.3"/>
</x:worksheet>
</file>