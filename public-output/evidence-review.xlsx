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s" sheetId="1" r:id="rId1"/>
    <sheet name="Summary" sheetId="2" r:id="rId2"/>
    <sheet name="Itemised funding" sheetId="3" r:id="rId3"/>
    <sheet name="Timing and capacity" sheetId="4" r:id="rId4"/>
    <sheet name="Model checks" sheetId="5" r:id="rId5"/>
    <sheet name="Closing working capital" sheetId="6" r:id="rId6"/>
    <sheet name="CFO bridge" sheetId="7" r:id="rId7"/>
    <sheet name="Cost reconciliation" sheetId="8" r:id="rId8"/>
    <sheet name="Investment assumptions" sheetId="9" r:id="rId9"/>
    <sheet name="Joint credit stress" sheetId="10" r:id="rId10"/>
    <sheet name="Illustrative bond risk" sheetId="11" r:id="rId11"/>
    <sheet name="Public output policy" sheetId="12" r:id="rId12"/>
    <sheet name="Public assumptions" sheetId="13" r:id="rId13"/>
    <sheet name="Projected closing bridge" sheetId="14" r:id="rId14"/>
    <sheet name="Public sources and uses" sheetId="15" r:id="rId15"/>
    <sheet name="Public operations" sheetId="16" r:id="rId16"/>
    <sheet name="Public cash and debt" sheetId="17" r:id="rId17"/>
    <sheet name="Public instruments" sheetId="18" r:id="rId18"/>
    <sheet name="Public capacity and stress" sheetId="19" r:id="rId19"/>
    <sheet name="Public comparisons" sheetId="20" r:id="rId20"/>
    <sheet name="Public gap assessment" sheetId="21" r:id="rId21"/>
    <sheet name="Public conventions" sheetId="22" r:id="rId22"/>
    <sheet name="Scenarios" sheetId="23" r:id="rId23"/>
    <sheet name="Evidence" sheetId="24" r:id="rId24"/>
    <sheet name="Sources" sheetId="25" r:id="rId25"/>
    <sheet name="Historical calculations" sheetId="26" r:id="rId26"/>
    <sheet name="Historical gap review" sheetId="27" r:id="rId27"/>
    <sheet name="Historical sensitivities" sheetId="28" r:id="rId28"/>
    <sheet name="Historical assumptions" sheetId="29" r:id="rId29"/>
    <sheet name="Funding unit sensitivities" sheetId="30" r:id="rId30"/>
  </sheets>
  <definedNames>
    <definedName name="_xlnm._FilterDatabase" localSheetId="0" hidden="1">Contents!$A$5:$B$34</definedName>
    <definedName name="_xlnm._FilterDatabase" localSheetId="7" hidden="1">'Cost reconciliation'!$A$4:$L$6</definedName>
    <definedName name="_xlnm._FilterDatabase" localSheetId="23" hidden="1">Evidence!$A$4:$H$141</definedName>
    <definedName name="_xlnm._FilterDatabase" localSheetId="29" hidden="1">'Funding unit sensitivities'!$A$4:$E$28</definedName>
    <definedName name="_xlnm._FilterDatabase" localSheetId="28" hidden="1">'Historical assumptions'!$A$4:$C$10</definedName>
    <definedName name="_xlnm._FilterDatabase" localSheetId="25" hidden="1">'Historical calculations'!$A$4:$G$19</definedName>
    <definedName name="_xlnm._FilterDatabase" localSheetId="26" hidden="1">'Historical gap review'!$A$4:$J$40</definedName>
    <definedName name="_xlnm._FilterDatabase" localSheetId="27" hidden="1">'Historical sensitivities'!$A$4:$H$94</definedName>
    <definedName name="_xlnm._FilterDatabase" localSheetId="10" hidden="1">'Illustrative bond risk'!$A$4:$B$14</definedName>
    <definedName name="_xlnm._FilterDatabase" localSheetId="8" hidden="1">'Investment assumptions'!$A$4:$D$6</definedName>
    <definedName name="_xlnm._FilterDatabase" localSheetId="2" hidden="1">'Itemised funding'!$A$4:$C$46</definedName>
    <definedName name="_xlnm._FilterDatabase" localSheetId="9" hidden="1">'Joint credit stress'!$A$4:$F$31</definedName>
    <definedName name="_xlnm._FilterDatabase" localSheetId="4" hidden="1">'Model checks'!$A$4:$F$19</definedName>
    <definedName name="_xlnm._FilterDatabase" localSheetId="12" hidden="1">'Public assumptions'!$A$4:$B$46</definedName>
    <definedName name="_xlnm._FilterDatabase" localSheetId="18" hidden="1">'Public capacity and stress'!$A$4:$F$37</definedName>
    <definedName name="_xlnm._FilterDatabase" localSheetId="19" hidden="1">'Public comparisons'!$A$4:$I$112</definedName>
    <definedName name="_xlnm._FilterDatabase" localSheetId="21" hidden="1">'Public conventions'!$A$4:$A$19</definedName>
    <definedName name="_xlnm._FilterDatabase" localSheetId="20" hidden="1">'Public gap assessment'!$A$4:$D$27</definedName>
    <definedName name="_xlnm._FilterDatabase" localSheetId="15" hidden="1">'Public operations'!$A$4:$P$34</definedName>
    <definedName name="_xlnm._FilterDatabase" localSheetId="11" hidden="1">'Public output policy'!$A$4:$D$11</definedName>
    <definedName name="_xlnm._FilterDatabase" localSheetId="14" hidden="1">'Public sources and uses'!$A$4:$C$89</definedName>
    <definedName name="_xlnm._FilterDatabase" localSheetId="22" hidden="1">Scenarios!$A$4:$F$4</definedName>
    <definedName name="_xlnm._FilterDatabase" localSheetId="24" hidden="1">Sources!$A$4:$G$24</definedName>
    <definedName name="_xlnm._FilterDatabase" localSheetId="3" hidden="1">'Timing and capacity'!$A$4:$F$7</definedName>
    <definedName name="_xlnm.Print_Area" localSheetId="6">'CFO bridge'!$A$1:$H$6</definedName>
    <definedName name="_xlnm.Print_Area" localSheetId="5">'Closing working capital'!$A$1:$E$10</definedName>
    <definedName name="_xlnm.Print_Area" localSheetId="0">Contents!$A$1:$B$34</definedName>
    <definedName name="_xlnm.Print_Area" localSheetId="7">'Cost reconciliation'!$A$1:$L$6</definedName>
    <definedName name="_xlnm.Print_Area" localSheetId="23">Evidence!$A$1:$H$141</definedName>
    <definedName name="_xlnm.Print_Area" localSheetId="29">'Funding unit sensitivities'!$A$1:$E$28</definedName>
    <definedName name="_xlnm.Print_Area" localSheetId="28">'Historical assumptions'!$A$1:$C$10</definedName>
    <definedName name="_xlnm.Print_Area" localSheetId="25">'Historical calculations'!$A$1:$G$19</definedName>
    <definedName name="_xlnm.Print_Area" localSheetId="26">'Historical gap review'!$A$1:$J$40</definedName>
    <definedName name="_xlnm.Print_Area" localSheetId="27">'Historical sensitivities'!$A$1:$H$94</definedName>
    <definedName name="_xlnm.Print_Area" localSheetId="10">'Illustrative bond risk'!$A$1:$B$14</definedName>
    <definedName name="_xlnm.Print_Area" localSheetId="8">'Investment assumptions'!$A$1:$D$6</definedName>
    <definedName name="_xlnm.Print_Area" localSheetId="2">'Itemised funding'!$A$1:$C$46</definedName>
    <definedName name="_xlnm.Print_Area" localSheetId="9">'Joint credit stress'!$A$1:$F$31</definedName>
    <definedName name="_xlnm.Print_Area" localSheetId="4">'Model checks'!$A$1:$F$19</definedName>
    <definedName name="_xlnm.Print_Area" localSheetId="13">'Projected closing bridge'!$A$1:$J$6</definedName>
    <definedName name="_xlnm.Print_Area" localSheetId="12">'Public assumptions'!$A$1:$B$46</definedName>
    <definedName name="_xlnm.Print_Area" localSheetId="18">'Public capacity and stress'!$A$1:$F$37</definedName>
    <definedName name="_xlnm.Print_Area" localSheetId="16">'Public cash and debt'!$A$1:$R$19</definedName>
    <definedName name="_xlnm.Print_Area" localSheetId="19">'Public comparisons'!$A$1:$I$112</definedName>
    <definedName name="_xlnm.Print_Area" localSheetId="21">'Public conventions'!$A$1:$A$19</definedName>
    <definedName name="_xlnm.Print_Area" localSheetId="20">'Public gap assessment'!$A$1:$D$27</definedName>
    <definedName name="_xlnm.Print_Area" localSheetId="17">'Public instruments'!$A$1:$L$79</definedName>
    <definedName name="_xlnm.Print_Area" localSheetId="15">'Public operations'!$A$1:$P$34</definedName>
    <definedName name="_xlnm.Print_Area" localSheetId="11">'Public output policy'!$A$1:$D$11</definedName>
    <definedName name="_xlnm.Print_Area" localSheetId="14">'Public sources and uses'!$A$1:$C$89</definedName>
    <definedName name="_xlnm.Print_Area" localSheetId="22">Scenarios!$A$1:$F$4</definedName>
    <definedName name="_xlnm.Print_Area" localSheetId="24">Sources!$A$1:$G$24</definedName>
    <definedName name="_xlnm.Print_Area" localSheetId="1">Summary!$A$1:$B$16</definedName>
    <definedName name="_xlnm.Print_Area" localSheetId="3">'Timing and capacity'!$A$1:$F$7</definedName>
    <definedName name="_xlnm.Print_Titles" localSheetId="6">'CFO bridge'!$1:$4</definedName>
    <definedName name="_xlnm.Print_Titles" localSheetId="5">'Closing working capital'!$1:$4</definedName>
    <definedName name="_xlnm.Print_Titles" localSheetId="0">Contents!$1:$5</definedName>
    <definedName name="_xlnm.Print_Titles" localSheetId="7">'Cost reconciliation'!$1:$4</definedName>
    <definedName name="_xlnm.Print_Titles" localSheetId="23">Evidence!$1:$4</definedName>
    <definedName name="_xlnm.Print_Titles" localSheetId="29">'Funding unit sensitivities'!$1:$4</definedName>
    <definedName name="_xlnm.Print_Titles" localSheetId="28">'Historical assumptions'!$1:$4</definedName>
    <definedName name="_xlnm.Print_Titles" localSheetId="25">'Historical calculations'!$1:$4</definedName>
    <definedName name="_xlnm.Print_Titles" localSheetId="26">'Historical gap review'!$1:$4</definedName>
    <definedName name="_xlnm.Print_Titles" localSheetId="27">'Historical sensitivities'!$1:$4</definedName>
    <definedName name="_xlnm.Print_Titles" localSheetId="10">'Illustrative bond risk'!$1:$4</definedName>
    <definedName name="_xlnm.Print_Titles" localSheetId="8">'Investment assumptions'!$1:$4</definedName>
    <definedName name="_xlnm.Print_Titles" localSheetId="2">'Itemised funding'!$1:$4</definedName>
    <definedName name="_xlnm.Print_Titles" localSheetId="9">'Joint credit stress'!$1:$4</definedName>
    <definedName name="_xlnm.Print_Titles" localSheetId="4">'Model checks'!$1:$4</definedName>
    <definedName name="_xlnm.Print_Titles" localSheetId="13">'Projected closing bridge'!$1:$4</definedName>
    <definedName name="_xlnm.Print_Titles" localSheetId="12">'Public assumptions'!$1:$4</definedName>
    <definedName name="_xlnm.Print_Titles" localSheetId="18">'Public capacity and stress'!$1:$4</definedName>
    <definedName name="_xlnm.Print_Titles" localSheetId="16">'Public cash and debt'!$1:$4</definedName>
    <definedName name="_xlnm.Print_Titles" localSheetId="19">'Public comparisons'!$1:$4</definedName>
    <definedName name="_xlnm.Print_Titles" localSheetId="21">'Public conventions'!$1:$4</definedName>
    <definedName name="_xlnm.Print_Titles" localSheetId="20">'Public gap assessment'!$1:$4</definedName>
    <definedName name="_xlnm.Print_Titles" localSheetId="17">'Public instruments'!$1:$4</definedName>
    <definedName name="_xlnm.Print_Titles" localSheetId="15">'Public operations'!$1:$4</definedName>
    <definedName name="_xlnm.Print_Titles" localSheetId="11">'Public output policy'!$1:$4</definedName>
    <definedName name="_xlnm.Print_Titles" localSheetId="14">'Public sources and uses'!$1:$4</definedName>
    <definedName name="_xlnm.Print_Titles" localSheetId="22">Scenarios!$1:$4</definedName>
    <definedName name="_xlnm.Print_Titles" localSheetId="24">Sources!$1:$4</definedName>
    <definedName name="_xlnm.Print_Titles" localSheetId="3">'Timing and capacity'!$1:$4</definedName>
  </definedNames>
  <calcPr calcId="124519" fullCalcOnLoad="1"/>
</workbook>
</file>

<file path=xl/sharedStrings.xml><?xml version="1.0" encoding="utf-8"?>
<sst xmlns="http://schemas.openxmlformats.org/spreadsheetml/2006/main" count="3619" uniqueCount="1025">
  <si>
    <t>Acquisition financing research | Public conditional analysis</t>
  </si>
  <si>
    <t>Python snapshots: edit assumptions with the CLI or live dashboard.</t>
  </si>
  <si>
    <t>Refresh</t>
  </si>
  <si>
    <t>Only displayed formulas recalculate. All forecasts, scenarios and capacity are Python snapshots.</t>
  </si>
  <si>
    <t>Worksheet</t>
  </si>
  <si>
    <t>Purpose / navigation</t>
  </si>
  <si>
    <t>Summary</t>
  </si>
  <si>
    <t>Open the named worksheet tab. Primary result and status</t>
  </si>
  <si>
    <t>Itemised funding</t>
  </si>
  <si>
    <t>Open the named worksheet tab. Supporting schedule / evidence</t>
  </si>
  <si>
    <t>Timing and capacity</t>
  </si>
  <si>
    <t>Model checks</t>
  </si>
  <si>
    <t>Closing working capital</t>
  </si>
  <si>
    <t>CFO bridge</t>
  </si>
  <si>
    <t>Cost reconciliation</t>
  </si>
  <si>
    <t>Investment assumptions</t>
  </si>
  <si>
    <t>Joint credit stress</t>
  </si>
  <si>
    <t>Illustrative bond risk</t>
  </si>
  <si>
    <t>Public output policy</t>
  </si>
  <si>
    <t>Public assumptions</t>
  </si>
  <si>
    <t>Projected closing bridge</t>
  </si>
  <si>
    <t>Public sources and uses</t>
  </si>
  <si>
    <t>Public operations</t>
  </si>
  <si>
    <t>Public cash and debt</t>
  </si>
  <si>
    <t>Public instruments</t>
  </si>
  <si>
    <t>Public capacity and stress</t>
  </si>
  <si>
    <t>Public comparisons</t>
  </si>
  <si>
    <t>Public gap assessment</t>
  </si>
  <si>
    <t>Public conventions</t>
  </si>
  <si>
    <t>Scenarios</t>
  </si>
  <si>
    <t>Evidence</t>
  </si>
  <si>
    <t>Sources</t>
  </si>
  <si>
    <t>Historical calculations</t>
  </si>
  <si>
    <t>Historical gap review</t>
  </si>
  <si>
    <t>Historical sensitivities</t>
  </si>
  <si>
    <t>Historical assumptions</t>
  </si>
  <si>
    <t>Funding unit sensitivities</t>
  </si>
  <si>
    <t>Acquisition financing simulator</t>
  </si>
  <si>
    <t>Recommendation status</t>
  </si>
  <si>
    <t>Blocked — insufficient verified evidence.</t>
  </si>
  <si>
    <t>Preferred actual-company structure</t>
  </si>
  <si>
    <t>None</t>
  </si>
  <si>
    <t>Historical-analysis completion</t>
  </si>
  <si>
    <t>Incomplete</t>
  </si>
  <si>
    <t>Numerical results</t>
  </si>
  <si>
    <t>Verified historical calculations and dependency-gated conditional public projections; no synthetic company inputs.</t>
  </si>
  <si>
    <t>Model snapshots. Rerun Python after input/source changes; only displayed formulas recalculate in Excel.</t>
  </si>
  <si>
    <t>Analysis limitation</t>
  </si>
  <si>
    <t>The strict assessment remains blocked. Public-information projections use verified starting values, relevant public contracts and explicit forecasts; each output has its own dependency status. No execution, covenant-compliance or overall financing preference is asserted.</t>
  </si>
  <si>
    <t>Historical results</t>
  </si>
  <si>
    <t>Supported historical calculations and separate conditional public projections; strict recommendation blocked.</t>
  </si>
  <si>
    <t>Information cutoff</t>
  </si>
  <si>
    <t>2025-05-15</t>
  </si>
  <si>
    <t>Input ID</t>
  </si>
  <si>
    <t>c363a449009f18e02c44239234c1429c50d76ed4c935936741262ef47cdb52fa</t>
  </si>
  <si>
    <t>Public-information case</t>
  </si>
  <si>
    <t>Public-information conditional analysis; strict gate unchanged</t>
  </si>
  <si>
    <t>Conditional conclusion</t>
  </si>
  <si>
    <t>Under the stated public-information assumptions and analytical thresholds, the model indicates only scoped scenario results; no overall financing preference is issued because material omitted private obligations are not bounded.</t>
  </si>
  <si>
    <t>Public-case refresh</t>
  </si>
  <si>
    <t>Python snapshots connected to evaluated source dependencies. Rerun with --public-information; Excel formulas explain rollforwards but do not rerun scenarios or solver.</t>
  </si>
  <si>
    <t>Calculation status</t>
  </si>
  <si>
    <t>Conditional public case available</t>
  </si>
  <si>
    <t>Selected timing</t>
  </si>
  <si>
    <t>Annual; quarterly historical liquidity unsupported</t>
  </si>
  <si>
    <t>USD millions. Python snapshots; rerun Python to change assumptions.</t>
  </si>
  <si>
    <t>Structure</t>
  </si>
  <si>
    <t>Use / source</t>
  </si>
  <si>
    <t>USD millions</t>
  </si>
  <si>
    <t>Cash-first</t>
  </si>
  <si>
    <t>Cash consideration</t>
  </si>
  <si>
    <t>Debt principal repaid</t>
  </si>
  <si>
    <t>Transaction expenses</t>
  </si>
  <si>
    <t>Award settlement reserve</t>
  </si>
  <si>
    <t>Redemption premium</t>
  </si>
  <si>
    <t>Accrued interest</t>
  </si>
  <si>
    <t>Lc collateral reserve</t>
  </si>
  <si>
    <t>Other closing uses</t>
  </si>
  <si>
    <t>Financing fees</t>
  </si>
  <si>
    <t>Liquidity-first</t>
  </si>
  <si>
    <t>Mixed consideration</t>
  </si>
  <si>
    <t>Cash uses</t>
  </si>
  <si>
    <t>Cash contribution</t>
  </si>
  <si>
    <t>Total new borrowing</t>
  </si>
  <si>
    <t>Analytical equity</t>
  </si>
  <si>
    <t>Sources uses difference</t>
  </si>
  <si>
    <t>Timing</t>
  </si>
  <si>
    <t>Acquisition debt</t>
  </si>
  <si>
    <t>Residual equity</t>
  </si>
  <si>
    <t>Fee convention</t>
  </si>
  <si>
    <t>Constraint</t>
  </si>
  <si>
    <t>Annual</t>
  </si>
  <si>
    <t>No feasible solution</t>
  </si>
  <si>
    <t>issued_debt</t>
  </si>
  <si>
    <t>Cash at year 1, period 1</t>
  </si>
  <si>
    <t>Cash at year 2, period 2</t>
  </si>
  <si>
    <t>Period end</t>
  </si>
  <si>
    <t>Sources less uses</t>
  </si>
  <si>
    <t>Cash rollforward</t>
  </si>
  <si>
    <t>Debt rollforward</t>
  </si>
  <si>
    <t>2026-11-01</t>
  </si>
  <si>
    <t>2027-11-01</t>
  </si>
  <si>
    <t>2028-11-01</t>
  </si>
  <si>
    <t>2029-11-01</t>
  </si>
  <si>
    <t>2030-11-01</t>
  </si>
  <si>
    <t>Company</t>
  </si>
  <si>
    <t>Balance</t>
  </si>
  <si>
    <t>Reported</t>
  </si>
  <si>
    <t>Projected closing</t>
  </si>
  <si>
    <t>Movement</t>
  </si>
  <si>
    <t>acquirer</t>
  </si>
  <si>
    <t>inventory</t>
  </si>
  <si>
    <t>receivables</t>
  </si>
  <si>
    <t>payables</t>
  </si>
  <si>
    <t>target</t>
  </si>
  <si>
    <t>Prior WC cash contribution</t>
  </si>
  <si>
    <t>Projected pre-WC CFO</t>
  </si>
  <si>
    <t>Projected change NWC</t>
  </si>
  <si>
    <t>Projected CFO</t>
  </si>
  <si>
    <t>Projected cash</t>
  </si>
  <si>
    <t>Accessible cash</t>
  </si>
  <si>
    <t>Excluded accounting cash</t>
  </si>
  <si>
    <t>Reported revenue</t>
  </si>
  <si>
    <t>Reported COS</t>
  </si>
  <si>
    <t>Reported SG&amp;A</t>
  </si>
  <si>
    <t>Other operating cost</t>
  </si>
  <si>
    <t>Separately presented D&amp;A</t>
  </si>
  <si>
    <t>Operating profit</t>
  </si>
  <si>
    <t>D&amp;A add-back</t>
  </si>
  <si>
    <t>Starting EBITDA</t>
  </si>
  <si>
    <t>Separate lease cost</t>
  </si>
  <si>
    <t>Nonrent cost pool</t>
  </si>
  <si>
    <t>Assumed variable share</t>
  </si>
  <si>
    <t>DICK'S Sporting Goods</t>
  </si>
  <si>
    <t>Foot Locker</t>
  </si>
  <si>
    <t>Initial gross budget</t>
  </si>
  <si>
    <t>Assumed maintenance</t>
  </si>
  <si>
    <t>Residual growth budget</t>
  </si>
  <si>
    <t>Margin bp</t>
  </si>
  <si>
    <t>Rate bp</t>
  </si>
  <si>
    <t>Cash cushion USD m</t>
  </si>
  <si>
    <t>All screens pass</t>
  </si>
  <si>
    <t>First breach</t>
  </si>
  <si>
    <t>Standalone hypothetical bond. Dollar risks are USD, not USD millions.</t>
  </si>
  <si>
    <t>Metric</t>
  </si>
  <si>
    <t>Value</t>
  </si>
  <si>
    <t>Scope</t>
  </si>
  <si>
    <t>Standalone illustrative bond; not an actual-company security or market quote</t>
  </si>
  <si>
    <t>Notional USD</t>
  </si>
  <si>
    <t>Price per 100</t>
  </si>
  <si>
    <t>Modified duration</t>
  </si>
  <si>
    <t>Convexity</t>
  </si>
  <si>
    <t>DV01 USD per bp</t>
  </si>
  <si>
    <t>CS01 USD per bp</t>
  </si>
  <si>
    <t>Hypothetical short contracts</t>
  </si>
  <si>
    <t>Residual DV01 USD per bp</t>
  </si>
  <si>
    <t>Limitations</t>
  </si>
  <si>
    <t>Coupon-date settlement; flat yield; no accrued interest, default, optionality or liquidity premium model. Equal DV01 and CS01 reflect the additive flat-yield assumption. Hedge DV01 is hypothetical; benchmark hedging does not remove credit-spread or basis risk.</t>
  </si>
  <si>
    <t>PUBLIC INFORMATION | Public output policy</t>
  </si>
  <si>
    <t>Conditional model snapshots; strict recommendation remains blocked. USD millions unless stated.</t>
  </si>
  <si>
    <t>Output</t>
  </si>
  <si>
    <t>Status</t>
  </si>
  <si>
    <t>Limitation</t>
  </si>
  <si>
    <t>Missing dependencies</t>
  </si>
  <si>
    <t>Conditional projection</t>
  </si>
  <si>
    <t>Conditional on scope and assumptions; excludes unbounded consent/exceptional costs. No actual covenants or facility availability asserted.</t>
  </si>
  <si>
    <t>[]</t>
  </si>
  <si>
    <t>Connected financing schedules</t>
  </si>
  <si>
    <t>Analytical debt capacity</t>
  </si>
  <si>
    <t>Actual covenant compliance</t>
  </si>
  <si>
    <t>Blocked</t>
  </si>
  <si>
    <t>Outside analytical scope or unbounded material obligations; numerical feasibility cannot establish this claim.</t>
  </si>
  <si>
    <t>Confirmed borrowing availability / lender appetite</t>
  </si>
  <si>
    <t>Executable financing / complete actual transaction uses</t>
  </si>
  <si>
    <t>Overall company-specific financing preference</t>
  </si>
  <si>
    <t>PUBLIC INFORMATION | Public assumptions</t>
  </si>
  <si>
    <t>Future assumption</t>
  </si>
  <si>
    <t>closing_date</t>
  </si>
  <si>
    <t>2025-11-01</t>
  </si>
  <si>
    <t>cash_access</t>
  </si>
  <si>
    <t>operating_cash_access</t>
  </si>
  <si>
    <t>bridge_cfo_factors</t>
  </si>
  <si>
    <t>[1.0, 0.5]</t>
  </si>
  <si>
    <t>gross_annual_capex</t>
  </si>
  <si>
    <t>[1200.0, 300.0]</t>
  </si>
  <si>
    <t>cash_floor</t>
  </si>
  <si>
    <t>max_leverage</t>
  </si>
  <si>
    <t>min_coverage</t>
  </si>
  <si>
    <t>tax_rate</t>
  </si>
  <si>
    <t>benchmark</t>
  </si>
  <si>
    <t>spread</t>
  </si>
  <si>
    <t>fee</t>
  </si>
  <si>
    <t>transaction_fees</t>
  </si>
  <si>
    <t>award_fraction</t>
  </si>
  <si>
    <t>dividend_factor</t>
  </si>
  <si>
    <t>extra_abl_payoff</t>
  </si>
  <si>
    <t>other_liability_reserve</t>
  </si>
  <si>
    <t>purchase_commitment_reserve</t>
  </si>
  <si>
    <t>lease_rate</t>
  </si>
  <si>
    <t>lease_tail_cash</t>
  </si>
  <si>
    <t>growth</t>
  </si>
  <si>
    <t>[[0.02, 0.02, 0.02, 0.02, 0.02], [-0.05, 0.0, 0.02, 0.02, 0.02]]</t>
  </si>
  <si>
    <t>margin_shock</t>
  </si>
  <si>
    <t>synergy</t>
  </si>
  <si>
    <t>integration_multiplier</t>
  </si>
  <si>
    <t>refinance</t>
  </si>
  <si>
    <t>variable_cost_share</t>
  </si>
  <si>
    <t>[0.8, 0.8]</t>
  </si>
  <si>
    <t>closing_inventory_multiplier</t>
  </si>
  <si>
    <t>[1.18, 1.15]</t>
  </si>
  <si>
    <t>closing_receivables_multiplier</t>
  </si>
  <si>
    <t>[1.05, 1.0]</t>
  </si>
  <si>
    <t>closing_payables_multiplier</t>
  </si>
  <si>
    <t>[1.15, 1.15]</t>
  </si>
  <si>
    <t>fee_convention</t>
  </si>
  <si>
    <t>maintenance_capex</t>
  </si>
  <si>
    <t>[800.0, 240.0]</t>
  </si>
  <si>
    <t>linked_growth_penalty</t>
  </si>
  <si>
    <t>[0.01, 0.02]</t>
  </si>
  <si>
    <t>lc_collateral_factor</t>
  </si>
  <si>
    <t>fixed_cost_growth</t>
  </si>
  <si>
    <t>new_debt_maturity</t>
  </si>
  <si>
    <t>new_debt_amortisation</t>
  </si>
  <si>
    <t>refinance_limit</t>
  </si>
  <si>
    <t>refinance_tenor</t>
  </si>
  <si>
    <t>synergy_ramp</t>
  </si>
  <si>
    <t>[0, 0.5, 1, 1, 1]</t>
  </si>
  <si>
    <t>integration_costs</t>
  </si>
  <si>
    <t>[100, 50, 25, 0, 0]</t>
  </si>
  <si>
    <t>reference_share_price</t>
  </si>
  <si>
    <t>mixed_stock_fraction</t>
  </si>
  <si>
    <t>PUBLIC INFORMATION | Projected closing bridge</t>
  </si>
  <si>
    <t>Reported cash</t>
  </si>
  <si>
    <t>Projected capex</t>
  </si>
  <si>
    <t>Projected dividends</t>
  </si>
  <si>
    <t>Accrued buybacks paid</t>
  </si>
  <si>
    <t>Projected lease principal</t>
  </si>
  <si>
    <t>Usable cash</t>
  </si>
  <si>
    <t>Cash access fraction</t>
  </si>
  <si>
    <t>PUBLIC INFORMATION | Public sources and uses</t>
  </si>
  <si>
    <t>Structure / scope</t>
  </si>
  <si>
    <t>Item</t>
  </si>
  <si>
    <t>equity_consideration</t>
  </si>
  <si>
    <t>enterprise_value</t>
  </si>
  <si>
    <t>equity_headline_difference</t>
  </si>
  <si>
    <t>ev_headline_difference</t>
  </si>
  <si>
    <t>cash_purchase</t>
  </si>
  <si>
    <t>noncash_consideration</t>
  </si>
  <si>
    <t>stock_issued</t>
  </si>
  <si>
    <t>ownership_dilution</t>
  </si>
  <si>
    <t>required_debt_repayment</t>
  </si>
  <si>
    <t>financing_fees</t>
  </si>
  <si>
    <t>cash_uses</t>
  </si>
  <si>
    <t>cash_contribution</t>
  </si>
  <si>
    <t>acquisition_borrowing</t>
  </si>
  <si>
    <t>borrowing_for_refinancing_and_fees</t>
  </si>
  <si>
    <t>total_new_borrowing</t>
  </si>
  <si>
    <t>retained_debt</t>
  </si>
  <si>
    <t>opening_cash</t>
  </si>
  <si>
    <t>unavailable_target_cash</t>
  </si>
  <si>
    <t>opening_debt</t>
  </si>
  <si>
    <t>analytical_equity</t>
  </si>
  <si>
    <t>sources_uses_difference</t>
  </si>
  <si>
    <t>unsupported_enterprise_value_reason</t>
  </si>
  <si>
    <t>Complete transaction EV reconciliation is outside the bounded common-share funding scope.</t>
  </si>
  <si>
    <t>All structures</t>
  </si>
  <si>
    <t>known_award_cash_lower</t>
  </si>
  <si>
    <t>known_award_cash_upper</t>
  </si>
  <si>
    <t>projected_award_cash_reserve</t>
  </si>
  <si>
    <t>fl_note_principal</t>
  </si>
  <si>
    <t>fl_note_premium</t>
  </si>
  <si>
    <t>fl_note_accrued_interest</t>
  </si>
  <si>
    <t>lc_cash_collateral_reserve</t>
  </si>
  <si>
    <t>projected_abl_payoff</t>
  </si>
  <si>
    <t>projected_preclose_cash_deficit_funding</t>
  </si>
  <si>
    <t>total_fixed_closing_uses</t>
  </si>
  <si>
    <t>PUBLIC INFORMATION | Public operations</t>
  </si>
  <si>
    <t>Year</t>
  </si>
  <si>
    <t>Revenue</t>
  </si>
  <si>
    <t>Model variable costs</t>
  </si>
  <si>
    <t>Other variable costs</t>
  </si>
  <si>
    <t>Fixed cost</t>
  </si>
  <si>
    <t>Rent</t>
  </si>
  <si>
    <t>EBITDA</t>
  </si>
  <si>
    <t>D&amp;A</t>
  </si>
  <si>
    <t>EBIT</t>
  </si>
  <si>
    <t>Capex</t>
  </si>
  <si>
    <t>Inventory</t>
  </si>
  <si>
    <t>Receivables</t>
  </si>
  <si>
    <t>Payables</t>
  </si>
  <si>
    <t>NWC</t>
  </si>
  <si>
    <t>PUBLIC INFORMATION | Public cash and debt</t>
  </si>
  <si>
    <t>Opening cash</t>
  </si>
  <si>
    <t>Accessible operating CF</t>
  </si>
  <si>
    <t>Interest</t>
  </si>
  <si>
    <t>Dividends</t>
  </si>
  <si>
    <t>Buybacks</t>
  </si>
  <si>
    <t>Refinance fees</t>
  </si>
  <si>
    <t>Facility draw</t>
  </si>
  <si>
    <t>Mandatory paid</t>
  </si>
  <si>
    <t>Optional paid</t>
  </si>
  <si>
    <t>Closing cash</t>
  </si>
  <si>
    <t>Opening debt</t>
  </si>
  <si>
    <t>Closing debt</t>
  </si>
  <si>
    <t>Net leverage</t>
  </si>
  <si>
    <t>Coverage</t>
  </si>
  <si>
    <t>Maturity gap</t>
  </si>
  <si>
    <t>PUBLIC INFORMATION | Public instruments</t>
  </si>
  <si>
    <t>Instrument</t>
  </si>
  <si>
    <t>Opening principal</t>
  </si>
  <si>
    <t>Rate (fraction)</t>
  </si>
  <si>
    <t>Mandatory due</t>
  </si>
  <si>
    <t>Draw</t>
  </si>
  <si>
    <t>Refinanced</t>
  </si>
  <si>
    <t>Closing principal</t>
  </si>
  <si>
    <t>DKS notes 2032</t>
  </si>
  <si>
    <t>DKS notes 2052</t>
  </si>
  <si>
    <t>FL aggregate finance leases</t>
  </si>
  <si>
    <t>Acquisition term</t>
  </si>
  <si>
    <t>No facility (zero placeholder)</t>
  </si>
  <si>
    <t>PUBLIC INFORMATION | Public capacity and stress</t>
  </si>
  <si>
    <t>Policy / study</t>
  </si>
  <si>
    <t>Maximum acquisition debt / decline</t>
  </si>
  <si>
    <t>Residual analytical equity</t>
  </si>
  <si>
    <t>Constraint / status</t>
  </si>
  <si>
    <t>Resolution</t>
  </si>
  <si>
    <t>Base</t>
  </si>
  <si>
    <t>cash / year 1; headroom -3.65</t>
  </si>
  <si>
    <t>cash / year 2; headroom -561.34</t>
  </si>
  <si>
    <t>No discretionary dividends</t>
  </si>
  <si>
    <t>cash / year 2; headroom -166.19</t>
  </si>
  <si>
    <t>cash / year 4; headroom -75.66</t>
  </si>
  <si>
    <t>Assumed term refinancing</t>
  </si>
  <si>
    <t>Lower reinvestment and dividends suspended</t>
  </si>
  <si>
    <t>cash / year 5; headroom -3.65</t>
  </si>
  <si>
    <t>cash / year 5; headroom -1.00</t>
  </si>
  <si>
    <t>Central cost downside</t>
  </si>
  <si>
    <t>cash / year 1; headroom -45.57</t>
  </si>
  <si>
    <t>cash / year 2; headroom -854.38</t>
  </si>
  <si>
    <t>More fixed cost behaviour</t>
  </si>
  <si>
    <t>cash / year 1; headroom -216.96</t>
  </si>
  <si>
    <t>cash / year 2; headroom -1,201.57</t>
  </si>
  <si>
    <t>More variable cost behaviour</t>
  </si>
  <si>
    <t>cash / year 2; headroom -540.90</t>
  </si>
  <si>
    <t>cash / year 2; headroom -527.98</t>
  </si>
  <si>
    <t>Linked lower investment - mild</t>
  </si>
  <si>
    <t>cash / year 5; headroom -3.58</t>
  </si>
  <si>
    <t>cash / year 5; headroom -0.94</t>
  </si>
  <si>
    <t>Linked lower investment - stronger</t>
  </si>
  <si>
    <t>cash / year 5; headroom -5.07</t>
  </si>
  <si>
    <t>cash / year 5; headroom -2.67</t>
  </si>
  <si>
    <t>Fixed financing fee budget</t>
  </si>
  <si>
    <t>cash / year 1; headroom -6.61</t>
  </si>
  <si>
    <t>cash / year 2; headroom -564.79</t>
  </si>
  <si>
    <t>cash / year 1; headroom -4.95</t>
  </si>
  <si>
    <t>Reverse revenue decline (fraction)</t>
  </si>
  <si>
    <t>Already failing at starting point; cash / year 1; headroom -151.71</t>
  </si>
  <si>
    <t>Already failing at starting point; cash / year 2; headroom -733.84</t>
  </si>
  <si>
    <t>Already failing at starting point; cash / year 1; headroom -68.51</t>
  </si>
  <si>
    <t>PUBLIC INFORMATION | Public comparisons</t>
  </si>
  <si>
    <t>Scenario</t>
  </si>
  <si>
    <t>Passes analytical screens</t>
  </si>
  <si>
    <t>New debt</t>
  </si>
  <si>
    <t>Minimum cash</t>
  </si>
  <si>
    <t>Five-year interest</t>
  </si>
  <si>
    <t>Common dilution fraction</t>
  </si>
  <si>
    <t>Assumption changes</t>
  </si>
  <si>
    <t>{"period": 1, "year": 1, "constraint": "cash", "headroom": -151.7087785450933}</t>
  </si>
  <si>
    <t>{}</t>
  </si>
  <si>
    <t>{"period": 2, "year": 2, "constraint": "cash", "headroom": -733.8431788712214}</t>
  </si>
  <si>
    <t>{"period": 1, "year": 1, "constraint": "cash", "headroom": -68.51256572631758}</t>
  </si>
  <si>
    <t>Envelope cash 0%, awards 0%, CFO access 0%</t>
  </si>
  <si>
    <t>{"period": 0, "year": 0, "constraint": "cash", "headroom": -750.0}</t>
  </si>
  <si>
    <t>{"cash_access": 0.0, "award_fraction": 0.0, "operating_cash_access": 0.0}</t>
  </si>
  <si>
    <t>Envelope cash 0%, awards 0%, CFO access 100%</t>
  </si>
  <si>
    <t>{"cash_access": 0.0, "award_fraction": 0.0, "operating_cash_access": 1.0}</t>
  </si>
  <si>
    <t>Envelope cash 0%, awards 100%, CFO access 0%</t>
  </si>
  <si>
    <t>{"cash_access": 0.0, "award_fraction": 1.0, "operating_cash_access": 0.0}</t>
  </si>
  <si>
    <t>Envelope cash 0%, awards 100%, CFO access 100%</t>
  </si>
  <si>
    <t>{"cash_access": 0.0, "award_fraction": 1.0, "operating_cash_access": 1.0}</t>
  </si>
  <si>
    <t>Envelope cash 100%, awards 0%, CFO access 0%</t>
  </si>
  <si>
    <t>{"period": 1, "year": 1, "constraint": "cash", "headroom": -2110.675439857064}</t>
  </si>
  <si>
    <t>{"cash_access": 1.0, "award_fraction": 0.0, "operating_cash_access": 0.0}</t>
  </si>
  <si>
    <t>{"period": 1, "year": 1, "constraint": "cash", "headroom": -1565.6949879205126}</t>
  </si>
  <si>
    <t>{"period": 1, "year": 1, "constraint": "cash", "headroom": -2028.7663695713495}</t>
  </si>
  <si>
    <t>Envelope cash 100%, awards 0%, CFO access 100%</t>
  </si>
  <si>
    <t>{"period": 1, "year": 1, "constraint": "cash", "headroom": -119.85632430217208}</t>
  </si>
  <si>
    <t>{"cash_access": 1.0, "award_fraction": 0.0, "operating_cash_access": 1.0}</t>
  </si>
  <si>
    <t>{"period": 2, "year": 2, "constraint": "cash", "headroom": -708.8809372644133}</t>
  </si>
  <si>
    <t>{"period": 1, "year": 1, "constraint": "cash", "headroom": -36.66011148339669}</t>
  </si>
  <si>
    <t>Envelope cash 100%, awards 100%, CFO access 0%</t>
  </si>
  <si>
    <t>{"period": 1, "year": 1, "constraint": "cash", "headroom": -2118.161848999921}</t>
  </si>
  <si>
    <t>{"cash_access": 1.0, "award_fraction": 1.0, "operating_cash_access": 0.0}</t>
  </si>
  <si>
    <t>{"period": 1, "year": 1, "constraint": "cash", "headroom": -1573.1813970633698}</t>
  </si>
  <si>
    <t>{"period": 1, "year": 1, "constraint": "cash", "headroom": -2036.2527787142067}</t>
  </si>
  <si>
    <t>Envelope cash 100%, awards 100%, CFO access 100%</t>
  </si>
  <si>
    <t>{"period": 1, "year": 1, "constraint": "cash", "headroom": -127.46037701727437}</t>
  </si>
  <si>
    <t>{"cash_access": 1.0, "award_fraction": 1.0, "operating_cash_access": 1.0}</t>
  </si>
  <si>
    <t>{"period": 2, "year": 2, "constraint": "cash", "headroom": -716.7642554997713}</t>
  </si>
  <si>
    <t>{"period": 1, "year": 1, "constraint": "cash", "headroom": -44.264164198498975}</t>
  </si>
  <si>
    <t>Operating downside</t>
  </si>
  <si>
    <t>{"period": 1, "year": 1, "constraint": "cash", "headroom": -439.33558292009565}</t>
  </si>
  <si>
    <t>{"growth": [-0.05, -0.1], "margin_shock": -0.01, "synergy": 0.0, "integration_multiplier": 2.0}</t>
  </si>
  <si>
    <t>{"period": 1, "year": 1, "constraint": "cash", "headroom": -204.99100332559965}</t>
  </si>
  <si>
    <t>{"period": 1, "year": 1, "constraint": "cash", "headroom": -356.13937010132}</t>
  </si>
  <si>
    <t>{"period": 2, "year": 2, "constraint": "cash", "headroom": -303.26316797355264}</t>
  </si>
  <si>
    <t>{"dividend_factor": 0.0}</t>
  </si>
  <si>
    <t>{"period": 2, "year": 2, "constraint": "cash", "headroom": -314.62283312093234}</t>
  </si>
  <si>
    <t>{"period": 2, "year": 2, "constraint": "cash", "headroom": -217.01150110590913}</t>
  </si>
  <si>
    <t>Double distributions</t>
  </si>
  <si>
    <t>{"period": 1, "year": 1, "constraint": "cash", "headroom": -555.7752989760029}</t>
  </si>
  <si>
    <t>{"dividend_factor": 2.0}</t>
  </si>
  <si>
    <t>{"period": 1, "year": 1, "constraint": "cash", "headroom": -523.9628760599722}</t>
  </si>
  <si>
    <t>{"period": 1, "year": 1, "constraint": "cash", "headroom": -472.57908615722715}</t>
  </si>
  <si>
    <t>High rates/spreads</t>
  </si>
  <si>
    <t>{"period": 1, "year": 1, "constraint": "cash", "headroom": -230.2965514893516}</t>
  </si>
  <si>
    <t>{"benchmark": 0.065, "spread": 0.045}</t>
  </si>
  <si>
    <t>{"period": 1, "year": 1, "constraint": "cash", "headroom": -3.4807008245061297}</t>
  </si>
  <si>
    <t>{"period": 1, "year": 1, "constraint": "cash", "headroom": -112.93255506567834}</t>
  </si>
  <si>
    <t>Low rates</t>
  </si>
  <si>
    <t>{"period": 1, "year": 1, "constraint": "cash", "headroom": -112.41489207296343}</t>
  </si>
  <si>
    <t>{"benchmark": 0.025}</t>
  </si>
  <si>
    <t>{"period": 2, "year": 2, "constraint": "cash", "headroom": -691.2809494891281}</t>
  </si>
  <si>
    <t>{"period": 1, "year": 1, "constraint": "cash", "headroom": -46.30257105663702}</t>
  </si>
  <si>
    <t>Financing fees 3%</t>
  </si>
  <si>
    <t>{"period": 1, "year": 1, "constraint": "cash", "headroom": -153.6815192089598}</t>
  </si>
  <si>
    <t>{"fee": 0.03}</t>
  </si>
  <si>
    <t>{"period": 2, "year": 2, "constraint": "cash", "headroom": -736.0843000243399}</t>
  </si>
  <si>
    <t>{"period": 1, "year": 1, "constraint": "cash", "headroom": -69.62761347452681}</t>
  </si>
  <si>
    <t>Preclose CFO downside</t>
  </si>
  <si>
    <t>{"period": 0, "year": 0, "constraint": "cash", "headroom": -188.99548112817024}</t>
  </si>
  <si>
    <t>{"bridge_cfo_factors": [0.5, 0.0]}</t>
  </si>
  <si>
    <t>Full ABL payoff stress</t>
  </si>
  <si>
    <t>{"period": 1, "year": 1, "constraint": "cash", "headroom": -195.23939078999126}</t>
  </si>
  <si>
    <t>{"extra_abl_payoff": 600.0}</t>
  </si>
  <si>
    <t>{"period": 2, "year": 2, "constraint": "cash", "headroom": -750.0}</t>
  </si>
  <si>
    <t>{"period": 1, "year": 1, "constraint": "cash", "headroom": -112.0431779712153}</t>
  </si>
  <si>
    <t>Disclosed other liabilities reserved</t>
  </si>
  <si>
    <t>{"period": 1, "year": 1, "constraint": "cash", "headroom": -208.16486293284868}</t>
  </si>
  <si>
    <t>{"other_liability_reserve": 1.0}</t>
  </si>
  <si>
    <t>{"period": 1, "year": 1, "constraint": "cash", "headroom": -124.9686501140726}</t>
  </si>
  <si>
    <t>Purchase commitments incremental stress</t>
  </si>
  <si>
    <t>{"period": 1, "year": 1, "constraint": "cash", "headroom": -164.76796221856227}</t>
  </si>
  <si>
    <t>{"purchase_commitment_reserve": 1.0}</t>
  </si>
  <si>
    <t>{"period": 2, "year": 2, "constraint": "cash", "headroom": -747.3819725446908}</t>
  </si>
  <si>
    <t>{"period": 1, "year": 1, "constraint": "cash", "headroom": -81.57174939978711}</t>
  </si>
  <si>
    <t>Lease tail frontloaded</t>
  </si>
  <si>
    <t>{"period": 1, "year": 1, "constraint": "cash", "headroom": -151.44525854509288}</t>
  </si>
  <si>
    <t>{"lease_tail_cash": 41.0, "lease_rate": 0.064}</t>
  </si>
  <si>
    <t>{"period": 2, "year": 2, "constraint": "cash", "headroom": -733.5720530792213}</t>
  </si>
  <si>
    <t>{"period": 1, "year": 1, "constraint": "cash", "headroom": -68.2490457263176}</t>
  </si>
  <si>
    <t>{"refinance": true}</t>
  </si>
  <si>
    <t>Cash floor 500</t>
  </si>
  <si>
    <t>{"period": 1, "year": 1, "constraint": "cash", "headroom": -133.57102344305213}</t>
  </si>
  <si>
    <t>{"cash_floor": 500.0}</t>
  </si>
  <si>
    <t>{"period": 2, "year": 2, "constraint": "cash", "headroom": -658.6907038781329}</t>
  </si>
  <si>
    <t>{"period": 1, "year": 1, "constraint": "cash", "headroom": -50.37481062427668}</t>
  </si>
  <si>
    <t>Cash floor 1000</t>
  </si>
  <si>
    <t>{"period": 1, "year": 1, "constraint": "cash", "headroom": -169.84653364713427}</t>
  </si>
  <si>
    <t>{"cash_floor": 1000.0}</t>
  </si>
  <si>
    <t>{"period": 1, "year": 1, "constraint": "cash", "headroom": -167.36419895059726}</t>
  </si>
  <si>
    <t>{"period": 1, "year": 1, "constraint": "cash", "headroom": -86.65032082835819}</t>
  </si>
  <si>
    <t>Tighter leverage and coverage</t>
  </si>
  <si>
    <t>{"max_leverage": 2.0, "min_coverage": 5.0}</t>
  </si>
  <si>
    <t>Lower reinvestment</t>
  </si>
  <si>
    <t>{"period": 2, "year": 2, "constraint": "cash", "headroom": -328.15443778676814}</t>
  </si>
  <si>
    <t>{"gross_annual_capex": [900.0, 240.0]}</t>
  </si>
  <si>
    <t>{"period": 2, "year": 2, "constraint": "cash", "headroom": -338.0715699273974}</t>
  </si>
  <si>
    <t>{"period": 2, "year": 2, "constraint": "cash", "headroom": -241.9027709191247}</t>
  </si>
  <si>
    <t>High reinvestment</t>
  </si>
  <si>
    <t>{"period": 1, "year": 1, "constraint": "cash", "headroom": -564.2123163442444}</t>
  </si>
  <si>
    <t>{"gross_annual_capex": [1500.0, 400.0]}</t>
  </si>
  <si>
    <t>{"period": 1, "year": 1, "constraint": "cash", "headroom": -476.92210391779656}</t>
  </si>
  <si>
    <t>{"period": 1, "year": 1, "constraint": "cash", "headroom": -481.01610352546874}</t>
  </si>
  <si>
    <t>{"period": 5, "year": 5, "constraint": "cash", "headroom": -750.0}</t>
  </si>
  <si>
    <t>{"gross_annual_capex": [900.0, 240.0], "dividend_factor": 0.0}</t>
  </si>
  <si>
    <t>Lower reinvestment, no dividends, delayed synergies</t>
  </si>
  <si>
    <t>{"gross_annual_capex": [900.0, 240.0], "dividend_factor": 0.0, "synergy": 0.0}</t>
  </si>
  <si>
    <t>{"period": 1, "year": 1, "constraint": "cash", "headroom": -193.62826510509672}</t>
  </si>
  <si>
    <t>{"growth": [-0.05, -0.1]}</t>
  </si>
  <si>
    <t>{"period": 2, "year": 2, "constraint": "cash", "headroom": -980.076666164545}</t>
  </si>
  <si>
    <t>{"period": 1, "year": 1, "constraint": "cash", "headroom": -110.43205228632075}</t>
  </si>
  <si>
    <t>{"period": 1, "year": 1, "constraint": "cash", "headroom": -365.02107712509627}</t>
  </si>
  <si>
    <t>{"variable_cost_share": [0.65, 0.65], "growth": [-0.05, -0.1]}</t>
  </si>
  <si>
    <t>{"period": 1, "year": 1, "constraint": "cash", "headroom": -130.67649753060027}</t>
  </si>
  <si>
    <t>{"period": 1, "year": 1, "constraint": "cash", "headroom": -281.82486430632065}</t>
  </si>
  <si>
    <t>{"period": 1, "year": 1, "constraint": "cash", "headroom": -22.235453085096196}</t>
  </si>
  <si>
    <t>{"variable_cost_share": [0.95, 0.95], "growth": [-0.05, -0.1]}</t>
  </si>
  <si>
    <t>{"period": 2, "year": 2, "constraint": "cash", "headroom": -700.4881927840116}</t>
  </si>
  <si>
    <t>{"period": 2, "year": 2, "constraint": "cash", "headroom": -608.1431001688509}</t>
  </si>
  <si>
    <t>{"gross_annual_capex": [900.0, 240.0], "dividend_factor": 0.0, "growth": [[0.01, 0.01, 0.01, 0.01, 0.01], [-0.060000000000000005, -0.01, 0.01, 0.01, 0.01]]}</t>
  </si>
  <si>
    <t>{"period": 2, "year": 2, "constraint": "cash", "headroom": -14.072027287589322}</t>
  </si>
  <si>
    <t>{"gross_annual_capex": [900.0, 240.0], "dividend_factor": 0.0, "growth": [[0.0, 0.0, 0.0, 0.0, 0.0], [-0.07, -0.02, 0.0, 0.0, 0.0]]}</t>
  </si>
  <si>
    <t>{"period": 2, "year": 2, "constraint": "cash", "headroom": -29.255398828081297}</t>
  </si>
  <si>
    <t>{"period": 4, "year": 4, "constraint": "cash", "headroom": -23.301394617829487}</t>
  </si>
  <si>
    <t>{"fee_convention": "fixed_budget"}</t>
  </si>
  <si>
    <t>High closing working capital</t>
  </si>
  <si>
    <t>{"period": 0, "year": 0, "constraint": "cash", "headroom": -110.89145612817049}</t>
  </si>
  <si>
    <t>{"closing_inventory_multiplier": [1.28, 1.25], "closing_payables_multiplier": [1.05, 1.05]}</t>
  </si>
  <si>
    <t>Low closing working capital</t>
  </si>
  <si>
    <t>{"period": 1, "year": 1, "constraint": "cash", "headroom": -750.0}</t>
  </si>
  <si>
    <t>{"closing_inventory_multiplier": [1.08, 1.05], "closing_payables_multiplier": [1.25, 1.25]}</t>
  </si>
  <si>
    <t>{"period": 1, "year": 1, "constraint": "cash", "headroom": -228.85352395059658}</t>
  </si>
  <si>
    <t>{"period": 1, "year": 1, "constraint": "cash", "headroom": -717.1926381523372}</t>
  </si>
  <si>
    <t>PUBLIC INFORMATION | Public gap assessment</t>
  </si>
  <si>
    <t>Required input</t>
  </si>
  <si>
    <t>Classification</t>
  </si>
  <si>
    <t>Effect / applicability</t>
  </si>
  <si>
    <t>Strict materiality</t>
  </si>
  <si>
    <t>transaction.share_and_award_treatment</t>
  </si>
  <si>
    <t>Private or unavailable information that may be bounded</t>
  </si>
  <si>
    <t>Known options have cash payoff between zero and 24 per option; director RSUs between zero and all disclosed RSUs; DSUs use disclosed count. Separate converted employee awards from common consideration. Unknown consent/withholding costs are not claimed bounded.</t>
  </si>
  <si>
    <t>Material transaction or unregistered model dependency: unsupported consideration or scope can change financing needs.</t>
  </si>
  <si>
    <t>acquirer.opening.unrestricted_cash</t>
  </si>
  <si>
    <t>Use verified accounting cash, project closing movements, then test 0-100% cash access. Do not assert the accessible fraction is a historical fact or legal availability.</t>
  </si>
  <si>
    <t>Opening liquidity and debt determine spendable cash, financing need and net leverage; a wrong balance can falsely imply funding.</t>
  </si>
  <si>
    <t>acquirer.opening.cash_restrictions</t>
  </si>
  <si>
    <t>acquirer.opening.debt_principal</t>
  </si>
  <si>
    <t>Essential historical facts or contractual provisions</t>
  </si>
  <si>
    <t>Model publicly disclosed note principal and FL aggregate finance-lease liability, not unsupported private instrument identities. Test the disclosed DKS other-liability envelope as a conservative extra cash reserve. Completeness of unreported debt is not asserted.</t>
  </si>
  <si>
    <t>acquirer.FY2024.lease_reconciliation</t>
  </si>
  <si>
    <t>Use fixed-note contracts and aggregate disclosed lease cash maturities. Project lease principal using an explicit aggregate interest allocation; vary rate and tail timing. Instrument-level lease schedule and undisclosed early-termination/consent costs remain blocked.</t>
  </si>
  <si>
    <t>Latest standalone operating base drives forecast EBITDA, cash taxes, working capital and cash available for debt service.</t>
  </si>
  <si>
    <t>acquirer.FY2024.dividends_buybacks_commitments</t>
  </si>
  <si>
    <t>Known declarations and accrued payments remain essential facts. Project future distributions at declared per-share rate; test zero/doubled future distributions. DKS disclosed 180 purchase commitments support a full-amount incremental stress, not a bound on all undisclosed FL obligations. Complete exceptional commitments remain unbounded.</t>
  </si>
  <si>
    <t>Contractual capital commitments can compete with debt service; discretionary future distributions are separate explicit assumptions.</t>
  </si>
  <si>
    <t>acquirer.debt.instrument_inventory</t>
  </si>
  <si>
    <t>Instrument rights determine mandatory repayments, coupon resets and legally available borrowing; numerical solvency cannot replace contract evidence.</t>
  </si>
  <si>
    <t>acquirer.debt.maturity_and_amortisation_schedule</t>
  </si>
  <si>
    <t>acquirer.debt.coupons_and_resets</t>
  </si>
  <si>
    <t>acquirer.debt.change_of_control</t>
  </si>
  <si>
    <t>Apply public merger ABL termination and elective note redemption provisions; do not require a future ratings event to be historical. Private lease consent obligations are not bounded, so no comprehensive actual-company preference.</t>
  </si>
  <si>
    <t>acquirer.debt.refinancing_and_repricing</t>
  </si>
  <si>
    <t>Future modelling assumptions</t>
  </si>
  <si>
    <t>Retain DKS notes without optional redemption; redeem FL notes under the published call grid. New rates/refinancing are explicit future scenarios, never committed liquidity. DKS make-whole quotes apply only if those notes are called.</t>
  </si>
  <si>
    <t>acquirer.debt.covenants_and_restricted_payments</t>
  </si>
  <si>
    <t>Specific financing route or compliance claim</t>
  </si>
  <si>
    <t>No post-close facility draws. ABL termination/LC treatment is a closing use. Borrowing-base/compliance certificates do not gate no-facility analytical capacity; actual compliance and availability remain blocked.</t>
  </si>
  <si>
    <t>target.opening.unrestricted_cash</t>
  </si>
  <si>
    <t>target.opening.cash_restrictions</t>
  </si>
  <si>
    <t>target.FY2024.lease_reconciliation</t>
  </si>
  <si>
    <t>target.FY2024.dividends_buybacks_commitments</t>
  </si>
  <si>
    <t>target.debt.instrument_inventory</t>
  </si>
  <si>
    <t>target.debt.maturity_and_amortisation_schedule</t>
  </si>
  <si>
    <t>target.debt.coupons_and_resets</t>
  </si>
  <si>
    <t>target.debt.change_of_control</t>
  </si>
  <si>
    <t>target.debt.refinancing_and_repricing</t>
  </si>
  <si>
    <t>target.debt.borrowing_base_and_letters_of_credit</t>
  </si>
  <si>
    <t>target.debt.covenants_and_restricted_payments</t>
  </si>
  <si>
    <t>Evidence review | Public conventions</t>
  </si>
  <si>
    <t>USD millions unless stated. Python snapshots; formula calculations are explicitly shown.</t>
  </si>
  <si>
    <t>Convention / limitation</t>
  </si>
  <si>
    <t>The base case has no structure passing all analytical screens. A blank capacity means no tested acquisition borrowing, including zero, passes the fixed operating and distribution policy; it does not establish zero standalone lending capacity.</t>
  </si>
  <si>
    <t>Under the stated public-information assumptions and analytical thresholds, the model indicates trade-offs between cash preservation, debt service and stock dilution within the specified scope. The tests are a finite scenario set, not proof over all continuous ranges; no universal preference follows.</t>
  </si>
  <si>
    <t>Passing scenario conditions: Lower reinvestment and dividends suspended — Mixed consideration; Lower reinvestment, no dividends, delayed synergies — Mixed consideration; Linked lower investment - mild — Mixed consideration.</t>
  </si>
  <si>
    <t>Public-case amounts are USD millions. Projected close: 1 November 2025; annual years 1–5 follow closing. No target opening cash or terminated ABL is counted as available liquidity. Negative cash is an unfunded deficit, not permitted borrowing.</t>
  </si>
  <si>
    <t>Capacity uses a $25m grid with $5m boundary refinement; narrow feasible regions can be missed. Reverse revenue stress uses one percentage-point steps. Analytical cash/leverage/coverage thresholds are not contractual covenants.</t>
  </si>
  <si>
    <t>Known-award cash bounds exclude unknown taxes and consent costs. Common-share dilution excludes converted awards. Enterprise value remains unavailable. The $200 reference share value is an illustrative future valuation assumption, not a verified market price.</t>
  </si>
  <si>
    <t>Forecast limitations: prior-year seasonal cash-flow calibration is imperfect; no actual interim cash rollforward, daily liquidity or legal cash availability is asserted. Base cash access is an assumption. See source-register.json for source references.</t>
  </si>
  <si>
    <t>Unbounded: Undisclosed lease consent/change-of-control payments: public aggregate maturities do not cap these charges.</t>
  </si>
  <si>
    <t>Unbounded: Award tax/withholding, exceptional commitments and future changes in capitalization are not completely bounded by announcement-date aggregate counts.</t>
  </si>
  <si>
    <t>transaction_fees: Transaction expenses only. Award, redemption, collateral and other uses are separate itemised_uses fields.</t>
  </si>
  <si>
    <t>ownership_dilution: Common-share issuance only, excluding converted awards; not complete diluted ownership.</t>
  </si>
  <si>
    <t>feasible: Passes analytical cash/leverage/coverage/maturity screens only, not legal compliance.</t>
  </si>
  <si>
    <t>cash: Model-accessible cash after an explicit assumption, not verified legal availability.</t>
  </si>
  <si>
    <t>capacity_none: No borrowing point, including zero acquisition debt, passes all model constraints under the fixed operating/funding assumptions; not a claim of zero standalone lending capacity.</t>
  </si>
  <si>
    <t>Historical financing scenarios unavailable: insufficient verified evidence</t>
  </si>
  <si>
    <t>Evidence review | Evidence</t>
  </si>
  <si>
    <t>Input</t>
  </si>
  <si>
    <t>Blocks recommendation</t>
  </si>
  <si>
    <t>Reason</t>
  </si>
  <si>
    <t>Affected calculations</t>
  </si>
  <si>
    <t>Materiality</t>
  </si>
  <si>
    <t>acquirer.FY2022.capex</t>
  </si>
  <si>
    <t>verified fact</t>
  </si>
  <si>
    <t>Exact observation supported by reviewed source: dks10k</t>
  </si>
  <si>
    <t>Operating forecast, EBITDA, working capital and debt-service cash flow</t>
  </si>
  <si>
    <t>Prior-year trend/reconciliation context. Blocks only when historical trend calibration is used; explicit forecast growth does not consume it.</t>
  </si>
  <si>
    <t>Review original pre-cutoff fiscal accounts; record exact fiscal dates, units and reconciliation.</t>
  </si>
  <si>
    <t>acquirer.FY2022.depreciation_amortisation</t>
  </si>
  <si>
    <t>acquirer.FY2022.dividends_buybacks_commitments</t>
  </si>
  <si>
    <t>missing evidence</t>
  </si>
  <si>
    <t>Required observation absent</t>
  </si>
  <si>
    <t>acquirer.FY2022.ebitda_reconciliation</t>
  </si>
  <si>
    <t>acquirer.FY2022.inventory</t>
  </si>
  <si>
    <t>acquirer.FY2022.lease_reconciliation</t>
  </si>
  <si>
    <t>acquirer.FY2022.operating_cash_flow</t>
  </si>
  <si>
    <t>acquirer.FY2022.operating_profit</t>
  </si>
  <si>
    <t>acquirer.FY2022.payables</t>
  </si>
  <si>
    <t>acquirer.FY2022.receivables</t>
  </si>
  <si>
    <t>acquirer.FY2022.revenue</t>
  </si>
  <si>
    <t>acquirer.FY2022.taxes</t>
  </si>
  <si>
    <t>acquirer.FY2023.capex</t>
  </si>
  <si>
    <t>acquirer.FY2023.depreciation_amortisation</t>
  </si>
  <si>
    <t>acquirer.FY2023.dividends_buybacks_commitments</t>
  </si>
  <si>
    <t>acquirer.FY2023.ebitda_reconciliation</t>
  </si>
  <si>
    <t>acquirer.FY2023.inventory</t>
  </si>
  <si>
    <t>acquirer.FY2023.lease_reconciliation</t>
  </si>
  <si>
    <t>acquirer.FY2023.operating_cash_flow</t>
  </si>
  <si>
    <t>acquirer.FY2023.operating_profit</t>
  </si>
  <si>
    <t>acquirer.FY2023.payables</t>
  </si>
  <si>
    <t>acquirer.FY2023.receivables</t>
  </si>
  <si>
    <t>acquirer.FY2023.revenue</t>
  </si>
  <si>
    <t>acquirer.FY2023.taxes</t>
  </si>
  <si>
    <t>acquirer.FY2024.capex</t>
  </si>
  <si>
    <t>acquirer.FY2024.depreciation_amortisation</t>
  </si>
  <si>
    <t>acquirer.FY2024.ebitda_reconciliation</t>
  </si>
  <si>
    <t>Derived from verified inputs: acquirer.FY2024.operating_profit + acquirer.FY2024.depreciation_amortisation. Simple operating EBITDA; not adjusted EBITDA or contractual EBITDAR.</t>
  </si>
  <si>
    <t>acquirer.FY2024.inventory</t>
  </si>
  <si>
    <t>acquirer.FY2024.operating_cash_flow</t>
  </si>
  <si>
    <t>acquirer.FY2024.operating_profit</t>
  </si>
  <si>
    <t>acquirer.FY2024.payables</t>
  </si>
  <si>
    <t>acquirer.FY2024.receivables</t>
  </si>
  <si>
    <t>acquirer.FY2024.revenue</t>
  </si>
  <si>
    <t>acquirer.FY2024.taxes</t>
  </si>
  <si>
    <t>acquirer.debt.borrowing_base_and_letters_of_credit</t>
  </si>
  <si>
    <t>{"borrowing_base": 1600.0, "letters_of_credit": 19.9, "basis": "Unsecured commitment ceiling, subject to covenants; not an inventory borrowing base"}</t>
  </si>
  <si>
    <t>Exact observation supported by reviewed source: review_dks</t>
  </si>
  <si>
    <t>Revolver draw limits</t>
  </si>
  <si>
    <t>Review debt notes and executed agreements for every instrument; reconcile totals, cite sections and document any non-applicability.</t>
  </si>
  <si>
    <t>Required repayment and retained debt</t>
  </si>
  <si>
    <t>Cash interest and rate stress</t>
  </si>
  <si>
    <t>Borrowing eligibility and capital allocation</t>
  </si>
  <si>
    <t>Completeness of instrument debt schedule</t>
  </si>
  <si>
    <t>Mandatory repayments and maturity gaps</t>
  </si>
  <si>
    <t>Refinancing dependence and debt service</t>
  </si>
  <si>
    <t>acquirer.debt.revolver_commitments</t>
  </si>
  <si>
    <t>{"commitment": 1600.0, "drawn": 0.0, "maturity_date": "2027-01-14", "uncommitted_incremental_excluded": 500.0}</t>
  </si>
  <si>
    <t>Eligible committed liquidity</t>
  </si>
  <si>
    <t>Opening liquidity, retained debt, cash deployment and leverage</t>
  </si>
  <si>
    <t>Reconcile latest pre-cutoff balance sheet and notes, with balance date and units.</t>
  </si>
  <si>
    <t>acquirer.opening.debt_carrying_value</t>
  </si>
  <si>
    <t>Accounting reconciliation only; cash debt service uses verified principal, not carrying value. Missing reconciliation remains disclosed.</t>
  </si>
  <si>
    <t>assumption.analytical_thresholds</t>
  </si>
  <si>
    <t>{"cash_floor": 750.0, "max_leverage": 3.0, "min_coverage": 4.0, "tax_rate": 0.25, "interest_deduction_limit": 1.0}</t>
  </si>
  <si>
    <t>explicit modelling assumption</t>
  </si>
  <si>
    <t>Analyst screening limits, not lender covenants or verified tax deductibility; test cash floors 500/750/1000 and leverage 2/3/4.</t>
  </si>
  <si>
    <t>Forecast, liquidity and scenario comparisons</t>
  </si>
  <si>
    <t>Future choice controls forecast or funding mechanics; explicit rationale is required, but it is not a historical fact.</t>
  </si>
  <si>
    <t>Record explicit future scenario choice and rationale separately from historical facts.</t>
  </si>
  <si>
    <t>assumption.capital_allocation</t>
  </si>
  <si>
    <t>{"dividends": [0.0, 0.0, 0.0, 0.0, 0.0], "buybacks": [0.0, 0.0, 0.0, 0.0, 0.0], "sweep_fraction": 0.0}</t>
  </si>
  <si>
    <t>Prospective suspension of discretionary distributions and optional repayments. Existing declared obligations remain separate missing facts, not zeroed.</t>
  </si>
  <si>
    <t>assumption.closing_bridge</t>
  </si>
  <si>
    <t>{"closing_date": "2025-11-01", "companies": [{"operating": 788.7715500000004, "capex": 845.6421598250608, "dividends": 291.1673650125, "buybacks": 5.0, "projected_lease_principal": 0.0}, {"operating": -70.04999999999973, "capex": 231.25, "dividends": 0.0, "buybacks": 0.0, "projected_lease_principal": 3.6}]}</t>
  </si>
  <si>
    <t>Projected 39-week bridge removes separately disclosed prior-year trade-WC movements before applying explicit closing-WC forecasts once; capex uses verified FY2024 seasonal calibration; not actual FY2025 interim balances. Lease principal must also map to the debt inventory. Public case applies separate cash-access assumptions. Supersedes frozen-balance diagnostic.</t>
  </si>
  <si>
    <t>assumption.financing_terms_and_fees</t>
  </si>
  <si>
    <t>{"transaction": {"transaction_fees": 75.0, "financing_fee_rate": 0.02, "ev_other": 0.0, "allow_target_cash": false, "target_cash_rationale": "Conservative future scenario choice; no upstream availability assumed", "acquirer_reference_price": 200.0}, "new_debt": {"kind": "floating", "benchmark": [0.045, 0.045, 0.045, 0.045, 0.045], "spread": 0.025, "fixed_benchmark": 0.045, "maturity": 5.0, "amortisation": 0.02}, "policy": {"refinance": false, "refinance_limit": 0.0, "refinance_tenor": 5.0, "refinance_fee": 0.02}}</t>
  </si>
  <si>
    <t>Hypothetical future quote: 4.5% benchmark plus 250bp, 2% upfront, 75 transaction costs, stock reference 200. No claim these are committed financing or observed prices. Test rates +/-200bp, spreads +100/+200bp, fees 1/2/3%; historical redemption costs remain separate.</t>
  </si>
  <si>
    <t>assumption.operating_forecast</t>
  </si>
  <si>
    <t>{"companies": [{"gross_margin": 0.35, "variable_opex": 0.1, "capex_ratio": 0.06, "growth": [0.0, 0.0, 0.0, 0.0, 0.0], "fixed_growth": 0.02, "seasonality": [0.25, 0.25, 0.25, 0.25], "inventory_seasonality": [1.0, 1.0, 1.0, 1.0]}, {"gross_margin": 0.3, "variable_opex": 0.1, "capex_ratio": 0.04, "growth": [-0.05, 0.0, 0.02, 0.02, 0.02], "fixed_growth": 0.02, "seasonality": [0.25, 0.25, 0.25, 0.25], "inventory_seasonality": [1.0, 1.0, 1.0, 1.0]}], "quarterly": {"enabled": false, "label": "No assumed quarterly historical liquidity"}}</t>
  </si>
  <si>
    <t>Explicit future cost decomposition and growth paths, not reported margins. Calibrate fixed expenses to verified operating EBITDA. Stress revenue and EBITDA margin; preliminary target Q1 deterioration makes flat extrapolation unreliable.</t>
  </si>
  <si>
    <t>assumption.synergy_delivery_and_costs</t>
  </si>
  <si>
    <t>{"run_rate": 100.0, "ramp": [0.0, 0.5, 1.0, 1.0, 1.0], "integration": [100.0, 50.0, 25.0, 0.0, 0.0]}</t>
  </si>
  <si>
    <t>Future delivery/cost choices, not management cost guidance. Test run rates 0/100/125, one-year delay and doubled integration costs.</t>
  </si>
  <si>
    <t>detail.acquirer.cash</t>
  </si>
  <si>
    <t>Bounded historical calculation; not complete financing capacity</t>
  </si>
  <si>
    <t>Supplementary disclosure; each bounded calculation independently requires verified dependencies. Original financing requirements remain active.</t>
  </si>
  <si>
    <t>Review exact pre-cutoff document, units and period.</t>
  </si>
  <si>
    <t>detail.acquirer.cost_classification</t>
  </si>
  <si>
    <t>{"revenue": 13442.849, "cost_of_sales": 8617.153, "sga": 3294.272, "other_operating": 57.492, "operating_profit": 1473.932}</t>
  </si>
  <si>
    <t>Exact observation supported by reviewed source: cost_dks</t>
  </si>
  <si>
    <t>detail.acquirer.covenant</t>
  </si>
  <si>
    <t>{"maximum_lease_adjusted_leverage": 3.75, "acquisition_elected_limit": 4.25, "election_full_quarters": 4, "definition": "Borrowed debt plus operating lease liabilities / contractual EBITDAR; variable rental costs excluded from rental addback"}</t>
  </si>
  <si>
    <t>Exact observation supported by reviewed source: dks_credit</t>
  </si>
  <si>
    <t>detail.acquirer.distributions</t>
  </si>
  <si>
    <t>{"dividends": 361.727, "cash_buybacks": 263.021, "accrued_buybacks": 5.0}</t>
  </si>
  <si>
    <t>Exact observation supported by reviewed source: public_dks</t>
  </si>
  <si>
    <t>detail.acquirer.leases</t>
  </si>
  <si>
    <t>{"operating_cost": 636.744, "short_term": 26.186, "variable": 131.832, "sublease_income": 11.842, "fixed_cash": 708.988, "liability": 3003.543, "uncommenced_commitments": 352.1}</t>
  </si>
  <si>
    <t>detail.acquirer.notes</t>
  </si>
  <si>
    <t>{"principal_each": 750.0, "coupons": [0.0315, 0.041], "maturities": ["2032-01-15", "2052-01-15"], "day_count": "30/360", "payment_months": [1, 7], "makewhole_spreads_bps": [25, 30]}</t>
  </si>
  <si>
    <t>Exact observation supported by reviewed source: dks_indent</t>
  </si>
  <si>
    <t>detail.acquirer.notes_outstanding</t>
  </si>
  <si>
    <t>[750.0, 750.0]</t>
  </si>
  <si>
    <t>detail.acquirer.other_liabilities</t>
  </si>
  <si>
    <t>{"accrued_expenses": 653.324, "current_other": 82.696, "long_term_other": 42.137}</t>
  </si>
  <si>
    <t>detail.acquirer.planning_disclosures</t>
  </si>
  <si>
    <t>{"fy2025_net_capex_guidance": 1000.0, "declared_quarterly_dividend_per_share": 1.2125, "declaration_date": "2025-03-10", "payment_date": "2025-04-11"}</t>
  </si>
  <si>
    <t>detail.acquirer.preliminary_q1</t>
  </si>
  <si>
    <t>{"comparable_sales_growth": 0.045, "expected_eps": 3.24, "expected_non_gaap_eps": 3.37}</t>
  </si>
  <si>
    <t>Exact observation supported by reviewed source: dks_prelim</t>
  </si>
  <si>
    <t>detail.acquirer.purchase_commitments</t>
  </si>
  <si>
    <t>detail.acquirer.ytd_cash_flow</t>
  </si>
  <si>
    <t>{"cfo": 680.307, "capex": 565.569}</t>
  </si>
  <si>
    <t>Exact observation supported by reviewed source: dks_q3</t>
  </si>
  <si>
    <t>detail.acquirer.ytd_wc_cash</t>
  </si>
  <si>
    <t>{"inventory": -877.115, "receivables": -25.055, "payables": 404.685}</t>
  </si>
  <si>
    <t>Exact observation supported by reviewed source: wc_dks</t>
  </si>
  <si>
    <t>detail.target.abl</t>
  </si>
  <si>
    <t>{"loan_cap": "Minimum of commitment and borrowing base", "springing_fccr": 1.0, "coc_voting_threshold": 0.4, "restriction": "Covenant Compliance Period trigger; restricted payments and collateral eligibility require full contract compliance"}</t>
  </si>
  <si>
    <t>Exact observation supported by reviewed source: fl_credit</t>
  </si>
  <si>
    <t>detail.target.cash</t>
  </si>
  <si>
    <t>Exact observation supported by reviewed source: review_fl</t>
  </si>
  <si>
    <t>detail.target.cost_classification</t>
  </si>
  <si>
    <t>{"revenue": 7988.0, "cost_of_sales": 5666.0, "sga": 1920.0, "separate_da": 202.0, "other_operating": 97.0, "operating_profit": 103.0, "merchandise_cost": 4674.0, "occupancy_buyers": 992.0}</t>
  </si>
  <si>
    <t>Exact observation supported by reviewed source: cost_fl</t>
  </si>
  <si>
    <t>detail.target.finance_lease</t>
  </si>
  <si>
    <t>detail.target.finance_maturities</t>
  </si>
  <si>
    <t>{"annual_cash": [7.0, 6.0, 5.0, 4.0, 4.0], "thereafter_cash": 40.0, "total_cash": 66.0, "unearned_interest": 16.0, "liability": 50.0, "weighted_discount_rate": 0.044}</t>
  </si>
  <si>
    <t>Exact observation supported by reviewed source: public_fl</t>
  </si>
  <si>
    <t>detail.target.leases</t>
  </si>
  <si>
    <t>{"operating_cost": 643.0, "variable": 272.0, "short_term": 16.0, "fixed_cash": 723.0, "liability_ex_hfs": 2338.0, "hfs_liability": 5.0, "finance_cash": 8.0, "finance_interest": 2.0, "finance_opening": 52.0, "finance_additions": 4.0, "uncommenced_commitments": 41.0}</t>
  </si>
  <si>
    <t>detail.target.letters_of_credit</t>
  </si>
  <si>
    <t>detail.target.notes_principal</t>
  </si>
  <si>
    <t>detail.target.notes_terms</t>
  </si>
  <si>
    <t>{"coupon": 0.04, "maturity": "2029-10-01", "redemption_oct2024": 1.02, "redemption_oct2025": 1.01, "redemption_oct2026": 1.0, "coc_offer": 1.01, "trigger": "Change of control AND ratings event; not signing alone"}</t>
  </si>
  <si>
    <t>Exact observation supported by reviewed source: fl_indent</t>
  </si>
  <si>
    <t>detail.target.preliminary_q1</t>
  </si>
  <si>
    <t>{"comparable_sales_change": -0.026, "expected_net_loss": 363.0, "expected_non_gaap_net_loss": 6.0, "impairments": 276.0}</t>
  </si>
  <si>
    <t>Exact observation supported by reviewed source: fl_prelim</t>
  </si>
  <si>
    <t>detail.target.restricted_cash</t>
  </si>
  <si>
    <t>{"current": 4.0, "noncurrent": 25.0, "cash_flow_total": 430.0}</t>
  </si>
  <si>
    <t>detail.target.ytd_cash_flow</t>
  </si>
  <si>
    <t>{"cfo": 98.0, "capex": 185.0}</t>
  </si>
  <si>
    <t>Exact observation supported by reviewed source: fl_q3</t>
  </si>
  <si>
    <t>detail.target.ytd_wc_cash</t>
  </si>
  <si>
    <t>{"inventory": -243.0, "payables": 137.0}</t>
  </si>
  <si>
    <t>Exact observation supported by reviewed source: wc_fl</t>
  </si>
  <si>
    <t>detail.transaction.capitalization</t>
  </si>
  <si>
    <t>{"target_common": 95560582, "target_treasury_excluded": 312977, "options": 1731169, "weighted_option_strike": 48.12, "rsus": 2635903, "psus_target": 1443467, "psus_max": 2749910, "dsus": 177680.622, "acquirer_common": 56475378, "acquirer_class_b": 23570633}</t>
  </si>
  <si>
    <t>Exact observation supported by reviewed source: merger</t>
  </si>
  <si>
    <t>detail.transaction.debt_treatment</t>
  </si>
  <si>
    <t>{"target_abl": "Terminate commitments, repay obligations and release liens at effective time; parent funds required", "notes": "Offers, consent solicitations, redemption or assumption routes; future outcome not established", "award_rule": "ITM options and DSUs cash; employee RSUs/PSUs adjusted parent awards; director RSUs cash"}</t>
  </si>
  <si>
    <t>target.FY2022.capex</t>
  </si>
  <si>
    <t>Exact observation supported by reviewed source: fl10k</t>
  </si>
  <si>
    <t>target.FY2022.depreciation_amortisation</t>
  </si>
  <si>
    <t>target.FY2022.dividends_buybacks_commitments</t>
  </si>
  <si>
    <t>target.FY2022.ebitda_reconciliation</t>
  </si>
  <si>
    <t>target.FY2022.inventory</t>
  </si>
  <si>
    <t>target.FY2022.lease_reconciliation</t>
  </si>
  <si>
    <t>target.FY2022.operating_cash_flow</t>
  </si>
  <si>
    <t>target.FY2022.operating_profit</t>
  </si>
  <si>
    <t>target.FY2022.payables</t>
  </si>
  <si>
    <t>target.FY2022.receivables</t>
  </si>
  <si>
    <t>target.FY2022.revenue</t>
  </si>
  <si>
    <t>target.FY2022.taxes</t>
  </si>
  <si>
    <t>target.FY2023.capex</t>
  </si>
  <si>
    <t>target.FY2023.depreciation_amortisation</t>
  </si>
  <si>
    <t>target.FY2023.dividends_buybacks_commitments</t>
  </si>
  <si>
    <t>target.FY2023.ebitda_reconciliation</t>
  </si>
  <si>
    <t>target.FY2023.inventory</t>
  </si>
  <si>
    <t>target.FY2023.lease_reconciliation</t>
  </si>
  <si>
    <t>target.FY2023.operating_cash_flow</t>
  </si>
  <si>
    <t>target.FY2023.operating_profit</t>
  </si>
  <si>
    <t>target.FY2023.payables</t>
  </si>
  <si>
    <t>target.FY2023.receivables</t>
  </si>
  <si>
    <t>target.FY2023.revenue</t>
  </si>
  <si>
    <t>target.FY2023.taxes</t>
  </si>
  <si>
    <t>target.FY2024.capex</t>
  </si>
  <si>
    <t>target.FY2024.depreciation_amortisation</t>
  </si>
  <si>
    <t>target.FY2024.ebitda_reconciliation</t>
  </si>
  <si>
    <t>Derived from verified inputs: target.FY2024.operating_profit + target.FY2024.depreciation_amortisation. Simple operating EBITDA; not adjusted EBITDA or contractual EBITDAR.</t>
  </si>
  <si>
    <t>target.FY2024.inventory</t>
  </si>
  <si>
    <t>target.FY2024.operating_cash_flow</t>
  </si>
  <si>
    <t>target.FY2024.operating_profit</t>
  </si>
  <si>
    <t>target.FY2024.payables</t>
  </si>
  <si>
    <t>target.FY2024.receivables</t>
  </si>
  <si>
    <t>target.FY2024.revenue</t>
  </si>
  <si>
    <t>target.FY2024.taxes</t>
  </si>
  <si>
    <t>target.debt.revolver_commitments</t>
  </si>
  <si>
    <t>{"commitment": 600.0, "drawn": 0.0, "maturity_date": "2029-06-20", "uncommitted_total_ceiling_excluded": 750.0}</t>
  </si>
  <si>
    <t>target.opening.debt_carrying_value</t>
  </si>
  <si>
    <t>target.opening.debt_principal</t>
  </si>
  <si>
    <t>Derived from verified inputs: detail.target.notes_principal + detail.target.finance_lease. Includes finance-lease liability; excludes operating leases.</t>
  </si>
  <si>
    <t>transaction.cash_price</t>
  </si>
  <si>
    <t>Exact observation supported by reviewed source: announcement</t>
  </si>
  <si>
    <t>Consideration bridge, cash uses, stock issuance and synergy scenarios</t>
  </si>
  <si>
    <t>Review pre-cutoff announcement/merger agreement; record exact term and section.</t>
  </si>
  <si>
    <t>transaction.election_restrictions</t>
  </si>
  <si>
    <t>No minimum or maximum cash/stock election amount</t>
  </si>
  <si>
    <t>transaction.enterprise_value</t>
  </si>
  <si>
    <t>Headline comparison only. Consideration is calculated from verified price, shares and award treatment; discrepancies remain disclosed.</t>
  </si>
  <si>
    <t>transaction.equity_value</t>
  </si>
  <si>
    <t>transaction.exchange_ratio</t>
  </si>
  <si>
    <t>transaction.synergy_guidance</t>
  </si>
  <si>
    <t>[100.0, 125.0]</t>
  </si>
  <si>
    <t>Evidence review | Sources</t>
  </si>
  <si>
    <t>Source ID</t>
  </si>
  <si>
    <t>Document</t>
  </si>
  <si>
    <t>Published</t>
  </si>
  <si>
    <t>Retrieved</t>
  </si>
  <si>
    <t>URL</t>
  </si>
  <si>
    <t>Archive type</t>
  </si>
  <si>
    <t>Section</t>
  </si>
  <si>
    <t>announcement</t>
  </si>
  <si>
    <t>0001193125-25-120243 Exhibit 99.2</t>
  </si>
  <si>
    <t>2026-09-14</t>
  </si>
  <si>
    <t>https://www.sec.gov/Archives/edgar/data/1089063/000119312525120243/d830209dex992.htm</t>
  </si>
  <si>
    <t>reviewed factual extraction, not original document bytes</t>
  </si>
  <si>
    <t>Additional Transaction Details; operating efficiencies</t>
  </si>
  <si>
    <t>dks10k</t>
  </si>
  <si>
    <t>0001089063-25-000012</t>
  </si>
  <si>
    <t>2025-03-27</t>
  </si>
  <si>
    <t>https://www.sec.gov/Archives/edgar/data/1089063/000108906325000012/dks-20250201.htm</t>
  </si>
  <si>
    <t>Statements pp.46,48,50; Note 9</t>
  </si>
  <si>
    <t>fl10k</t>
  </si>
  <si>
    <t>0001437749-25-009620</t>
  </si>
  <si>
    <t>https://www.sec.gov/Archives/edgar/data/850209/000143774925009620/floc20241213_10k.htm</t>
  </si>
  <si>
    <t>Statements pp.36,38,40; Notes 13,14</t>
  </si>
  <si>
    <t>review_dks</t>
  </si>
  <si>
    <t>DKS FY2024 10-K</t>
  </si>
  <si>
    <t>Balance sheet p48, Note 1: cash and equivalents, NOT verified spendable acquisition cash; MD&amp;A p36 Contractual Obligations: approximate non-cancellable purchase commitments; Note 7 pp60-61; fixed liability cash excludes other rent categories; Note 9, p62; Note 9, p62; commitment is not unconditional borrowing availability; Note 9: principal of 2032 and 2052 series at fiscal year-end</t>
  </si>
  <si>
    <t>review_fl</t>
  </si>
  <si>
    <t>FL FY2024 10-K</t>
  </si>
  <si>
    <t>Balance sheet p36; excludes separately classified restricted cash; Note 1 pp43-44; primarily lease escrow and insurance cash trust; Note 13 p57: 4% notes; carrying 396 plus unamortized discount/costs 4; Note 13, p57; availability subject to borrowing base; Note 16 pp58-60; liabilities held for sale separately reported; Note 8, p54: comparative net receivables; Note 8, p54: net receivables; Notes 13 and 16: finance lease liability current 5 plus long-term 45; exclude operating leases</t>
  </si>
  <si>
    <t>merger</t>
  </si>
  <si>
    <t>May 15 merger agreement, Exhibit 2.1; SEC acceptance 17:16:25</t>
  </si>
  <si>
    <t>https://www.sec.gov/Archives/edgar/data/850209/000110465925049592/tm2515123d3_ex2-1.htm</t>
  </si>
  <si>
    <t>Sections 3.4 and 7.16(a)-(b); payoff letter due at least one business day before closing; Sections 4.2 and 5.2, capitalization date May 12; section 3.4 distinguishes award settlement</t>
  </si>
  <si>
    <t>dks_indent</t>
  </si>
  <si>
    <t>DKS first supplemental indenture</t>
  </si>
  <si>
    <t>2022-01-14</t>
  </si>
  <si>
    <t>https://www.sec.gov/Archives/edgar/data/1089063/000119312522009887/d285529dex42.htm</t>
  </si>
  <si>
    <t>Sections 2.2-2.3; principal issuance corroborated by FY2024 Note 9</t>
  </si>
  <si>
    <t>fl_indent</t>
  </si>
  <si>
    <t>FL 2029 notes indenture</t>
  </si>
  <si>
    <t>2021-10-05</t>
  </si>
  <si>
    <t>https://www.sec.gov/Archives/edgar/data/850209/000153949721001514/exh4-1_indenture.htm</t>
  </si>
  <si>
    <t>Definitions, Sections 3.07 and 4.10; note form</t>
  </si>
  <si>
    <t>dks_credit</t>
  </si>
  <si>
    <t>DKS credit agreement</t>
  </si>
  <si>
    <t>https://www.sec.gov/Archives/edgar/data/1089063/000119312522009887/d285529dex101.htm</t>
  </si>
  <si>
    <t>Definitions and Section 6.12; election is conditional, not automatic</t>
  </si>
  <si>
    <t>fl_credit</t>
  </si>
  <si>
    <t>FL amendment 4, executed June 20, 2024</t>
  </si>
  <si>
    <t>2024-06-25</t>
  </si>
  <si>
    <t>https://www.sec.gov/Archives/edgar/data/850209/000143774924021177/ex_691205.htm</t>
  </si>
  <si>
    <t>Definitions; Sections 7.06, financial covenant and 8.01(k); amendment annex</t>
  </si>
  <si>
    <t>dks_q3</t>
  </si>
  <si>
    <t>DKS Q3 2024 10-Q</t>
  </si>
  <si>
    <t>2024-11-27</t>
  </si>
  <si>
    <t>https://www.sec.gov/Archives/edgar/data/1089063/000108906324000121/dks-20241102.htm</t>
  </si>
  <si>
    <t>Consolidated cash flows p7; thousands converted to millions</t>
  </si>
  <si>
    <t>fl_q3</t>
  </si>
  <si>
    <t>FL Q3 2024 10-Q</t>
  </si>
  <si>
    <t>2024-12-11</t>
  </si>
  <si>
    <t>https://www.sec.gov/Archives/edgar/data/850209/000143774924037241/floc20241102_10q.htm</t>
  </si>
  <si>
    <t>Cash flows and liquidity free-cash-flow reconciliation</t>
  </si>
  <si>
    <t>fl_prelim</t>
  </si>
  <si>
    <t>FL preliminary Q1 2025 release</t>
  </si>
  <si>
    <t>https://www.sec.gov/Archives/edgar/data/850209/000110465925048852/tm2515123d1_ex99-1.htm</t>
  </si>
  <si>
    <t>Preliminary First Quarter Results; NOT full financial statements or EBITDA</t>
  </si>
  <si>
    <t>dks_prelim</t>
  </si>
  <si>
    <t>DKS preliminary Q1 2025 release</t>
  </si>
  <si>
    <t>https://www.sec.gov/Archives/edgar/data/1089063/000119312525120243/d830209dex991.htm</t>
  </si>
  <si>
    <t>Preliminary First Quarter Results; full results scheduled May 28, after cutoff</t>
  </si>
  <si>
    <t>cost_dks</t>
  </si>
  <si>
    <t>2026-09-19</t>
  </si>
  <si>
    <t>FY2024 income statement p46; MD&amp;A p32 and Note 1 p55: cost of sales includes occupancy and depreciation; not all variable.</t>
  </si>
  <si>
    <t>cost_fl</t>
  </si>
  <si>
    <t>FY2024 operations p36; MD&amp;A p26; Note 16: store lease costs in cost of sales, non-store in SG&amp;A. No impairment add-back.</t>
  </si>
  <si>
    <t>wc_dks</t>
  </si>
  <si>
    <t>39-week cash flow statement p8: signed CFO contributions; thousands converted to USD millions.</t>
  </si>
  <si>
    <t>wc_fl</t>
  </si>
  <si>
    <t>39-week cash flow statement p5: signed CFO contributions. Receivables are not separately disclosed; retain other cash-flow proxy and hold closing AR constant.</t>
  </si>
  <si>
    <t>public_fl</t>
  </si>
  <si>
    <t>2026-09-15</t>
  </si>
  <si>
    <t>Note 16 pp59-60; FY2025-2029 and thereafter, not calendar years; discount rate is aggregate; Note 13 p57: outstanding letters of credit at February 1, 2025</t>
  </si>
  <si>
    <t>public_dks</t>
  </si>
  <si>
    <t>FY2024 cash flows p50 and supplemental noncash information; Balance sheet p48 and Deferred revenue and other liabilities table; excludes gift cards, loyalty and deferred compensation; MD&amp;A pp34-35 Capital Expenditures and Dividends; net capex is management guidance, dividend is a declaration</t>
  </si>
  <si>
    <t>Evidence review | Historical calculations</t>
  </si>
  <si>
    <t>Calculation</t>
  </si>
  <si>
    <t>Units</t>
  </si>
  <si>
    <t>Formula</t>
  </si>
  <si>
    <t>Dependencies</t>
  </si>
  <si>
    <t>acquirer FY2024 simple operating EBITDA</t>
  </si>
  <si>
    <t>Supported</t>
  </si>
  <si>
    <t>Operating profit + cash-flow D&amp;A</t>
  </si>
  <si>
    <t>["acquirer.FY2024.operating_profit", "acquirer.FY2024.depreciation_amortisation"]</t>
  </si>
  <si>
    <t>Not adjusted EBITDA or covenant EBITDAR; no addbacks.</t>
  </si>
  <si>
    <t>acquirer FY2024 CFO less gross capex</t>
  </si>
  <si>
    <t>CFO - gross cash capital expenditures</t>
  </si>
  <si>
    <t>["acquirer.FY2024.operating_cash_flow", "acquirer.FY2024.capex"]</t>
  </si>
  <si>
    <t>Historical residual, not forecast cash available for debt service; CFO includes interest/taxes and lease payments.</t>
  </si>
  <si>
    <t>acquirer FY2024 selected operating NWC</t>
  </si>
  <si>
    <t>Inventory + receivables - payables</t>
  </si>
  <si>
    <t>["acquirer.FY2024.inventory", "acquirer.FY2024.receivables", "acquirer.FY2024.payables"]</t>
  </si>
  <si>
    <t>Selected working capital only, not total current assets minus liabilities.</t>
  </si>
  <si>
    <t>acquirer Q4 CFO less gross capex</t>
  </si>
  <si>
    <t>(FY CFO - 39wk CFO) - (FY capex - 39wk capex)</t>
  </si>
  <si>
    <t>["acquirer.FY2024.operating_cash_flow", "acquirer.FY2024.capex", "detail.acquirer.ytd_cash_flow"]</t>
  </si>
  <si>
    <t>Derived 13 weeks Nov 3 2024-Feb 1 2025; demonstrates seasonality, not a forecast seed.</t>
  </si>
  <si>
    <t>target FY2024 simple operating EBITDA</t>
  </si>
  <si>
    <t>["target.FY2024.operating_profit", "target.FY2024.depreciation_amortisation"]</t>
  </si>
  <si>
    <t>target FY2024 CFO less gross capex</t>
  </si>
  <si>
    <t>["target.FY2024.operating_cash_flow", "target.FY2024.capex"]</t>
  </si>
  <si>
    <t>target FY2024 selected operating NWC</t>
  </si>
  <si>
    <t>["target.FY2024.inventory", "target.FY2024.receivables", "target.FY2024.payables"]</t>
  </si>
  <si>
    <t>target Q4 CFO less gross capex</t>
  </si>
  <si>
    <t>["target.FY2024.operating_cash_flow", "target.FY2024.capex", "detail.target.ytd_cash_flow"]</t>
  </si>
  <si>
    <t>FL cash reconciliation</t>
  </si>
  <si>
    <t>401 + 4 + 25 - 430 = 0</t>
  </si>
  <si>
    <t>["detail.target.cash", "detail.target.restricted_cash"]</t>
  </si>
  <si>
    <t>Accounting reconciliation; no legal cash-release conclusion.</t>
  </si>
  <si>
    <t>FL financial debt principal</t>
  </si>
  <si>
    <t>Notes principal + finance-lease liability</t>
  </si>
  <si>
    <t>["detail.target.notes_principal", "detail.target.finance_lease"]</t>
  </si>
  <si>
    <t>Operating lease liabilities excluded; not complete instrument-level payment schedule.</t>
  </si>
  <si>
    <t>FL finance-lease rollforward check</t>
  </si>
  <si>
    <t>Opening + additions - (cash paid - interest) - closing</t>
  </si>
  <si>
    <t>["detail.target.leases", "detail.target.finance_lease"]</t>
  </si>
  <si>
    <t>Aggregate liability check; cannot infer each future instrument principal payment.</t>
  </si>
  <si>
    <t>Common shares all-cash consideration</t>
  </si>
  <si>
    <t>May 12 outstanding common shares x $24 / 1e6</t>
  </si>
  <si>
    <t>["detail.transaction.capitalization", "transaction.cash_price"]</t>
  </si>
  <si>
    <t>Common shares only: excludes awards, fees, debt, closing share changes and fractional-share payments.</t>
  </si>
  <si>
    <t>Common shares all-stock issuance</t>
  </si>
  <si>
    <t>million DKS shares</t>
  </si>
  <si>
    <t>May 12 outstanding common shares x 0.1168 / 1e6</t>
  </si>
  <si>
    <t>["detail.transaction.capitalization", "transaction.exchange_ratio"]</t>
  </si>
  <si>
    <t>Election endpoint only, not predicted elections; excludes awards and fractional-share cash.</t>
  </si>
  <si>
    <t>DKS note annual coupon obligation</t>
  </si>
  <si>
    <t>750 x 3.15% + 750 x 4.10%</t>
  </si>
  <si>
    <t>["detail.acquirer.notes", "detail.acquirer.notes_outstanding"]</t>
  </si>
  <si>
    <t>Original fixed notes only; no revolver, lease interest or refinancing.</t>
  </si>
  <si>
    <t>FL note annual coupon obligation</t>
  </si>
  <si>
    <t>400 x 4%</t>
  </si>
  <si>
    <t>["detail.target.notes_principal", "detail.target.notes_terms"]</t>
  </si>
  <si>
    <t>Retained-note contractual coupon only; not total cash interest.</t>
  </si>
  <si>
    <t>Evidence review | Historical gap review</t>
  </si>
  <si>
    <t>Type</t>
  </si>
  <si>
    <t>Current evidence</t>
  </si>
  <si>
    <t>Exact missing information</t>
  </si>
  <si>
    <t>Applicability</t>
  </si>
  <si>
    <t>Primary source</t>
  </si>
  <si>
    <t>Remaining</t>
  </si>
  <si>
    <t>historical fact</t>
  </si>
  <si>
    <t>May 12 common shares 95,560,582; options/RSUs/PSUs/DSUs counts and different settlement rules archived.</t>
  </si>
  <si>
    <t>Individual option strikes, director versus employee RSU split, PSU performance/award agreement settlement and award tax/withholding cash. Weighted-average strike cannot prove all options out of money.</t>
  </si>
  <si>
    <t>Required for all complete funding structures.</t>
  </si>
  <si>
    <t>Merger Sections 3.4/4.2; omitted Company Disclosure Letter 4.2 and equity-administration ledger. April 10 proxy is an earlier, incomplete employee population; later merger proxy excluded.</t>
  </si>
  <si>
    <t>Feb 1 cash and equivalents: DKS 1689.940; FL 401, with separately restricted 29. Accounting balances are verified separately.</t>
  </si>
  <si>
    <t>Entity-level encumbrances, trapped/repatriable cash, minimum operating balances, and legally available cash at the selected closing date.</t>
  </si>
  <si>
    <t>Cash-first consumes availability. A zero contribution removes acquisition use, but group liquidity still cannot count restricted or inaccessible balances. No waiver applied.</t>
  </si>
  <si>
    <t>Treasury cash-by-entity/restriction schedule, credit security documents and counsel review; prospective cash bridge must remain a forecast.</t>
  </si>
  <si>
    <t>DKS notes 750+750; FL notes 400 and finance-lease liability 50. Carrying amounts are separate.</t>
  </si>
  <si>
    <t>DKS complete principal-to-balance-sheet reconciliation including any finance leases; no zero inferred from zero annual finance-lease payment.</t>
  </si>
  <si>
    <t>Debt Note 9 / Note 13 and lease liability ledger; exclude operating leases from financial-debt principal.</t>
  </si>
  <si>
    <t>Resolved</t>
  </si>
  <si>
    <t>Computed from verified FY2024 operating profit plus disclosed cash-flow D&amp;A. No exceptional-item addbacks.</t>
  </si>
  <si>
    <t>None for this narrowly defined input; related financing dependencies remain separate.</t>
  </si>
  <si>
    <t>Code-owned sum with dependency checks. This resolves simple operating EBITDA, not covenant EBITDAR.</t>
  </si>
  <si>
    <t>Rent cost components, fixed lease cash, operating liabilities, uncommenced commitments and FL finance cash are separately archived.</t>
  </si>
  <si>
    <t>Cash timing for variable/short-term rent, subleases and complete instrument finance-lease interest/principal schedules; reconcile held-for-sale treatment.</t>
  </si>
  <si>
    <t>Lease Note 7 (DKS) / 16 (FL), lease payment ledger and explicit future rent assumptions. FL liability includes 5 held for sale outside main table.</t>
  </si>
  <si>
    <t>Cash-flow historical distributions and lease commitments disclosed; future discretionary distributions set to zero only as a scenario assumption. MD&amp;A p36 discloses approximately 180 of non-cancellable purchase commitments, but not their annual cash timing.</t>
  </si>
  <si>
    <t>Reconciliation of declared/unpaid distributions and binding capex, purchase and lease commitments affecting the closing bridge and forecast.</t>
  </si>
  <si>
    <t>Annual cash-flow statement, commitments notes, pre-cutoff dividend declarations, treasury payable and capital-commitment schedules.</t>
  </si>
  <si>
    <t>conditionally applicable requirement</t>
  </si>
  <si>
    <t>Bond series and aggregate lease liabilities disclosed; supplemental disclosures are not a complete executable instrument inventory.</t>
  </si>
  <si>
    <t>Complete lease/other borrowing register with principal, maturity, coupon, repayment and close treatment reconciled to debt notes.</t>
  </si>
  <si>
    <t>Annual debt and lease notes, treasury debt ledger and all material financing leases.</t>
  </si>
  <si>
    <t>DKS bullets Jan 15 2032/2052; FL note Oct 1 2029; annual aggregate lease payments disclosed.</t>
  </si>
  <si>
    <t>Finance-lease principal versus interest allocation and instrument-level remaining payment dates; relative model maturity must use assumed closing date.</t>
  </si>
  <si>
    <t>Original indentures plus lease amortisation ledger. Aggregate future minimum payments are not all principal.</t>
  </si>
  <si>
    <t>Fixed note coupons 3.15%/4.10% DKS and 4% FL; DKS SOFR margin 112.5bp at year-end, FL term-SOFR grid 150-200bp.</t>
  </si>
  <si>
    <t>Instrument lease effective interest schedules, applicable future facility pricing-grid/rating assumptions and resets.</t>
  </si>
  <si>
    <t>Indentures and credit agreements plus lease ledger. Weighted-average lease discount rate is not each instrument coupon.</t>
  </si>
  <si>
    <t>FL ABL termination required at closing. FL note offer 101% requires control AND ratings event. DKS purchase of target does not itself establish DKS control change.</t>
  </si>
  <si>
    <t>Facility and lease consent/default application, notes ratings-event assessment and exact retained versus redeemed treatment.</t>
  </si>
  <si>
    <t>Merger 7.16, indenture definitions/4.10, ABL 8.01 and lease contracts; scenario-specific legal review.</t>
  </si>
  <si>
    <t>DKS pre-par make-whole; FL redemption 102% before Oct 1 2025, 101% until Oct 1 2026, then par, plus accrued interest.</t>
  </si>
  <si>
    <t>Scenario treatment for each instrument, accrued interest, notice timing and any lease termination/consent costs; actual future refinancing is not guaranteed.</t>
  </si>
  <si>
    <t>Retain versus redeem changes required calculations. Refinancing coupon/fees are future assumptions; existing call premium/consent rights remain historical facts. No waiver applied.</t>
  </si>
  <si>
    <t>Original indenture redemption sections and prospective quote sensitivities. Retained DKS notes with no optional redemption do not require a make-whole quote.</t>
  </si>
  <si>
    <t>DKS unsecured 1600, Jan 14 2027; FL secured 600, June 20 2029. Both zero drawn at fiscal year-end. Uncommitted accordions excluded.</t>
  </si>
  <si>
    <t>Annual debt notes verify contractual size and dates; does not resolve borrowing eligibility.</t>
  </si>
  <si>
    <t>DKS LC 19.9 against unsecured 1600; FL LC 7 against 600 commitment, subject to eligible inventory/reserves.</t>
  </si>
  <si>
    <t>Target ABL is terminated under merger 7.16(a); no post-close availability counted. Certificate matters for interim liquidity; funded payoff and LC replacement still matter for closing uses. No blanket waiver.</t>
  </si>
  <si>
    <t>DKS Note 9; FL ABL borrowing-base certificate under agreement reporting provisions, held by Wells Fargo/borrower treasury.</t>
  </si>
  <si>
    <t>DKS lease-adjusted maximum 3.75x; conditional acquisition election 4.25x. FL springing FCCR 1.00x plus restricted-payment conditions.</t>
  </si>
  <si>
    <t>Contractual numerator/denominator reconciliation, permitted debt and lien baskets, payment-condition capacity and post-acquisition eligibility.</t>
  </si>
  <si>
    <t>Executed agreements and latest compliance certificates; counsel interpretation. Generic net-debt/EBITDA engine thresholds do not implement these covenants.</t>
  </si>
  <si>
    <t>FL Note 8 p54: net receivables 156 at Feb 1, 2025; 160 comparative.</t>
  </si>
  <si>
    <t>Exact units/date reviewed; feeds selected operating NWC, not all current assets.</t>
  </si>
  <si>
    <t>Cash-flow historical distributions and lease commitments disclosed; future discretionary distributions set to zero only as a scenario assumption.</t>
  </si>
  <si>
    <t>Latest certified eligible collateral, reserves and LC replacement/cash-collateral terms.</t>
  </si>
  <si>
    <t>future modelling assumption</t>
  </si>
  <si>
    <t>Required when running the full prospective model. Partial studies disclose only the assumptions they consume.</t>
  </si>
  <si>
    <t>Analyst assumption register</t>
  </si>
  <si>
    <t>Explicit prospective choice; test uncertainty. Does not replace missing historical balance, rights or obligations.</t>
  </si>
  <si>
    <t>Evidence review | Historical sensitivities</t>
  </si>
  <si>
    <t>Study</t>
  </si>
  <si>
    <t>Annual growth</t>
  </si>
  <si>
    <t>Margin shift</t>
  </si>
  <si>
    <t>Hypothetical operating sensitivity; not actual company forecast or capacity</t>
  </si>
  <si>
    <t>Constant stressed EBITDA margin; excludes synergies, integration, capex, taxes, rent cash and financing. No preferred structure.</t>
  </si>
  <si>
    <t>Evidence review | Historical assumptions</t>
  </si>
  <si>
    <t>Future choice</t>
  </si>
  <si>
    <t>Rationale</t>
  </si>
  <si>
    <t>Evidence review | Funding unit sensitivities</t>
  </si>
  <si>
    <t>Assumptions</t>
  </si>
  <si>
    <t>Annual coupon per hypothetical 1000 new debt</t>
  </si>
  <si>
    <t>Benchmark shift -2.00%; spread shift +0.00%</t>
  </si>
  <si>
    <t>USD millions/year</t>
  </si>
  <si>
    <t>Unit sensitivity, not actual debt size, quote, debt capacity or fixed legacy-note repricing.</t>
  </si>
  <si>
    <t>Benchmark shift -2.00%; spread shift +1.00%</t>
  </si>
  <si>
    <t>Benchmark shift -2.00%; spread shift +2.00%</t>
  </si>
  <si>
    <t>Benchmark shift +0.00%; spread shift +0.00%</t>
  </si>
  <si>
    <t>Benchmark shift +0.00%; spread shift +1.00%</t>
  </si>
  <si>
    <t>Benchmark shift +0.00%; spread shift +2.00%</t>
  </si>
  <si>
    <t>Benchmark shift +2.00%; spread shift +0.00%</t>
  </si>
  <si>
    <t>Benchmark shift +2.00%; spread shift +1.00%</t>
  </si>
  <si>
    <t>Benchmark shift +2.00%; spread shift +2.00%</t>
  </si>
  <si>
    <t>Gross borrowing to net hypothetical 1000 proceeds</t>
  </si>
  <si>
    <t>Upfront fee 1%</t>
  </si>
  <si>
    <t>1000 is a unit scenario, not historical acquisition funding.</t>
  </si>
  <si>
    <t>Upfront fee 2%</t>
  </si>
  <si>
    <t>Upfront fee 3%</t>
  </si>
  <si>
    <t>Five-year cumulative synergy less integration costs</t>
  </si>
  <si>
    <t>Run rate 0.0; delay 0yr; cost multiplier 1.0</t>
  </si>
  <si>
    <t>USD millions, pre-tax</t>
  </si>
  <si>
    <t>Hypothetical delivery and costs; no discounting/tax, financing or working-capital effects.</t>
  </si>
  <si>
    <t>Run rate 0.0; delay 0yr; cost multiplier 2.0</t>
  </si>
  <si>
    <t>Run rate 0.0; delay 1yr; cost multiplier 1.0</t>
  </si>
  <si>
    <t>Run rate 0.0; delay 1yr; cost multiplier 2.0</t>
  </si>
  <si>
    <t>Run rate 100.0; delay 0yr; cost multiplier 1.0</t>
  </si>
  <si>
    <t>Run rate 100.0; delay 0yr; cost multiplier 2.0</t>
  </si>
  <si>
    <t>Run rate 100.0; delay 1yr; cost multiplier 1.0</t>
  </si>
  <si>
    <t>Run rate 100.0; delay 1yr; cost multiplier 2.0</t>
  </si>
  <si>
    <t>Run rate 125.0; delay 0yr; cost multiplier 1.0</t>
  </si>
  <si>
    <t>Run rate 125.0; delay 0yr; cost multiplier 2.0</t>
  </si>
  <si>
    <t>Run rate 125.0; delay 1yr; cost multiplier 1.0</t>
  </si>
  <si>
    <t>Run rate 125.0; delay 1yr; cost multiplier 2.0</t>
  </si>
</sst>
</file>

<file path=xl/styles.xml><?xml version="1.0" encoding="utf-8"?>
<styleSheet xmlns="http://schemas.openxmlformats.org/spreadsheetml/2006/main">
  <numFmts count="6">
    <numFmt numFmtId="164" formatCode="#,##0.0;(#,##0.0);&quot;-&quot;"/>
    <numFmt numFmtId="165" formatCode="0.0%"/>
    <numFmt numFmtId="166" formatCode="0.0000"/>
    <numFmt numFmtId="167" formatCode="0.00%"/>
    <numFmt numFmtId="168" formatCode="0.00"/>
    <numFmt numFmtId="169" formatCode="#,##0.000000"/>
  </numFmts>
  <fonts count="6">
    <font>
      <sz val="11"/>
      <color theme="1"/>
      <name val="Calibri"/>
      <family val="2"/>
      <scheme val="minor"/>
    </font>
    <font>
      <sz val="22"/>
      <color rgb="FFF15A29"/>
      <name val="Georgia"/>
      <family val="2"/>
    </font>
    <font>
      <i/>
      <sz val="10"/>
      <color rgb="FF536567"/>
      <name val="Arial"/>
      <family val="2"/>
    </font>
    <font>
      <sz val="11"/>
      <color rgb="FF25282D"/>
      <name val="Arial"/>
      <family val="2"/>
    </font>
    <font>
      <b/>
      <i/>
      <sz val="11"/>
      <color rgb="FFFFFFFF"/>
      <name val="Arial"/>
      <family val="2"/>
    </font>
    <font>
      <b/>
      <sz val="11"/>
      <color rgb="FF25282D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3F6F5"/>
        <bgColor indexed="64"/>
      </patternFill>
    </fill>
    <fill>
      <patternFill patternType="solid">
        <fgColor rgb="FF3C5658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15A29"/>
      </bottom>
      <diagonal/>
    </border>
    <border>
      <left style="medium">
        <color rgb="FFF15A29"/>
      </left>
      <right style="thin">
        <color rgb="FFD5DEDD"/>
      </right>
      <top style="thin">
        <color rgb="FFD5DEDD"/>
      </top>
      <bottom style="thin">
        <color rgb="FFD5DEDD"/>
      </bottom>
      <diagonal/>
    </border>
    <border>
      <left style="thin">
        <color rgb="FFD5DEDD"/>
      </left>
      <right style="thin">
        <color rgb="FFD5DEDD"/>
      </right>
      <top style="thin">
        <color rgb="FFD5DEDD"/>
      </top>
      <bottom style="thin">
        <color rgb="FFD5DEDD"/>
      </bottom>
      <diagonal/>
    </border>
    <border>
      <left style="thin">
        <color rgb="FFC4CECE"/>
      </left>
      <right style="thin">
        <color rgb="FFC4CECE"/>
      </right>
      <top style="thin">
        <color rgb="FFC4CECE"/>
      </top>
      <bottom style="thin">
        <color rgb="FFC4CECE"/>
      </bottom>
      <diagonal/>
    </border>
    <border>
      <left style="medium">
        <color rgb="FFF15A29"/>
      </left>
      <right style="thin">
        <color rgb="FFD5DEDD"/>
      </right>
      <top style="medium">
        <color rgb="FF3C5658"/>
      </top>
      <bottom style="thin">
        <color rgb="FFD5DEDD"/>
      </bottom>
      <diagonal/>
    </border>
    <border>
      <left style="thin">
        <color rgb="FFD5DEDD"/>
      </left>
      <right style="thin">
        <color rgb="FFD5DEDD"/>
      </right>
      <top style="medium">
        <color rgb="FF3C5658"/>
      </top>
      <bottom style="thin">
        <color rgb="FFD5DEDD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vertical="center" wrapText="1"/>
    </xf>
    <xf numFmtId="164" fontId="3" fillId="4" borderId="3" xfId="0" applyNumberFormat="1" applyFont="1" applyFill="1" applyBorder="1" applyAlignment="1">
      <alignment horizontal="right" vertical="center" wrapText="1"/>
    </xf>
    <xf numFmtId="164" fontId="3" fillId="2" borderId="3" xfId="0" applyNumberFormat="1" applyFont="1" applyFill="1" applyBorder="1" applyAlignment="1">
      <alignment horizontal="right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164" fontId="5" fillId="2" borderId="6" xfId="0" applyNumberFormat="1" applyFont="1" applyFill="1" applyBorder="1" applyAlignment="1">
      <alignment horizontal="right" vertical="center" wrapText="1"/>
    </xf>
    <xf numFmtId="0" fontId="5" fillId="4" borderId="5" xfId="0" applyFont="1" applyFill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 vertical="center" wrapText="1"/>
    </xf>
    <xf numFmtId="164" fontId="5" fillId="4" borderId="6" xfId="0" applyNumberFormat="1" applyFont="1" applyFill="1" applyBorder="1" applyAlignment="1">
      <alignment horizontal="right" vertical="center" wrapText="1"/>
    </xf>
    <xf numFmtId="165" fontId="3" fillId="4" borderId="3" xfId="0" applyNumberFormat="1" applyFont="1" applyFill="1" applyBorder="1" applyAlignment="1">
      <alignment horizontal="right" vertical="center" wrapText="1"/>
    </xf>
    <xf numFmtId="165" fontId="3" fillId="2" borderId="3" xfId="0" applyNumberFormat="1" applyFont="1" applyFill="1" applyBorder="1" applyAlignment="1">
      <alignment horizontal="right" vertical="center" wrapText="1"/>
    </xf>
    <xf numFmtId="166" fontId="3" fillId="2" borderId="3" xfId="0" applyNumberFormat="1" applyFont="1" applyFill="1" applyBorder="1" applyAlignment="1">
      <alignment horizontal="right" vertical="center" wrapText="1"/>
    </xf>
    <xf numFmtId="166" fontId="3" fillId="4" borderId="3" xfId="0" applyNumberFormat="1" applyFont="1" applyFill="1" applyBorder="1" applyAlignment="1">
      <alignment horizontal="right" vertical="center" wrapText="1"/>
    </xf>
    <xf numFmtId="167" fontId="3" fillId="4" borderId="3" xfId="0" applyNumberFormat="1" applyFont="1" applyFill="1" applyBorder="1" applyAlignment="1">
      <alignment horizontal="right" vertical="center" wrapText="1"/>
    </xf>
    <xf numFmtId="167" fontId="3" fillId="2" borderId="3" xfId="0" applyNumberFormat="1" applyFont="1" applyFill="1" applyBorder="1" applyAlignment="1">
      <alignment horizontal="right" vertical="center" wrapText="1"/>
    </xf>
    <xf numFmtId="1" fontId="3" fillId="4" borderId="3" xfId="0" applyNumberFormat="1" applyFont="1" applyFill="1" applyBorder="1" applyAlignment="1">
      <alignment horizontal="right" vertical="center" wrapText="1"/>
    </xf>
    <xf numFmtId="1" fontId="3" fillId="2" borderId="3" xfId="0" applyNumberFormat="1" applyFont="1" applyFill="1" applyBorder="1" applyAlignment="1">
      <alignment horizontal="right" vertical="center" wrapText="1"/>
    </xf>
    <xf numFmtId="168" fontId="3" fillId="4" borderId="3" xfId="0" applyNumberFormat="1" applyFont="1" applyFill="1" applyBorder="1" applyAlignment="1">
      <alignment horizontal="right" vertical="center" wrapText="1"/>
    </xf>
    <xf numFmtId="168" fontId="3" fillId="2" borderId="3" xfId="0" applyNumberFormat="1" applyFont="1" applyFill="1" applyBorder="1" applyAlignment="1">
      <alignment horizontal="right" vertical="center" wrapText="1"/>
    </xf>
    <xf numFmtId="169" fontId="3" fillId="4" borderId="3" xfId="0" applyNumberFormat="1" applyFont="1" applyFill="1" applyBorder="1" applyAlignment="1">
      <alignment horizontal="right" vertical="center" wrapText="1"/>
    </xf>
    <xf numFmtId="169" fontId="3" fillId="2" borderId="3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4">
    <dxf>
      <font>
        <b/>
        <color rgb="FF9D3028"/>
      </font>
      <fill>
        <patternFill>
          <bgColor rgb="FFFBE1DC"/>
        </patternFill>
      </fill>
    </dxf>
    <dxf>
      <font>
        <color rgb="FF285232"/>
      </font>
      <fill>
        <patternFill>
          <bgColor rgb="FFDFECD9"/>
        </patternFill>
      </fill>
    </dxf>
    <dxf>
      <font>
        <color rgb="FF9D3028"/>
      </font>
      <fill>
        <patternFill>
          <bgColor rgb="FFFBE1DC"/>
        </patternFill>
      </fill>
    </dxf>
    <dxf>
      <font>
        <color rgb="FF765408"/>
      </font>
      <fill>
        <patternFill>
          <bgColor rgb="FFFFF0C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theme" Target="theme/theme1.xml"/><Relationship Id="rId32" Type="http://schemas.openxmlformats.org/officeDocument/2006/relationships/styles" Target="styles.xml"/><Relationship Id="rId3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F15A29"/>
  </sheetPr>
  <dimension ref="A1:B34"/>
  <sheetViews>
    <sheetView showGridLines="0" tabSelected="1" zoomScale="90" zoomScaleNormal="9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38.7109375" customWidth="1"/>
    <col min="2" max="2" width="105.7109375" customWidth="1"/>
  </cols>
  <sheetData>
    <row r="1" spans="1:2" ht="9" customHeight="1"/>
    <row r="2" spans="1:2" ht="42" customHeight="1">
      <c r="A2" s="1" t="s">
        <v>0</v>
      </c>
      <c r="B2" s="1"/>
    </row>
    <row r="3" spans="1:2" ht="30" customHeight="1">
      <c r="A3" s="2" t="s">
        <v>1</v>
      </c>
      <c r="B3" s="2"/>
    </row>
    <row r="4" spans="1:2" ht="25" customHeight="1">
      <c r="A4" s="3" t="s">
        <v>2</v>
      </c>
      <c r="B4" s="4" t="s">
        <v>3</v>
      </c>
    </row>
    <row r="5" spans="1:2" ht="34" customHeight="1">
      <c r="A5" s="5" t="s">
        <v>4</v>
      </c>
      <c r="B5" s="5" t="s">
        <v>5</v>
      </c>
    </row>
    <row r="6" spans="1:2" ht="25" customHeight="1">
      <c r="A6" s="3" t="s">
        <v>6</v>
      </c>
      <c r="B6" s="4" t="s">
        <v>7</v>
      </c>
    </row>
    <row r="7" spans="1:2" ht="25" customHeight="1">
      <c r="A7" s="6" t="s">
        <v>8</v>
      </c>
      <c r="B7" s="7" t="s">
        <v>9</v>
      </c>
    </row>
    <row r="8" spans="1:2" ht="25" customHeight="1">
      <c r="A8" s="3" t="s">
        <v>10</v>
      </c>
      <c r="B8" s="4" t="s">
        <v>9</v>
      </c>
    </row>
    <row r="9" spans="1:2" ht="25" customHeight="1">
      <c r="A9" s="6" t="s">
        <v>11</v>
      </c>
      <c r="B9" s="7" t="s">
        <v>9</v>
      </c>
    </row>
    <row r="10" spans="1:2" ht="25" customHeight="1">
      <c r="A10" s="3" t="s">
        <v>12</v>
      </c>
      <c r="B10" s="4" t="s">
        <v>9</v>
      </c>
    </row>
    <row r="11" spans="1:2" ht="25" customHeight="1">
      <c r="A11" s="6" t="s">
        <v>13</v>
      </c>
      <c r="B11" s="7" t="s">
        <v>9</v>
      </c>
    </row>
    <row r="12" spans="1:2" ht="25" customHeight="1">
      <c r="A12" s="3" t="s">
        <v>14</v>
      </c>
      <c r="B12" s="4" t="s">
        <v>9</v>
      </c>
    </row>
    <row r="13" spans="1:2" ht="25" customHeight="1">
      <c r="A13" s="6" t="s">
        <v>15</v>
      </c>
      <c r="B13" s="7" t="s">
        <v>9</v>
      </c>
    </row>
    <row r="14" spans="1:2" ht="25" customHeight="1">
      <c r="A14" s="3" t="s">
        <v>16</v>
      </c>
      <c r="B14" s="4" t="s">
        <v>9</v>
      </c>
    </row>
    <row r="15" spans="1:2" ht="25" customHeight="1">
      <c r="A15" s="6" t="s">
        <v>17</v>
      </c>
      <c r="B15" s="7" t="s">
        <v>9</v>
      </c>
    </row>
    <row r="16" spans="1:2" ht="25" customHeight="1">
      <c r="A16" s="3" t="s">
        <v>18</v>
      </c>
      <c r="B16" s="4" t="s">
        <v>9</v>
      </c>
    </row>
    <row r="17" spans="1:2" ht="25" customHeight="1">
      <c r="A17" s="6" t="s">
        <v>19</v>
      </c>
      <c r="B17" s="7" t="s">
        <v>9</v>
      </c>
    </row>
    <row r="18" spans="1:2" ht="25" customHeight="1">
      <c r="A18" s="3" t="s">
        <v>20</v>
      </c>
      <c r="B18" s="4" t="s">
        <v>9</v>
      </c>
    </row>
    <row r="19" spans="1:2" ht="25" customHeight="1">
      <c r="A19" s="6" t="s">
        <v>21</v>
      </c>
      <c r="B19" s="7" t="s">
        <v>9</v>
      </c>
    </row>
    <row r="20" spans="1:2" ht="25" customHeight="1">
      <c r="A20" s="3" t="s">
        <v>22</v>
      </c>
      <c r="B20" s="4" t="s">
        <v>9</v>
      </c>
    </row>
    <row r="21" spans="1:2" ht="25" customHeight="1">
      <c r="A21" s="6" t="s">
        <v>23</v>
      </c>
      <c r="B21" s="7" t="s">
        <v>9</v>
      </c>
    </row>
    <row r="22" spans="1:2" ht="25" customHeight="1">
      <c r="A22" s="3" t="s">
        <v>24</v>
      </c>
      <c r="B22" s="4" t="s">
        <v>9</v>
      </c>
    </row>
    <row r="23" spans="1:2" ht="25" customHeight="1">
      <c r="A23" s="6" t="s">
        <v>25</v>
      </c>
      <c r="B23" s="7" t="s">
        <v>9</v>
      </c>
    </row>
    <row r="24" spans="1:2" ht="25" customHeight="1">
      <c r="A24" s="3" t="s">
        <v>26</v>
      </c>
      <c r="B24" s="4" t="s">
        <v>9</v>
      </c>
    </row>
    <row r="25" spans="1:2" ht="25" customHeight="1">
      <c r="A25" s="6" t="s">
        <v>27</v>
      </c>
      <c r="B25" s="7" t="s">
        <v>9</v>
      </c>
    </row>
    <row r="26" spans="1:2" ht="25" customHeight="1">
      <c r="A26" s="3" t="s">
        <v>28</v>
      </c>
      <c r="B26" s="4" t="s">
        <v>9</v>
      </c>
    </row>
    <row r="27" spans="1:2" ht="25" customHeight="1">
      <c r="A27" s="6" t="s">
        <v>29</v>
      </c>
      <c r="B27" s="7" t="s">
        <v>9</v>
      </c>
    </row>
    <row r="28" spans="1:2" ht="25" customHeight="1">
      <c r="A28" s="3" t="s">
        <v>30</v>
      </c>
      <c r="B28" s="4" t="s">
        <v>9</v>
      </c>
    </row>
    <row r="29" spans="1:2" ht="25" customHeight="1">
      <c r="A29" s="6" t="s">
        <v>31</v>
      </c>
      <c r="B29" s="7" t="s">
        <v>9</v>
      </c>
    </row>
    <row r="30" spans="1:2" ht="25" customHeight="1">
      <c r="A30" s="3" t="s">
        <v>32</v>
      </c>
      <c r="B30" s="4" t="s">
        <v>9</v>
      </c>
    </row>
    <row r="31" spans="1:2" ht="25" customHeight="1">
      <c r="A31" s="6" t="s">
        <v>33</v>
      </c>
      <c r="B31" s="7" t="s">
        <v>9</v>
      </c>
    </row>
    <row r="32" spans="1:2" ht="25" customHeight="1">
      <c r="A32" s="3" t="s">
        <v>34</v>
      </c>
      <c r="B32" s="4" t="s">
        <v>9</v>
      </c>
    </row>
    <row r="33" spans="1:2" ht="25" customHeight="1">
      <c r="A33" s="6" t="s">
        <v>35</v>
      </c>
      <c r="B33" s="7" t="s">
        <v>9</v>
      </c>
    </row>
    <row r="34" spans="1:2" ht="25" customHeight="1">
      <c r="A34" s="3" t="s">
        <v>36</v>
      </c>
      <c r="B34" s="4" t="s">
        <v>9</v>
      </c>
    </row>
  </sheetData>
  <autoFilter ref="A5:B34"/>
  <mergeCells count="2">
    <mergeCell ref="A2:B2"/>
    <mergeCell ref="A3:B3"/>
  </mergeCells>
  <pageMargins left="0.3" right="0.3" top="0.4" bottom="0.4" header="0.3" footer="0.3"/>
  <pageSetup paperSize="9" scale="85" orientation="landscape"/>
  <headerFooter>
    <oddFooter>&amp;LContents&amp;RPage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15A29"/>
  </sheetPr>
  <dimension ref="A1:B16"/>
  <sheetViews>
    <sheetView showGridLines="0" zoomScale="90" zoomScaleNormal="90" workbookViewId="0"/>
  </sheetViews>
  <sheetFormatPr defaultRowHeight="15"/>
  <cols>
    <col min="1" max="1" width="44.7109375" customWidth="1"/>
    <col min="2" max="2" width="100.7109375" customWidth="1"/>
  </cols>
  <sheetData>
    <row r="1" spans="1:2" ht="9" customHeight="1"/>
    <row r="2" spans="1:2" ht="62" customHeight="1">
      <c r="A2" s="1" t="s">
        <v>37</v>
      </c>
      <c r="B2" s="8"/>
    </row>
    <row r="3" spans="1:2" ht="25" customHeight="1">
      <c r="A3" s="6" t="s">
        <v>38</v>
      </c>
      <c r="B3" s="7" t="s">
        <v>39</v>
      </c>
    </row>
    <row r="4" spans="1:2" ht="25" customHeight="1">
      <c r="A4" s="3" t="s">
        <v>40</v>
      </c>
      <c r="B4" s="4" t="s">
        <v>41</v>
      </c>
    </row>
    <row r="5" spans="1:2" ht="25" customHeight="1">
      <c r="A5" s="6" t="s">
        <v>42</v>
      </c>
      <c r="B5" s="7" t="s">
        <v>43</v>
      </c>
    </row>
    <row r="6" spans="1:2" ht="40" customHeight="1">
      <c r="A6" s="3" t="s">
        <v>44</v>
      </c>
      <c r="B6" s="4" t="s">
        <v>45</v>
      </c>
    </row>
    <row r="7" spans="1:2" ht="40" customHeight="1">
      <c r="A7" s="6" t="s">
        <v>2</v>
      </c>
      <c r="B7" s="7" t="s">
        <v>46</v>
      </c>
    </row>
    <row r="8" spans="1:2" ht="55" customHeight="1">
      <c r="A8" s="3" t="s">
        <v>47</v>
      </c>
      <c r="B8" s="4" t="s">
        <v>48</v>
      </c>
    </row>
    <row r="9" spans="1:2" ht="40" customHeight="1">
      <c r="A9" s="6" t="s">
        <v>49</v>
      </c>
      <c r="B9" s="7" t="s">
        <v>50</v>
      </c>
    </row>
    <row r="10" spans="1:2" ht="25" customHeight="1">
      <c r="A10" s="3" t="s">
        <v>51</v>
      </c>
      <c r="B10" s="4" t="s">
        <v>52</v>
      </c>
    </row>
    <row r="11" spans="1:2" ht="25" customHeight="1">
      <c r="A11" s="6" t="s">
        <v>53</v>
      </c>
      <c r="B11" s="7" t="s">
        <v>54</v>
      </c>
    </row>
    <row r="12" spans="1:2" ht="25" customHeight="1">
      <c r="A12" s="3" t="s">
        <v>55</v>
      </c>
      <c r="B12" s="4" t="s">
        <v>56</v>
      </c>
    </row>
    <row r="13" spans="1:2" ht="55" customHeight="1">
      <c r="A13" s="6" t="s">
        <v>57</v>
      </c>
      <c r="B13" s="7" t="s">
        <v>58</v>
      </c>
    </row>
    <row r="14" spans="1:2" ht="40" customHeight="1">
      <c r="A14" s="3" t="s">
        <v>59</v>
      </c>
      <c r="B14" s="4" t="s">
        <v>60</v>
      </c>
    </row>
    <row r="15" spans="1:2" ht="25" customHeight="1">
      <c r="A15" s="6" t="s">
        <v>61</v>
      </c>
      <c r="B15" s="7" t="s">
        <v>62</v>
      </c>
    </row>
    <row r="16" spans="1:2" ht="25" customHeight="1">
      <c r="A16" s="3" t="s">
        <v>63</v>
      </c>
      <c r="B16" s="4" t="s">
        <v>64</v>
      </c>
    </row>
  </sheetData>
  <conditionalFormatting sqref="B3">
    <cfRule type="containsText" dxfId="0" priority="1" operator="containsText" text="Blocked">
      <formula>NOT(ISERROR(SEARCH("Blocked",B3)))</formula>
    </cfRule>
  </conditionalFormatting>
  <pageMargins left="0.3" right="0.3" top="0.4" bottom="0.4" header="0.3" footer="0.3"/>
  <pageSetup paperSize="9" scale="85" orientation="landscape"/>
  <headerFooter>
    <oddFooter>&amp;LSummary&amp;RPage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C5658"/>
  </sheetPr>
  <dimension ref="A1:C46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52.7109375" customWidth="1"/>
    <col min="3" max="3" width="25.7109375" customWidth="1"/>
  </cols>
  <sheetData>
    <row r="1" spans="1:3" ht="9" customHeight="1"/>
    <row r="2" spans="1:3" ht="42" customHeight="1">
      <c r="A2" s="1" t="s">
        <v>8</v>
      </c>
      <c r="B2" s="1"/>
      <c r="C2" s="1"/>
    </row>
    <row r="3" spans="1:3" ht="30" customHeight="1">
      <c r="A3" s="2" t="s">
        <v>65</v>
      </c>
      <c r="B3" s="2"/>
      <c r="C3" s="2"/>
    </row>
    <row r="4" spans="1:3" ht="34" customHeight="1">
      <c r="A4" s="5" t="s">
        <v>66</v>
      </c>
      <c r="B4" s="5" t="s">
        <v>67</v>
      </c>
      <c r="C4" s="5" t="s">
        <v>68</v>
      </c>
    </row>
    <row r="5" spans="1:3" ht="25" customHeight="1">
      <c r="A5" s="6" t="s">
        <v>69</v>
      </c>
      <c r="B5" s="7" t="s">
        <v>70</v>
      </c>
      <c r="C5" s="9">
        <v>2293.453968</v>
      </c>
    </row>
    <row r="6" spans="1:3" ht="25" customHeight="1">
      <c r="A6" s="3" t="s">
        <v>69</v>
      </c>
      <c r="B6" s="4" t="s">
        <v>71</v>
      </c>
      <c r="C6" s="10">
        <v>400</v>
      </c>
    </row>
    <row r="7" spans="1:3" ht="25" customHeight="1">
      <c r="A7" s="6" t="s">
        <v>69</v>
      </c>
      <c r="B7" s="7" t="s">
        <v>72</v>
      </c>
      <c r="C7" s="9">
        <v>75</v>
      </c>
    </row>
    <row r="8" spans="1:3" ht="25" customHeight="1">
      <c r="A8" s="3" t="s">
        <v>69</v>
      </c>
      <c r="B8" s="4" t="s">
        <v>73</v>
      </c>
      <c r="C8" s="10">
        <v>109.074062928</v>
      </c>
    </row>
    <row r="9" spans="1:3" ht="25" customHeight="1">
      <c r="A9" s="6" t="s">
        <v>69</v>
      </c>
      <c r="B9" s="7" t="s">
        <v>74</v>
      </c>
      <c r="C9" s="9">
        <v>4.000000000000004</v>
      </c>
    </row>
    <row r="10" spans="1:3" ht="25" customHeight="1">
      <c r="A10" s="3" t="s">
        <v>69</v>
      </c>
      <c r="B10" s="4" t="s">
        <v>75</v>
      </c>
      <c r="C10" s="10">
        <v>1.333333333333333</v>
      </c>
    </row>
    <row r="11" spans="1:3" ht="25" customHeight="1">
      <c r="A11" s="6" t="s">
        <v>69</v>
      </c>
      <c r="B11" s="7" t="s">
        <v>76</v>
      </c>
      <c r="C11" s="9">
        <v>7.350000000000001</v>
      </c>
    </row>
    <row r="12" spans="1:3" ht="25" customHeight="1">
      <c r="A12" s="3" t="s">
        <v>69</v>
      </c>
      <c r="B12" s="4" t="s">
        <v>77</v>
      </c>
      <c r="C12" s="10">
        <v>0</v>
      </c>
    </row>
    <row r="13" spans="1:3" ht="25" customHeight="1">
      <c r="A13" s="6" t="s">
        <v>69</v>
      </c>
      <c r="B13" s="7" t="s">
        <v>78</v>
      </c>
      <c r="C13" s="9">
        <v>53.82724174264292</v>
      </c>
    </row>
    <row r="14" spans="1:3" ht="25" customHeight="1">
      <c r="A14" s="3" t="s">
        <v>79</v>
      </c>
      <c r="B14" s="4" t="s">
        <v>70</v>
      </c>
      <c r="C14" s="10">
        <v>2293.453968</v>
      </c>
    </row>
    <row r="15" spans="1:3" ht="25" customHeight="1">
      <c r="A15" s="6" t="s">
        <v>79</v>
      </c>
      <c r="B15" s="7" t="s">
        <v>71</v>
      </c>
      <c r="C15" s="9">
        <v>400</v>
      </c>
    </row>
    <row r="16" spans="1:3" ht="25" customHeight="1">
      <c r="A16" s="3" t="s">
        <v>79</v>
      </c>
      <c r="B16" s="4" t="s">
        <v>72</v>
      </c>
      <c r="C16" s="10">
        <v>75</v>
      </c>
    </row>
    <row r="17" spans="1:3" ht="25" customHeight="1">
      <c r="A17" s="6" t="s">
        <v>79</v>
      </c>
      <c r="B17" s="7" t="s">
        <v>73</v>
      </c>
      <c r="C17" s="9">
        <v>109.074062928</v>
      </c>
    </row>
    <row r="18" spans="1:3" ht="25" customHeight="1">
      <c r="A18" s="3" t="s">
        <v>79</v>
      </c>
      <c r="B18" s="4" t="s">
        <v>74</v>
      </c>
      <c r="C18" s="10">
        <v>4.000000000000004</v>
      </c>
    </row>
    <row r="19" spans="1:3" ht="25" customHeight="1">
      <c r="A19" s="6" t="s">
        <v>79</v>
      </c>
      <c r="B19" s="7" t="s">
        <v>75</v>
      </c>
      <c r="C19" s="9">
        <v>1.333333333333333</v>
      </c>
    </row>
    <row r="20" spans="1:3" ht="25" customHeight="1">
      <c r="A20" s="3" t="s">
        <v>79</v>
      </c>
      <c r="B20" s="4" t="s">
        <v>76</v>
      </c>
      <c r="C20" s="10">
        <v>7.350000000000001</v>
      </c>
    </row>
    <row r="21" spans="1:3" ht="25" customHeight="1">
      <c r="A21" s="6" t="s">
        <v>79</v>
      </c>
      <c r="B21" s="7" t="s">
        <v>77</v>
      </c>
      <c r="C21" s="9">
        <v>0</v>
      </c>
    </row>
    <row r="22" spans="1:3" ht="25" customHeight="1">
      <c r="A22" s="3" t="s">
        <v>79</v>
      </c>
      <c r="B22" s="4" t="s">
        <v>78</v>
      </c>
      <c r="C22" s="10">
        <v>58.98390539308843</v>
      </c>
    </row>
    <row r="23" spans="1:3" ht="25" customHeight="1">
      <c r="A23" s="6" t="s">
        <v>80</v>
      </c>
      <c r="B23" s="7" t="s">
        <v>70</v>
      </c>
      <c r="C23" s="9">
        <v>1146.726984</v>
      </c>
    </row>
    <row r="24" spans="1:3" ht="25" customHeight="1">
      <c r="A24" s="3" t="s">
        <v>80</v>
      </c>
      <c r="B24" s="4" t="s">
        <v>71</v>
      </c>
      <c r="C24" s="10">
        <v>400</v>
      </c>
    </row>
    <row r="25" spans="1:3" ht="25" customHeight="1">
      <c r="A25" s="6" t="s">
        <v>80</v>
      </c>
      <c r="B25" s="7" t="s">
        <v>72</v>
      </c>
      <c r="C25" s="9">
        <v>75</v>
      </c>
    </row>
    <row r="26" spans="1:3" ht="25" customHeight="1">
      <c r="A26" s="3" t="s">
        <v>80</v>
      </c>
      <c r="B26" s="4" t="s">
        <v>73</v>
      </c>
      <c r="C26" s="10">
        <v>109.074062928</v>
      </c>
    </row>
    <row r="27" spans="1:3" ht="25" customHeight="1">
      <c r="A27" s="6" t="s">
        <v>80</v>
      </c>
      <c r="B27" s="7" t="s">
        <v>74</v>
      </c>
      <c r="C27" s="9">
        <v>4.000000000000004</v>
      </c>
    </row>
    <row r="28" spans="1:3" ht="25" customHeight="1">
      <c r="A28" s="3" t="s">
        <v>80</v>
      </c>
      <c r="B28" s="4" t="s">
        <v>75</v>
      </c>
      <c r="C28" s="10">
        <v>1.333333333333333</v>
      </c>
    </row>
    <row r="29" spans="1:3" ht="25" customHeight="1">
      <c r="A29" s="6" t="s">
        <v>80</v>
      </c>
      <c r="B29" s="7" t="s">
        <v>76</v>
      </c>
      <c r="C29" s="9">
        <v>7.350000000000001</v>
      </c>
    </row>
    <row r="30" spans="1:3" ht="25" customHeight="1">
      <c r="A30" s="3" t="s">
        <v>80</v>
      </c>
      <c r="B30" s="4" t="s">
        <v>77</v>
      </c>
      <c r="C30" s="10">
        <v>0</v>
      </c>
    </row>
    <row r="31" spans="1:3" ht="25" customHeight="1">
      <c r="A31" s="6" t="s">
        <v>80</v>
      </c>
      <c r="B31" s="7" t="s">
        <v>78</v>
      </c>
      <c r="C31" s="9">
        <v>30.42465023243884</v>
      </c>
    </row>
    <row r="32" spans="1:3" ht="25" customHeight="1">
      <c r="A32" s="11" t="s">
        <v>69</v>
      </c>
      <c r="B32" s="12" t="s">
        <v>81</v>
      </c>
      <c r="C32" s="13">
        <v>2944.038606003976</v>
      </c>
    </row>
    <row r="33" spans="1:3" ht="25" customHeight="1">
      <c r="A33" s="6" t="s">
        <v>69</v>
      </c>
      <c r="B33" s="7" t="s">
        <v>82</v>
      </c>
      <c r="C33" s="9">
        <v>252.6765188718298</v>
      </c>
    </row>
    <row r="34" spans="1:3" ht="25" customHeight="1">
      <c r="A34" s="3" t="s">
        <v>69</v>
      </c>
      <c r="B34" s="4" t="s">
        <v>83</v>
      </c>
      <c r="C34" s="10">
        <v>2691.362087132146</v>
      </c>
    </row>
    <row r="35" spans="1:3" ht="25" customHeight="1">
      <c r="A35" s="6" t="s">
        <v>69</v>
      </c>
      <c r="B35" s="7" t="s">
        <v>84</v>
      </c>
      <c r="C35" s="9">
        <v>0</v>
      </c>
    </row>
    <row r="36" spans="1:3" ht="25" customHeight="1">
      <c r="A36" s="3" t="s">
        <v>69</v>
      </c>
      <c r="B36" s="4" t="s">
        <v>85</v>
      </c>
      <c r="C36" s="10">
        <v>-4.547473508864641E-13</v>
      </c>
    </row>
    <row r="37" spans="1:3" ht="25" customHeight="1">
      <c r="A37" s="14" t="s">
        <v>79</v>
      </c>
      <c r="B37" s="15" t="s">
        <v>81</v>
      </c>
      <c r="C37" s="16">
        <v>2949.195269654421</v>
      </c>
    </row>
    <row r="38" spans="1:3" ht="25" customHeight="1">
      <c r="A38" s="3" t="s">
        <v>79</v>
      </c>
      <c r="B38" s="4" t="s">
        <v>82</v>
      </c>
      <c r="C38" s="10">
        <v>0</v>
      </c>
    </row>
    <row r="39" spans="1:3" ht="25" customHeight="1">
      <c r="A39" s="6" t="s">
        <v>79</v>
      </c>
      <c r="B39" s="7" t="s">
        <v>83</v>
      </c>
      <c r="C39" s="9">
        <v>2949.195269654422</v>
      </c>
    </row>
    <row r="40" spans="1:3" ht="25" customHeight="1">
      <c r="A40" s="3" t="s">
        <v>79</v>
      </c>
      <c r="B40" s="4" t="s">
        <v>84</v>
      </c>
      <c r="C40" s="10">
        <v>0</v>
      </c>
    </row>
    <row r="41" spans="1:3" ht="25" customHeight="1">
      <c r="A41" s="6" t="s">
        <v>79</v>
      </c>
      <c r="B41" s="7" t="s">
        <v>85</v>
      </c>
      <c r="C41" s="9">
        <v>4.547473508864641E-13</v>
      </c>
    </row>
    <row r="42" spans="1:3" ht="25" customHeight="1">
      <c r="A42" s="11" t="s">
        <v>80</v>
      </c>
      <c r="B42" s="12" t="s">
        <v>81</v>
      </c>
      <c r="C42" s="13">
        <v>1773.909030493772</v>
      </c>
    </row>
    <row r="43" spans="1:3" ht="25" customHeight="1">
      <c r="A43" s="6" t="s">
        <v>80</v>
      </c>
      <c r="B43" s="7" t="s">
        <v>82</v>
      </c>
      <c r="C43" s="9">
        <v>252.6765188718298</v>
      </c>
    </row>
    <row r="44" spans="1:3" ht="25" customHeight="1">
      <c r="A44" s="3" t="s">
        <v>80</v>
      </c>
      <c r="B44" s="4" t="s">
        <v>83</v>
      </c>
      <c r="C44" s="10">
        <v>1521.232511621942</v>
      </c>
    </row>
    <row r="45" spans="1:3" ht="25" customHeight="1">
      <c r="A45" s="6" t="s">
        <v>80</v>
      </c>
      <c r="B45" s="7" t="s">
        <v>84</v>
      </c>
      <c r="C45" s="9">
        <v>0</v>
      </c>
    </row>
    <row r="46" spans="1:3" ht="25" customHeight="1">
      <c r="A46" s="3" t="s">
        <v>80</v>
      </c>
      <c r="B46" s="4" t="s">
        <v>85</v>
      </c>
      <c r="C46" s="10">
        <v>0</v>
      </c>
    </row>
  </sheetData>
  <autoFilter ref="A4:C46"/>
  <mergeCells count="2">
    <mergeCell ref="A2:C2"/>
    <mergeCell ref="A3:C3"/>
  </mergeCells>
  <pageMargins left="0.3" right="0.3" top="0.4" bottom="0.4" header="0.3" footer="0.3"/>
  <pageSetup paperSize="9" scale="85" orientation="landscape"/>
  <headerFooter>
    <oddFooter>&amp;LItemised funding&amp;RPage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C5658"/>
  </sheetPr>
  <dimension ref="A1:F7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2.7109375" customWidth="1"/>
    <col min="2" max="2" width="30.7109375" customWidth="1"/>
    <col min="3" max="3" width="28.7109375" customWidth="1"/>
    <col min="4" max="4" width="24.7109375" customWidth="1"/>
    <col min="5" max="5" width="25.7109375" customWidth="1"/>
    <col min="6" max="6" width="65.7109375" customWidth="1"/>
  </cols>
  <sheetData>
    <row r="1" spans="1:6" ht="9" customHeight="1"/>
    <row r="2" spans="1:6" ht="42" customHeight="1">
      <c r="A2" s="1" t="s">
        <v>10</v>
      </c>
      <c r="B2" s="1"/>
      <c r="C2" s="1"/>
      <c r="D2" s="1"/>
      <c r="E2" s="1"/>
      <c r="F2" s="1"/>
    </row>
    <row r="3" spans="1:6" ht="30" customHeight="1">
      <c r="A3" s="2" t="s">
        <v>65</v>
      </c>
      <c r="B3" s="2"/>
      <c r="C3" s="2"/>
      <c r="D3" s="2"/>
      <c r="E3" s="2"/>
      <c r="F3" s="2"/>
    </row>
    <row r="4" spans="1:6" ht="34" customHeight="1">
      <c r="A4" s="5" t="s">
        <v>86</v>
      </c>
      <c r="B4" s="5" t="s">
        <v>66</v>
      </c>
      <c r="C4" s="5" t="s">
        <v>87</v>
      </c>
      <c r="D4" s="5" t="s">
        <v>88</v>
      </c>
      <c r="E4" s="5" t="s">
        <v>89</v>
      </c>
      <c r="F4" s="5" t="s">
        <v>90</v>
      </c>
    </row>
    <row r="5" spans="1:6" ht="25" customHeight="1">
      <c r="A5" s="6" t="s">
        <v>91</v>
      </c>
      <c r="B5" s="7" t="s">
        <v>69</v>
      </c>
      <c r="C5" s="7" t="s">
        <v>92</v>
      </c>
      <c r="D5" s="7"/>
      <c r="E5" s="7" t="s">
        <v>93</v>
      </c>
      <c r="F5" s="7" t="s">
        <v>94</v>
      </c>
    </row>
    <row r="6" spans="1:6" ht="25" customHeight="1">
      <c r="A6" s="3" t="s">
        <v>91</v>
      </c>
      <c r="B6" s="4" t="s">
        <v>79</v>
      </c>
      <c r="C6" s="4" t="s">
        <v>92</v>
      </c>
      <c r="D6" s="4"/>
      <c r="E6" s="4" t="s">
        <v>93</v>
      </c>
      <c r="F6" s="4" t="s">
        <v>95</v>
      </c>
    </row>
    <row r="7" spans="1:6" ht="25" customHeight="1">
      <c r="A7" s="6" t="s">
        <v>91</v>
      </c>
      <c r="B7" s="7" t="s">
        <v>80</v>
      </c>
      <c r="C7" s="7" t="s">
        <v>92</v>
      </c>
      <c r="D7" s="7"/>
      <c r="E7" s="7" t="s">
        <v>93</v>
      </c>
      <c r="F7" s="7" t="s">
        <v>94</v>
      </c>
    </row>
  </sheetData>
  <autoFilter ref="A4:F7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&amp;LTiming and capacity&amp;RPage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C5658"/>
  </sheetPr>
  <dimension ref="A1:F1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6" width="23.7109375" customWidth="1"/>
  </cols>
  <sheetData>
    <row r="1" spans="1:6" ht="9" customHeight="1"/>
    <row r="2" spans="1:6" ht="42" customHeight="1">
      <c r="A2" s="1" t="s">
        <v>11</v>
      </c>
      <c r="B2" s="1"/>
      <c r="C2" s="1"/>
      <c r="D2" s="1"/>
      <c r="E2" s="1"/>
      <c r="F2" s="1"/>
    </row>
    <row r="3" spans="1:6" ht="30" customHeight="1">
      <c r="A3" s="2" t="s">
        <v>65</v>
      </c>
      <c r="B3" s="2"/>
      <c r="C3" s="2"/>
      <c r="D3" s="2"/>
      <c r="E3" s="2"/>
      <c r="F3" s="2"/>
    </row>
    <row r="4" spans="1:6" ht="34" customHeight="1">
      <c r="A4" s="5" t="s">
        <v>66</v>
      </c>
      <c r="B4" s="5" t="s">
        <v>96</v>
      </c>
      <c r="C4" s="5" t="s">
        <v>97</v>
      </c>
      <c r="D4" s="5" t="s">
        <v>98</v>
      </c>
      <c r="E4" s="5" t="s">
        <v>99</v>
      </c>
      <c r="F4" s="5" t="s">
        <v>86</v>
      </c>
    </row>
    <row r="5" spans="1:6" ht="25" customHeight="1">
      <c r="A5" s="6" t="s">
        <v>69</v>
      </c>
      <c r="B5" s="7" t="s">
        <v>100</v>
      </c>
      <c r="C5" s="9">
        <v>-4.547473508864641E-13</v>
      </c>
      <c r="D5" s="9">
        <v>0</v>
      </c>
      <c r="E5" s="9">
        <v>0</v>
      </c>
      <c r="F5" s="7" t="s">
        <v>91</v>
      </c>
    </row>
    <row r="6" spans="1:6" ht="25" customHeight="1">
      <c r="A6" s="3" t="s">
        <v>69</v>
      </c>
      <c r="B6" s="4" t="s">
        <v>101</v>
      </c>
      <c r="C6" s="10">
        <v>-4.547473508864641E-13</v>
      </c>
      <c r="D6" s="10">
        <v>5.684341886080801E-14</v>
      </c>
      <c r="E6" s="10">
        <v>0</v>
      </c>
      <c r="F6" s="4" t="s">
        <v>91</v>
      </c>
    </row>
    <row r="7" spans="1:6" ht="25" customHeight="1">
      <c r="A7" s="6" t="s">
        <v>69</v>
      </c>
      <c r="B7" s="7" t="s">
        <v>102</v>
      </c>
      <c r="C7" s="9">
        <v>-4.547473508864641E-13</v>
      </c>
      <c r="D7" s="9">
        <v>0</v>
      </c>
      <c r="E7" s="9">
        <v>0</v>
      </c>
      <c r="F7" s="7" t="s">
        <v>91</v>
      </c>
    </row>
    <row r="8" spans="1:6" ht="25" customHeight="1">
      <c r="A8" s="3" t="s">
        <v>69</v>
      </c>
      <c r="B8" s="4" t="s">
        <v>103</v>
      </c>
      <c r="C8" s="10">
        <v>-4.547473508864641E-13</v>
      </c>
      <c r="D8" s="10">
        <v>2.273736754432321E-13</v>
      </c>
      <c r="E8" s="10">
        <v>0</v>
      </c>
      <c r="F8" s="4" t="s">
        <v>91</v>
      </c>
    </row>
    <row r="9" spans="1:6" ht="25" customHeight="1">
      <c r="A9" s="6" t="s">
        <v>69</v>
      </c>
      <c r="B9" s="7" t="s">
        <v>104</v>
      </c>
      <c r="C9" s="9">
        <v>-4.547473508864641E-13</v>
      </c>
      <c r="D9" s="9">
        <v>0</v>
      </c>
      <c r="E9" s="9">
        <v>0</v>
      </c>
      <c r="F9" s="7" t="s">
        <v>91</v>
      </c>
    </row>
    <row r="10" spans="1:6" ht="25" customHeight="1">
      <c r="A10" s="3" t="s">
        <v>79</v>
      </c>
      <c r="B10" s="4" t="s">
        <v>100</v>
      </c>
      <c r="C10" s="10">
        <v>4.547473508864641E-13</v>
      </c>
      <c r="D10" s="10">
        <v>-1.13686837721616E-13</v>
      </c>
      <c r="E10" s="10">
        <v>-9.094947017729282E-13</v>
      </c>
      <c r="F10" s="4" t="s">
        <v>91</v>
      </c>
    </row>
    <row r="11" spans="1:6" ht="25" customHeight="1">
      <c r="A11" s="6" t="s">
        <v>79</v>
      </c>
      <c r="B11" s="7" t="s">
        <v>101</v>
      </c>
      <c r="C11" s="9">
        <v>4.547473508864641E-13</v>
      </c>
      <c r="D11" s="9">
        <v>-2.344791028008331E-13</v>
      </c>
      <c r="E11" s="9">
        <v>0</v>
      </c>
      <c r="F11" s="7" t="s">
        <v>91</v>
      </c>
    </row>
    <row r="12" spans="1:6" ht="25" customHeight="1">
      <c r="A12" s="3" t="s">
        <v>79</v>
      </c>
      <c r="B12" s="4" t="s">
        <v>102</v>
      </c>
      <c r="C12" s="10">
        <v>4.547473508864641E-13</v>
      </c>
      <c r="D12" s="10">
        <v>0</v>
      </c>
      <c r="E12" s="10">
        <v>0</v>
      </c>
      <c r="F12" s="4" t="s">
        <v>91</v>
      </c>
    </row>
    <row r="13" spans="1:6" ht="25" customHeight="1">
      <c r="A13" s="6" t="s">
        <v>79</v>
      </c>
      <c r="B13" s="7" t="s">
        <v>103</v>
      </c>
      <c r="C13" s="9">
        <v>4.547473508864641E-13</v>
      </c>
      <c r="D13" s="9">
        <v>0</v>
      </c>
      <c r="E13" s="9">
        <v>0</v>
      </c>
      <c r="F13" s="7" t="s">
        <v>91</v>
      </c>
    </row>
    <row r="14" spans="1:6" ht="25" customHeight="1">
      <c r="A14" s="3" t="s">
        <v>79</v>
      </c>
      <c r="B14" s="4" t="s">
        <v>104</v>
      </c>
      <c r="C14" s="10">
        <v>4.547473508864641E-13</v>
      </c>
      <c r="D14" s="10">
        <v>0</v>
      </c>
      <c r="E14" s="10">
        <v>0</v>
      </c>
      <c r="F14" s="4" t="s">
        <v>91</v>
      </c>
    </row>
    <row r="15" spans="1:6" ht="25" customHeight="1">
      <c r="A15" s="6" t="s">
        <v>80</v>
      </c>
      <c r="B15" s="7" t="s">
        <v>100</v>
      </c>
      <c r="C15" s="9">
        <v>0</v>
      </c>
      <c r="D15" s="9">
        <v>-2.273736754432321E-13</v>
      </c>
      <c r="E15" s="9">
        <v>0</v>
      </c>
      <c r="F15" s="7" t="s">
        <v>91</v>
      </c>
    </row>
    <row r="16" spans="1:6" ht="25" customHeight="1">
      <c r="A16" s="3" t="s">
        <v>80</v>
      </c>
      <c r="B16" s="4" t="s">
        <v>101</v>
      </c>
      <c r="C16" s="10">
        <v>0</v>
      </c>
      <c r="D16" s="10">
        <v>-1.20792265079217E-13</v>
      </c>
      <c r="E16" s="10">
        <v>0</v>
      </c>
      <c r="F16" s="4" t="s">
        <v>91</v>
      </c>
    </row>
    <row r="17" spans="1:6" ht="25" customHeight="1">
      <c r="A17" s="6" t="s">
        <v>80</v>
      </c>
      <c r="B17" s="7" t="s">
        <v>102</v>
      </c>
      <c r="C17" s="9">
        <v>0</v>
      </c>
      <c r="D17" s="9">
        <v>0</v>
      </c>
      <c r="E17" s="9">
        <v>0</v>
      </c>
      <c r="F17" s="7" t="s">
        <v>91</v>
      </c>
    </row>
    <row r="18" spans="1:6" ht="25" customHeight="1">
      <c r="A18" s="3" t="s">
        <v>80</v>
      </c>
      <c r="B18" s="4" t="s">
        <v>103</v>
      </c>
      <c r="C18" s="10">
        <v>0</v>
      </c>
      <c r="D18" s="10">
        <v>2.273736754432321E-13</v>
      </c>
      <c r="E18" s="10">
        <v>0</v>
      </c>
      <c r="F18" s="4" t="s">
        <v>91</v>
      </c>
    </row>
    <row r="19" spans="1:6" ht="25" customHeight="1">
      <c r="A19" s="6" t="s">
        <v>80</v>
      </c>
      <c r="B19" s="7" t="s">
        <v>104</v>
      </c>
      <c r="C19" s="9">
        <v>0</v>
      </c>
      <c r="D19" s="9">
        <v>2.273736754432321E-13</v>
      </c>
      <c r="E19" s="9">
        <v>0</v>
      </c>
      <c r="F19" s="7" t="s">
        <v>91</v>
      </c>
    </row>
  </sheetData>
  <autoFilter ref="A4:F19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&amp;LModel checks&amp;RPage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C5658"/>
  </sheetPr>
  <dimension ref="A1:E1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5" width="23.7109375" customWidth="1"/>
  </cols>
  <sheetData>
    <row r="1" spans="1:5" ht="9" customHeight="1"/>
    <row r="2" spans="1:5" ht="42" customHeight="1">
      <c r="A2" s="1" t="s">
        <v>12</v>
      </c>
      <c r="B2" s="1"/>
      <c r="C2" s="1"/>
      <c r="D2" s="1"/>
      <c r="E2" s="1"/>
    </row>
    <row r="3" spans="1:5" ht="30" customHeight="1">
      <c r="A3" s="2" t="s">
        <v>65</v>
      </c>
      <c r="B3" s="2"/>
      <c r="C3" s="2"/>
      <c r="D3" s="2"/>
      <c r="E3" s="2"/>
    </row>
    <row r="4" spans="1:5" ht="34" customHeight="1">
      <c r="A4" s="5" t="s">
        <v>105</v>
      </c>
      <c r="B4" s="5" t="s">
        <v>106</v>
      </c>
      <c r="C4" s="5" t="s">
        <v>107</v>
      </c>
      <c r="D4" s="5" t="s">
        <v>108</v>
      </c>
      <c r="E4" s="5" t="s">
        <v>109</v>
      </c>
    </row>
    <row r="5" spans="1:5" ht="25" customHeight="1">
      <c r="A5" s="6" t="s">
        <v>110</v>
      </c>
      <c r="B5" s="7" t="s">
        <v>111</v>
      </c>
      <c r="C5" s="9">
        <v>3349.83</v>
      </c>
      <c r="D5" s="9">
        <v>3952.7994</v>
      </c>
      <c r="E5" s="9">
        <f>D5-C5</f>
        <v>602.9694</v>
      </c>
    </row>
    <row r="6" spans="1:5" ht="25" customHeight="1">
      <c r="A6" s="3" t="s">
        <v>110</v>
      </c>
      <c r="B6" s="4" t="s">
        <v>112</v>
      </c>
      <c r="C6" s="10">
        <v>214.25</v>
      </c>
      <c r="D6" s="10">
        <v>224.9625</v>
      </c>
      <c r="E6" s="10">
        <f>D6-C6</f>
        <v>10.712500000000006</v>
      </c>
    </row>
    <row r="7" spans="1:5" ht="25" customHeight="1">
      <c r="A7" s="6" t="s">
        <v>110</v>
      </c>
      <c r="B7" s="7" t="s">
        <v>113</v>
      </c>
      <c r="C7" s="9">
        <v>1497.743</v>
      </c>
      <c r="D7" s="9">
        <v>1722.40445</v>
      </c>
      <c r="E7" s="9">
        <f>D7-C7</f>
        <v>224.66144999999983</v>
      </c>
    </row>
    <row r="8" spans="1:5" ht="25" customHeight="1">
      <c r="A8" s="3" t="s">
        <v>114</v>
      </c>
      <c r="B8" s="4" t="s">
        <v>111</v>
      </c>
      <c r="C8" s="10">
        <v>1525</v>
      </c>
      <c r="D8" s="10">
        <v>1753.75</v>
      </c>
      <c r="E8" s="10">
        <f>D8-C8</f>
        <v>228.74999999999977</v>
      </c>
    </row>
    <row r="9" spans="1:5" ht="25" customHeight="1">
      <c r="A9" s="6" t="s">
        <v>114</v>
      </c>
      <c r="B9" s="7" t="s">
        <v>112</v>
      </c>
      <c r="C9" s="9">
        <v>156</v>
      </c>
      <c r="D9" s="9">
        <v>156</v>
      </c>
      <c r="E9" s="9">
        <f>D9-C9</f>
        <v>0.0</v>
      </c>
    </row>
    <row r="10" spans="1:5" ht="25" customHeight="1">
      <c r="A10" s="3" t="s">
        <v>114</v>
      </c>
      <c r="B10" s="4" t="s">
        <v>113</v>
      </c>
      <c r="C10" s="10">
        <v>378</v>
      </c>
      <c r="D10" s="10">
        <v>434.7</v>
      </c>
      <c r="E10" s="10">
        <f>D10-C10</f>
        <v>56.69999999999999</v>
      </c>
    </row>
  </sheetData>
  <mergeCells count="2">
    <mergeCell ref="A2:E2"/>
    <mergeCell ref="A3:E3"/>
  </mergeCells>
  <pageMargins left="0.3" right="0.3" top="0.4" bottom="0.4" header="0.3" footer="0.3"/>
  <pageSetup paperSize="9" scale="85" orientation="landscape"/>
  <headerFooter>
    <oddFooter>&amp;LClosing working capital&amp;RPage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3C5658"/>
  </sheetPr>
  <dimension ref="A1:H6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8" width="23.7109375" customWidth="1"/>
  </cols>
  <sheetData>
    <row r="1" spans="1:8" ht="9" customHeight="1"/>
    <row r="2" spans="1:8" ht="42" customHeight="1">
      <c r="A2" s="1" t="s">
        <v>13</v>
      </c>
      <c r="B2" s="1"/>
      <c r="C2" s="1"/>
      <c r="D2" s="1"/>
      <c r="E2" s="1"/>
      <c r="F2" s="1"/>
      <c r="G2" s="8"/>
      <c r="H2" s="8"/>
    </row>
    <row r="3" spans="1:8" ht="30" customHeight="1">
      <c r="A3" s="2" t="s">
        <v>65</v>
      </c>
      <c r="B3" s="2"/>
      <c r="C3" s="2"/>
      <c r="D3" s="2"/>
      <c r="E3" s="2"/>
      <c r="F3" s="2"/>
      <c r="G3" s="8"/>
      <c r="H3" s="8"/>
    </row>
    <row r="4" spans="1:8" ht="40" customHeight="1">
      <c r="A4" s="5" t="s">
        <v>105</v>
      </c>
      <c r="B4" s="5" t="s">
        <v>115</v>
      </c>
      <c r="C4" s="5" t="s">
        <v>116</v>
      </c>
      <c r="D4" s="5" t="s">
        <v>117</v>
      </c>
      <c r="E4" s="5" t="s">
        <v>118</v>
      </c>
      <c r="F4" s="5" t="s">
        <v>119</v>
      </c>
      <c r="G4" s="5" t="s">
        <v>120</v>
      </c>
      <c r="H4" s="5" t="s">
        <v>121</v>
      </c>
    </row>
    <row r="5" spans="1:8" ht="25" customHeight="1">
      <c r="A5" s="6" t="s">
        <v>110</v>
      </c>
      <c r="B5" s="9">
        <v>-497.485</v>
      </c>
      <c r="C5" s="9">
        <v>1177.792</v>
      </c>
      <c r="D5" s="9">
        <v>389.0204499999995</v>
      </c>
      <c r="E5" s="9">
        <f>C5-D5</f>
        <v>788.7715500000004</v>
      </c>
      <c r="F5" s="9">
        <v>1336.90202516244</v>
      </c>
      <c r="G5" s="9">
        <v>1002.67651887183</v>
      </c>
      <c r="H5" s="9">
        <v>334.2255062906099</v>
      </c>
    </row>
    <row r="6" spans="1:8" ht="25" customHeight="1">
      <c r="A6" s="3" t="s">
        <v>114</v>
      </c>
      <c r="B6" s="10">
        <v>-106</v>
      </c>
      <c r="C6" s="10">
        <v>102</v>
      </c>
      <c r="D6" s="10">
        <v>172.0499999999997</v>
      </c>
      <c r="E6" s="10">
        <f>C6-D6</f>
        <v>-70.04999999999973</v>
      </c>
      <c r="F6" s="10">
        <v>96.10000000000028</v>
      </c>
      <c r="G6" s="10">
        <v>0</v>
      </c>
      <c r="H6" s="10">
        <v>96.10000000000028</v>
      </c>
    </row>
  </sheetData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&amp;LCFO bridge&amp;RPage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3C5658"/>
  </sheetPr>
  <dimension ref="A1:L6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12" width="23.7109375" customWidth="1"/>
  </cols>
  <sheetData>
    <row r="1" spans="1:12" ht="9" customHeight="1"/>
    <row r="2" spans="1:12" ht="42" customHeight="1">
      <c r="A2" s="1" t="s">
        <v>14</v>
      </c>
      <c r="B2" s="1"/>
      <c r="C2" s="1"/>
      <c r="D2" s="1"/>
      <c r="E2" s="1"/>
      <c r="F2" s="1"/>
      <c r="G2" s="8"/>
      <c r="H2" s="8"/>
      <c r="I2" s="8"/>
      <c r="J2" s="8"/>
      <c r="K2" s="8"/>
      <c r="L2" s="8"/>
    </row>
    <row r="3" spans="1:12" ht="30" customHeight="1">
      <c r="A3" s="2" t="s">
        <v>65</v>
      </c>
      <c r="B3" s="2"/>
      <c r="C3" s="2"/>
      <c r="D3" s="2"/>
      <c r="E3" s="2"/>
      <c r="F3" s="2"/>
      <c r="G3" s="8"/>
      <c r="H3" s="8"/>
      <c r="I3" s="8"/>
      <c r="J3" s="8"/>
      <c r="K3" s="8"/>
      <c r="L3" s="8"/>
    </row>
    <row r="4" spans="1:12" ht="40" customHeight="1">
      <c r="A4" s="5" t="s">
        <v>105</v>
      </c>
      <c r="B4" s="5" t="s">
        <v>122</v>
      </c>
      <c r="C4" s="5" t="s">
        <v>123</v>
      </c>
      <c r="D4" s="5" t="s">
        <v>124</v>
      </c>
      <c r="E4" s="5" t="s">
        <v>125</v>
      </c>
      <c r="F4" s="5" t="s">
        <v>126</v>
      </c>
      <c r="G4" s="5" t="s">
        <v>127</v>
      </c>
      <c r="H4" s="5" t="s">
        <v>128</v>
      </c>
      <c r="I4" s="5" t="s">
        <v>129</v>
      </c>
      <c r="J4" s="5" t="s">
        <v>130</v>
      </c>
      <c r="K4" s="5" t="s">
        <v>131</v>
      </c>
      <c r="L4" s="5" t="s">
        <v>132</v>
      </c>
    </row>
    <row r="5" spans="1:12" ht="25" customHeight="1">
      <c r="A5" s="6" t="s">
        <v>133</v>
      </c>
      <c r="B5" s="9">
        <v>13442.849</v>
      </c>
      <c r="C5" s="9">
        <v>8617.153</v>
      </c>
      <c r="D5" s="9">
        <v>3294.272</v>
      </c>
      <c r="E5" s="9">
        <v>57.492</v>
      </c>
      <c r="F5" s="9">
        <v>0</v>
      </c>
      <c r="G5" s="9">
        <v>1473.932</v>
      </c>
      <c r="H5" s="9">
        <v>400.409</v>
      </c>
      <c r="I5" s="9">
        <v>1874.341</v>
      </c>
      <c r="J5" s="9">
        <v>782.9200000000001</v>
      </c>
      <c r="K5" s="9">
        <v>10785.588</v>
      </c>
      <c r="L5" s="17">
        <v>0.8</v>
      </c>
    </row>
    <row r="6" spans="1:12" ht="25" customHeight="1">
      <c r="A6" s="3" t="s">
        <v>134</v>
      </c>
      <c r="B6" s="10">
        <v>7988</v>
      </c>
      <c r="C6" s="10">
        <v>5666</v>
      </c>
      <c r="D6" s="10">
        <v>1920</v>
      </c>
      <c r="E6" s="10">
        <v>97</v>
      </c>
      <c r="F6" s="10">
        <v>202</v>
      </c>
      <c r="G6" s="10">
        <v>103</v>
      </c>
      <c r="H6" s="10">
        <v>202</v>
      </c>
      <c r="I6" s="10">
        <v>305</v>
      </c>
      <c r="J6" s="10">
        <v>931</v>
      </c>
      <c r="K6" s="10">
        <v>6752</v>
      </c>
      <c r="L6" s="18">
        <v>0.8</v>
      </c>
    </row>
  </sheetData>
  <autoFilter ref="A4:L6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&amp;LCost reconciliation&amp;RPage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3C5658"/>
  </sheetPr>
  <dimension ref="A1:D6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4" width="23.7109375" customWidth="1"/>
  </cols>
  <sheetData>
    <row r="1" spans="1:4" ht="9" customHeight="1"/>
    <row r="2" spans="1:4" ht="42" customHeight="1">
      <c r="A2" s="1" t="s">
        <v>15</v>
      </c>
      <c r="B2" s="1"/>
      <c r="C2" s="1"/>
      <c r="D2" s="1"/>
    </row>
    <row r="3" spans="1:4" ht="30" customHeight="1">
      <c r="A3" s="2" t="s">
        <v>65</v>
      </c>
      <c r="B3" s="2"/>
      <c r="C3" s="2"/>
      <c r="D3" s="2"/>
    </row>
    <row r="4" spans="1:4" ht="40" customHeight="1">
      <c r="A4" s="5" t="s">
        <v>105</v>
      </c>
      <c r="B4" s="5" t="s">
        <v>135</v>
      </c>
      <c r="C4" s="5" t="s">
        <v>136</v>
      </c>
      <c r="D4" s="5" t="s">
        <v>137</v>
      </c>
    </row>
    <row r="5" spans="1:4" ht="25" customHeight="1">
      <c r="A5" s="6" t="s">
        <v>133</v>
      </c>
      <c r="B5" s="9">
        <v>1200</v>
      </c>
      <c r="C5" s="9">
        <v>800</v>
      </c>
      <c r="D5" s="9">
        <v>400</v>
      </c>
    </row>
    <row r="6" spans="1:4" ht="25" customHeight="1">
      <c r="A6" s="3" t="s">
        <v>134</v>
      </c>
      <c r="B6" s="10">
        <v>300</v>
      </c>
      <c r="C6" s="10">
        <v>240</v>
      </c>
      <c r="D6" s="10">
        <v>60</v>
      </c>
    </row>
  </sheetData>
  <autoFilter ref="A4:D6"/>
  <mergeCells count="2">
    <mergeCell ref="A2:D2"/>
    <mergeCell ref="A3:D3"/>
  </mergeCells>
  <pageMargins left="0.3" right="0.3" top="0.4" bottom="0.4" header="0.3" footer="0.3"/>
  <pageSetup paperSize="9" scale="85" orientation="landscape"/>
  <headerFooter>
    <oddFooter>&amp;LInvestment assumptions&amp;RPage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C5658"/>
  </sheetPr>
  <dimension ref="A1:F31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6" width="23.7109375" customWidth="1"/>
  </cols>
  <sheetData>
    <row r="1" spans="1:6" ht="9" customHeight="1"/>
    <row r="2" spans="1:6" ht="42" customHeight="1">
      <c r="A2" s="1" t="s">
        <v>16</v>
      </c>
      <c r="B2" s="1"/>
      <c r="C2" s="1"/>
      <c r="D2" s="1"/>
      <c r="E2" s="1"/>
      <c r="F2" s="1"/>
    </row>
    <row r="3" spans="1:6" ht="30" customHeight="1">
      <c r="A3" s="2" t="s">
        <v>65</v>
      </c>
      <c r="B3" s="2"/>
      <c r="C3" s="2"/>
      <c r="D3" s="2"/>
      <c r="E3" s="2"/>
      <c r="F3" s="2"/>
    </row>
    <row r="4" spans="1:6" ht="34" customHeight="1">
      <c r="A4" s="5" t="s">
        <v>66</v>
      </c>
      <c r="B4" s="5" t="s">
        <v>138</v>
      </c>
      <c r="C4" s="5" t="s">
        <v>139</v>
      </c>
      <c r="D4" s="5" t="s">
        <v>140</v>
      </c>
      <c r="E4" s="5" t="s">
        <v>141</v>
      </c>
      <c r="F4" s="5" t="s">
        <v>142</v>
      </c>
    </row>
    <row r="5" spans="1:6" ht="40" customHeight="1">
      <c r="A5" s="6" t="s">
        <v>69</v>
      </c>
      <c r="B5" s="9">
        <v>0</v>
      </c>
      <c r="C5" s="9">
        <v>0</v>
      </c>
      <c r="D5" s="9">
        <v>-2654.445817745481</v>
      </c>
      <c r="E5" s="7" t="b">
        <v>0</v>
      </c>
      <c r="F5" s="7" t="s">
        <v>94</v>
      </c>
    </row>
    <row r="6" spans="1:6" ht="40" customHeight="1">
      <c r="A6" s="3" t="s">
        <v>69</v>
      </c>
      <c r="B6" s="10">
        <v>0</v>
      </c>
      <c r="C6" s="10">
        <v>100</v>
      </c>
      <c r="D6" s="10">
        <v>-2751.108778466919</v>
      </c>
      <c r="E6" s="4" t="b">
        <v>0</v>
      </c>
      <c r="F6" s="4" t="s">
        <v>94</v>
      </c>
    </row>
    <row r="7" spans="1:6" ht="40" customHeight="1">
      <c r="A7" s="6" t="s">
        <v>69</v>
      </c>
      <c r="B7" s="9">
        <v>0</v>
      </c>
      <c r="C7" s="9">
        <v>200</v>
      </c>
      <c r="D7" s="9">
        <v>-2847.771739188358</v>
      </c>
      <c r="E7" s="7" t="b">
        <v>0</v>
      </c>
      <c r="F7" s="7" t="s">
        <v>94</v>
      </c>
    </row>
    <row r="8" spans="1:6" ht="40" customHeight="1">
      <c r="A8" s="3" t="s">
        <v>69</v>
      </c>
      <c r="B8" s="10">
        <v>-100</v>
      </c>
      <c r="C8" s="10">
        <v>0</v>
      </c>
      <c r="D8" s="10">
        <v>-3459.067170016553</v>
      </c>
      <c r="E8" s="4" t="b">
        <v>0</v>
      </c>
      <c r="F8" s="4" t="s">
        <v>94</v>
      </c>
    </row>
    <row r="9" spans="1:6" ht="40" customHeight="1">
      <c r="A9" s="6" t="s">
        <v>69</v>
      </c>
      <c r="B9" s="9">
        <v>-100</v>
      </c>
      <c r="C9" s="9">
        <v>100</v>
      </c>
      <c r="D9" s="9">
        <v>-3555.730130737992</v>
      </c>
      <c r="E9" s="7" t="b">
        <v>0</v>
      </c>
      <c r="F9" s="7" t="s">
        <v>94</v>
      </c>
    </row>
    <row r="10" spans="1:6" ht="40" customHeight="1">
      <c r="A10" s="3" t="s">
        <v>69</v>
      </c>
      <c r="B10" s="10">
        <v>-100</v>
      </c>
      <c r="C10" s="10">
        <v>200</v>
      </c>
      <c r="D10" s="10">
        <v>-3652.39309145943</v>
      </c>
      <c r="E10" s="4" t="b">
        <v>0</v>
      </c>
      <c r="F10" s="4" t="s">
        <v>94</v>
      </c>
    </row>
    <row r="11" spans="1:6" ht="40" customHeight="1">
      <c r="A11" s="6" t="s">
        <v>69</v>
      </c>
      <c r="B11" s="9">
        <v>-200</v>
      </c>
      <c r="C11" s="9">
        <v>0</v>
      </c>
      <c r="D11" s="9">
        <v>-4263.688522287634</v>
      </c>
      <c r="E11" s="7" t="b">
        <v>0</v>
      </c>
      <c r="F11" s="7" t="s">
        <v>94</v>
      </c>
    </row>
    <row r="12" spans="1:6" ht="40" customHeight="1">
      <c r="A12" s="3" t="s">
        <v>69</v>
      </c>
      <c r="B12" s="10">
        <v>-200</v>
      </c>
      <c r="C12" s="10">
        <v>100</v>
      </c>
      <c r="D12" s="10">
        <v>-4360.351483009072</v>
      </c>
      <c r="E12" s="4" t="b">
        <v>0</v>
      </c>
      <c r="F12" s="4" t="s">
        <v>94</v>
      </c>
    </row>
    <row r="13" spans="1:6" ht="40" customHeight="1">
      <c r="A13" s="6" t="s">
        <v>69</v>
      </c>
      <c r="B13" s="9">
        <v>-200</v>
      </c>
      <c r="C13" s="9">
        <v>200</v>
      </c>
      <c r="D13" s="9">
        <v>-4457.014443730509</v>
      </c>
      <c r="E13" s="7" t="b">
        <v>0</v>
      </c>
      <c r="F13" s="7" t="s">
        <v>94</v>
      </c>
    </row>
    <row r="14" spans="1:6" ht="40" customHeight="1">
      <c r="A14" s="3" t="s">
        <v>79</v>
      </c>
      <c r="B14" s="10">
        <v>0</v>
      </c>
      <c r="C14" s="10">
        <v>0</v>
      </c>
      <c r="D14" s="10">
        <v>-2590.501599852964</v>
      </c>
      <c r="E14" s="4" t="b">
        <v>0</v>
      </c>
      <c r="F14" s="4" t="s">
        <v>95</v>
      </c>
    </row>
    <row r="15" spans="1:6" ht="40" customHeight="1">
      <c r="A15" s="6" t="s">
        <v>79</v>
      </c>
      <c r="B15" s="9">
        <v>0</v>
      </c>
      <c r="C15" s="9">
        <v>100</v>
      </c>
      <c r="D15" s="9">
        <v>-2671.604861973089</v>
      </c>
      <c r="E15" s="7" t="b">
        <v>0</v>
      </c>
      <c r="F15" s="7" t="s">
        <v>95</v>
      </c>
    </row>
    <row r="16" spans="1:6" ht="40" customHeight="1">
      <c r="A16" s="3" t="s">
        <v>79</v>
      </c>
      <c r="B16" s="10">
        <v>0</v>
      </c>
      <c r="C16" s="10">
        <v>200</v>
      </c>
      <c r="D16" s="10">
        <v>-2740.985836833393</v>
      </c>
      <c r="E16" s="4" t="b">
        <v>0</v>
      </c>
      <c r="F16" s="4" t="s">
        <v>95</v>
      </c>
    </row>
    <row r="17" spans="1:6" ht="40" customHeight="1">
      <c r="A17" s="6" t="s">
        <v>79</v>
      </c>
      <c r="B17" s="9">
        <v>-100</v>
      </c>
      <c r="C17" s="9">
        <v>0</v>
      </c>
      <c r="D17" s="9">
        <v>-3276.36967087946</v>
      </c>
      <c r="E17" s="7" t="b">
        <v>0</v>
      </c>
      <c r="F17" s="7" t="s">
        <v>94</v>
      </c>
    </row>
    <row r="18" spans="1:6" ht="40" customHeight="1">
      <c r="A18" s="3" t="s">
        <v>79</v>
      </c>
      <c r="B18" s="10">
        <v>-100</v>
      </c>
      <c r="C18" s="10">
        <v>100</v>
      </c>
      <c r="D18" s="10">
        <v>-3382.292968184368</v>
      </c>
      <c r="E18" s="4" t="b">
        <v>0</v>
      </c>
      <c r="F18" s="4" t="s">
        <v>94</v>
      </c>
    </row>
    <row r="19" spans="1:6" ht="40" customHeight="1">
      <c r="A19" s="6" t="s">
        <v>79</v>
      </c>
      <c r="B19" s="9">
        <v>-100</v>
      </c>
      <c r="C19" s="9">
        <v>200</v>
      </c>
      <c r="D19" s="9">
        <v>-3488.216265489276</v>
      </c>
      <c r="E19" s="7" t="b">
        <v>0</v>
      </c>
      <c r="F19" s="7" t="s">
        <v>94</v>
      </c>
    </row>
    <row r="20" spans="1:6" ht="40" customHeight="1">
      <c r="A20" s="3" t="s">
        <v>79</v>
      </c>
      <c r="B20" s="10">
        <v>-200</v>
      </c>
      <c r="C20" s="10">
        <v>0</v>
      </c>
      <c r="D20" s="10">
        <v>-4080.99102315054</v>
      </c>
      <c r="E20" s="4" t="b">
        <v>0</v>
      </c>
      <c r="F20" s="4" t="s">
        <v>94</v>
      </c>
    </row>
    <row r="21" spans="1:6" ht="40" customHeight="1">
      <c r="A21" s="6" t="s">
        <v>79</v>
      </c>
      <c r="B21" s="9">
        <v>-200</v>
      </c>
      <c r="C21" s="9">
        <v>100</v>
      </c>
      <c r="D21" s="9">
        <v>-4186.914320455448</v>
      </c>
      <c r="E21" s="7" t="b">
        <v>0</v>
      </c>
      <c r="F21" s="7" t="s">
        <v>94</v>
      </c>
    </row>
    <row r="22" spans="1:6" ht="40" customHeight="1">
      <c r="A22" s="3" t="s">
        <v>79</v>
      </c>
      <c r="B22" s="10">
        <v>-200</v>
      </c>
      <c r="C22" s="10">
        <v>200</v>
      </c>
      <c r="D22" s="10">
        <v>-4292.837617760356</v>
      </c>
      <c r="E22" s="4" t="b">
        <v>0</v>
      </c>
      <c r="F22" s="4" t="s">
        <v>94</v>
      </c>
    </row>
    <row r="23" spans="1:6" ht="40" customHeight="1">
      <c r="A23" s="6" t="s">
        <v>80</v>
      </c>
      <c r="B23" s="9">
        <v>0</v>
      </c>
      <c r="C23" s="9">
        <v>0</v>
      </c>
      <c r="D23" s="9">
        <v>-2365.685725982255</v>
      </c>
      <c r="E23" s="7" t="b">
        <v>0</v>
      </c>
      <c r="F23" s="7" t="s">
        <v>94</v>
      </c>
    </row>
    <row r="24" spans="1:6" ht="40" customHeight="1">
      <c r="A24" s="3" t="s">
        <v>80</v>
      </c>
      <c r="B24" s="10">
        <v>0</v>
      </c>
      <c r="C24" s="10">
        <v>100</v>
      </c>
      <c r="D24" s="10">
        <v>-2419.656013029578</v>
      </c>
      <c r="E24" s="4" t="b">
        <v>0</v>
      </c>
      <c r="F24" s="4" t="s">
        <v>94</v>
      </c>
    </row>
    <row r="25" spans="1:6" ht="40" customHeight="1">
      <c r="A25" s="6" t="s">
        <v>80</v>
      </c>
      <c r="B25" s="9">
        <v>0</v>
      </c>
      <c r="C25" s="9">
        <v>200</v>
      </c>
      <c r="D25" s="9">
        <v>-2473.23653281809</v>
      </c>
      <c r="E25" s="7" t="b">
        <v>0</v>
      </c>
      <c r="F25" s="7" t="s">
        <v>94</v>
      </c>
    </row>
    <row r="26" spans="1:6" ht="40" customHeight="1">
      <c r="A26" s="3" t="s">
        <v>80</v>
      </c>
      <c r="B26" s="10">
        <v>-100</v>
      </c>
      <c r="C26" s="10">
        <v>0</v>
      </c>
      <c r="D26" s="10">
        <v>-3141.479961668178</v>
      </c>
      <c r="E26" s="4" t="b">
        <v>0</v>
      </c>
      <c r="F26" s="4" t="s">
        <v>94</v>
      </c>
    </row>
    <row r="27" spans="1:6" ht="40" customHeight="1">
      <c r="A27" s="6" t="s">
        <v>80</v>
      </c>
      <c r="B27" s="9">
        <v>-100</v>
      </c>
      <c r="C27" s="9">
        <v>100</v>
      </c>
      <c r="D27" s="9">
        <v>-3196.116548555592</v>
      </c>
      <c r="E27" s="7" t="b">
        <v>0</v>
      </c>
      <c r="F27" s="7" t="s">
        <v>94</v>
      </c>
    </row>
    <row r="28" spans="1:6" ht="40" customHeight="1">
      <c r="A28" s="3" t="s">
        <v>80</v>
      </c>
      <c r="B28" s="10">
        <v>-100</v>
      </c>
      <c r="C28" s="10">
        <v>200</v>
      </c>
      <c r="D28" s="10">
        <v>-3250.753135443006</v>
      </c>
      <c r="E28" s="4" t="b">
        <v>0</v>
      </c>
      <c r="F28" s="4" t="s">
        <v>94</v>
      </c>
    </row>
    <row r="29" spans="1:6" ht="40" customHeight="1">
      <c r="A29" s="6" t="s">
        <v>80</v>
      </c>
      <c r="B29" s="9">
        <v>-200</v>
      </c>
      <c r="C29" s="9">
        <v>0</v>
      </c>
      <c r="D29" s="9">
        <v>-3946.101313939258</v>
      </c>
      <c r="E29" s="7" t="b">
        <v>0</v>
      </c>
      <c r="F29" s="7" t="s">
        <v>94</v>
      </c>
    </row>
    <row r="30" spans="1:6" ht="40" customHeight="1">
      <c r="A30" s="3" t="s">
        <v>80</v>
      </c>
      <c r="B30" s="10">
        <v>-200</v>
      </c>
      <c r="C30" s="10">
        <v>100</v>
      </c>
      <c r="D30" s="10">
        <v>-4000.737900826671</v>
      </c>
      <c r="E30" s="4" t="b">
        <v>0</v>
      </c>
      <c r="F30" s="4" t="s">
        <v>94</v>
      </c>
    </row>
    <row r="31" spans="1:6" ht="40" customHeight="1">
      <c r="A31" s="6" t="s">
        <v>80</v>
      </c>
      <c r="B31" s="9">
        <v>-200</v>
      </c>
      <c r="C31" s="9">
        <v>200</v>
      </c>
      <c r="D31" s="9">
        <v>-4055.374487714086</v>
      </c>
      <c r="E31" s="7" t="b">
        <v>0</v>
      </c>
      <c r="F31" s="7" t="s">
        <v>94</v>
      </c>
    </row>
  </sheetData>
  <autoFilter ref="A4:F31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&amp;LJoint credit stress&amp;RPage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3C5658"/>
  </sheetPr>
  <dimension ref="A1:B1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2" width="23.7109375" customWidth="1"/>
  </cols>
  <sheetData>
    <row r="1" spans="1:2" ht="9" customHeight="1"/>
    <row r="2" spans="1:2" ht="42" customHeight="1">
      <c r="A2" s="1" t="s">
        <v>17</v>
      </c>
      <c r="B2" s="1"/>
    </row>
    <row r="3" spans="1:2" ht="38" customHeight="1">
      <c r="A3" s="2" t="s">
        <v>143</v>
      </c>
      <c r="B3" s="2"/>
    </row>
    <row r="4" spans="1:2" ht="34" customHeight="1">
      <c r="A4" s="5" t="s">
        <v>144</v>
      </c>
      <c r="B4" s="5" t="s">
        <v>145</v>
      </c>
    </row>
    <row r="5" spans="1:2" ht="85" customHeight="1">
      <c r="A5" s="6" t="s">
        <v>146</v>
      </c>
      <c r="B5" s="7" t="s">
        <v>147</v>
      </c>
    </row>
    <row r="6" spans="1:2" ht="25" customHeight="1">
      <c r="A6" s="3" t="s">
        <v>148</v>
      </c>
      <c r="B6" s="10">
        <v>100000000</v>
      </c>
    </row>
    <row r="7" spans="1:2" ht="25" customHeight="1">
      <c r="A7" s="6" t="s">
        <v>149</v>
      </c>
      <c r="B7" s="9">
        <v>99.99999999999999</v>
      </c>
    </row>
    <row r="8" spans="1:2" ht="25" customHeight="1">
      <c r="A8" s="3" t="s">
        <v>150</v>
      </c>
      <c r="B8" s="10">
        <v>4.265101418387915</v>
      </c>
    </row>
    <row r="9" spans="1:2" ht="25" customHeight="1">
      <c r="A9" s="6" t="s">
        <v>151</v>
      </c>
      <c r="B9" s="9">
        <v>21.76650117980345</v>
      </c>
    </row>
    <row r="10" spans="1:2" ht="25" customHeight="1">
      <c r="A10" s="3" t="s">
        <v>152</v>
      </c>
      <c r="B10" s="10">
        <v>42651.01418387914</v>
      </c>
    </row>
    <row r="11" spans="1:2" ht="25" customHeight="1">
      <c r="A11" s="6" t="s">
        <v>153</v>
      </c>
      <c r="B11" s="9">
        <v>42651.01418387914</v>
      </c>
    </row>
    <row r="12" spans="1:2" ht="25" customHeight="1">
      <c r="A12" s="3" t="s">
        <v>154</v>
      </c>
      <c r="B12" s="10">
        <v>533</v>
      </c>
    </row>
    <row r="13" spans="1:2" ht="25" customHeight="1">
      <c r="A13" s="6" t="s">
        <v>155</v>
      </c>
      <c r="B13" s="9">
        <v>11.01418387913873</v>
      </c>
    </row>
    <row r="14" spans="1:2" ht="235" customHeight="1">
      <c r="A14" s="3" t="s">
        <v>156</v>
      </c>
      <c r="B14" s="4" t="s">
        <v>157</v>
      </c>
    </row>
  </sheetData>
  <autoFilter ref="A4:B14"/>
  <mergeCells count="2">
    <mergeCell ref="A2:B2"/>
    <mergeCell ref="A3:B3"/>
  </mergeCells>
  <pageMargins left="0.3" right="0.3" top="0.4" bottom="0.4" header="0.3" footer="0.3"/>
  <pageSetup paperSize="9" scale="85" orientation="landscape"/>
  <headerFooter>
    <oddFooter>&amp;LIllustrative bond risk&amp;RPage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3C5658"/>
  </sheetPr>
  <dimension ref="A1:D11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2.7109375" customWidth="1"/>
    <col min="2" max="2" width="36.7109375" customWidth="1"/>
    <col min="3" max="3" width="95.7109375" customWidth="1"/>
    <col min="4" max="4" width="90.7109375" customWidth="1"/>
  </cols>
  <sheetData>
    <row r="1" spans="1:4" ht="9" customHeight="1"/>
    <row r="2" spans="1:4" ht="42" customHeight="1">
      <c r="A2" s="1" t="s">
        <v>158</v>
      </c>
      <c r="B2" s="1"/>
      <c r="C2" s="1"/>
      <c r="D2" s="1"/>
    </row>
    <row r="3" spans="1:4" ht="30" customHeight="1">
      <c r="A3" s="2" t="s">
        <v>159</v>
      </c>
      <c r="B3" s="2"/>
      <c r="C3" s="2"/>
      <c r="D3" s="2"/>
    </row>
    <row r="4" spans="1:4" ht="34" customHeight="1">
      <c r="A4" s="5" t="s">
        <v>160</v>
      </c>
      <c r="B4" s="5" t="s">
        <v>161</v>
      </c>
      <c r="C4" s="5" t="s">
        <v>162</v>
      </c>
      <c r="D4" s="5" t="s">
        <v>163</v>
      </c>
    </row>
    <row r="5" spans="1:4" ht="40" customHeight="1">
      <c r="A5" s="6" t="s">
        <v>20</v>
      </c>
      <c r="B5" s="7" t="s">
        <v>164</v>
      </c>
      <c r="C5" s="7" t="s">
        <v>165</v>
      </c>
      <c r="D5" s="7" t="s">
        <v>166</v>
      </c>
    </row>
    <row r="6" spans="1:4" ht="40" customHeight="1">
      <c r="A6" s="3" t="s">
        <v>167</v>
      </c>
      <c r="B6" s="4" t="s">
        <v>164</v>
      </c>
      <c r="C6" s="4" t="s">
        <v>165</v>
      </c>
      <c r="D6" s="4" t="s">
        <v>166</v>
      </c>
    </row>
    <row r="7" spans="1:4" ht="40" customHeight="1">
      <c r="A7" s="6" t="s">
        <v>168</v>
      </c>
      <c r="B7" s="7" t="s">
        <v>164</v>
      </c>
      <c r="C7" s="7" t="s">
        <v>165</v>
      </c>
      <c r="D7" s="7" t="s">
        <v>166</v>
      </c>
    </row>
    <row r="8" spans="1:4" ht="40" customHeight="1">
      <c r="A8" s="3" t="s">
        <v>169</v>
      </c>
      <c r="B8" s="4" t="s">
        <v>170</v>
      </c>
      <c r="C8" s="4" t="s">
        <v>171</v>
      </c>
      <c r="D8" s="4" t="s">
        <v>166</v>
      </c>
    </row>
    <row r="9" spans="1:4" ht="40" customHeight="1">
      <c r="A9" s="6" t="s">
        <v>172</v>
      </c>
      <c r="B9" s="7" t="s">
        <v>170</v>
      </c>
      <c r="C9" s="7" t="s">
        <v>171</v>
      </c>
      <c r="D9" s="7" t="s">
        <v>166</v>
      </c>
    </row>
    <row r="10" spans="1:4" ht="40" customHeight="1">
      <c r="A10" s="3" t="s">
        <v>173</v>
      </c>
      <c r="B10" s="4" t="s">
        <v>170</v>
      </c>
      <c r="C10" s="4" t="s">
        <v>171</v>
      </c>
      <c r="D10" s="4" t="s">
        <v>166</v>
      </c>
    </row>
    <row r="11" spans="1:4" ht="40" customHeight="1">
      <c r="A11" s="6" t="s">
        <v>174</v>
      </c>
      <c r="B11" s="7" t="s">
        <v>170</v>
      </c>
      <c r="C11" s="7" t="s">
        <v>171</v>
      </c>
      <c r="D11" s="7" t="s">
        <v>166</v>
      </c>
    </row>
  </sheetData>
  <autoFilter ref="A4:D11"/>
  <mergeCells count="2">
    <mergeCell ref="A2:D2"/>
    <mergeCell ref="A3:D3"/>
  </mergeCells>
  <pageMargins left="0.3" right="0.3" top="0.4" bottom="0.4" header="0.3" footer="0.3"/>
  <pageSetup paperSize="9" scale="85" orientation="landscape"/>
  <headerFooter>
    <oddFooter>&amp;LPublic output policy&amp;RPage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3C5658"/>
  </sheetPr>
  <dimension ref="A1:B46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8.7109375" customWidth="1"/>
    <col min="2" max="2" width="80.7109375" customWidth="1"/>
  </cols>
  <sheetData>
    <row r="1" spans="1:2" ht="9" customHeight="1"/>
    <row r="2" spans="1:2" ht="42" customHeight="1">
      <c r="A2" s="1" t="s">
        <v>175</v>
      </c>
      <c r="B2" s="1"/>
    </row>
    <row r="3" spans="1:2" ht="30" customHeight="1">
      <c r="A3" s="2" t="s">
        <v>159</v>
      </c>
      <c r="B3" s="2"/>
    </row>
    <row r="4" spans="1:2" ht="34" customHeight="1">
      <c r="A4" s="5" t="s">
        <v>176</v>
      </c>
      <c r="B4" s="5" t="s">
        <v>145</v>
      </c>
    </row>
    <row r="5" spans="1:2" ht="25" customHeight="1">
      <c r="A5" s="6" t="s">
        <v>177</v>
      </c>
      <c r="B5" s="7" t="s">
        <v>178</v>
      </c>
    </row>
    <row r="6" spans="1:2" ht="25" customHeight="1">
      <c r="A6" s="3" t="s">
        <v>179</v>
      </c>
      <c r="B6" s="19">
        <v>0.75</v>
      </c>
    </row>
    <row r="7" spans="1:2" ht="25" customHeight="1">
      <c r="A7" s="6" t="s">
        <v>180</v>
      </c>
      <c r="B7" s="20">
        <v>1</v>
      </c>
    </row>
    <row r="8" spans="1:2" ht="25" customHeight="1">
      <c r="A8" s="3" t="s">
        <v>181</v>
      </c>
      <c r="B8" s="4" t="s">
        <v>182</v>
      </c>
    </row>
    <row r="9" spans="1:2" ht="25" customHeight="1">
      <c r="A9" s="6" t="s">
        <v>183</v>
      </c>
      <c r="B9" s="7" t="s">
        <v>184</v>
      </c>
    </row>
    <row r="10" spans="1:2" ht="25" customHeight="1">
      <c r="A10" s="3" t="s">
        <v>185</v>
      </c>
      <c r="B10" s="19">
        <v>750</v>
      </c>
    </row>
    <row r="11" spans="1:2" ht="25" customHeight="1">
      <c r="A11" s="6" t="s">
        <v>186</v>
      </c>
      <c r="B11" s="20">
        <v>3</v>
      </c>
    </row>
    <row r="12" spans="1:2" ht="25" customHeight="1">
      <c r="A12" s="3" t="s">
        <v>187</v>
      </c>
      <c r="B12" s="19">
        <v>4</v>
      </c>
    </row>
    <row r="13" spans="1:2" ht="25" customHeight="1">
      <c r="A13" s="6" t="s">
        <v>188</v>
      </c>
      <c r="B13" s="20">
        <v>0.27</v>
      </c>
    </row>
    <row r="14" spans="1:2" ht="25" customHeight="1">
      <c r="A14" s="3" t="s">
        <v>189</v>
      </c>
      <c r="B14" s="19">
        <v>0.045</v>
      </c>
    </row>
    <row r="15" spans="1:2" ht="25" customHeight="1">
      <c r="A15" s="6" t="s">
        <v>190</v>
      </c>
      <c r="B15" s="20">
        <v>0.025</v>
      </c>
    </row>
    <row r="16" spans="1:2" ht="25" customHeight="1">
      <c r="A16" s="3" t="s">
        <v>191</v>
      </c>
      <c r="B16" s="19">
        <v>0.02</v>
      </c>
    </row>
    <row r="17" spans="1:2" ht="25" customHeight="1">
      <c r="A17" s="6" t="s">
        <v>192</v>
      </c>
      <c r="B17" s="20">
        <v>75</v>
      </c>
    </row>
    <row r="18" spans="1:2" ht="25" customHeight="1">
      <c r="A18" s="3" t="s">
        <v>193</v>
      </c>
      <c r="B18" s="19">
        <v>1</v>
      </c>
    </row>
    <row r="19" spans="1:2" ht="25" customHeight="1">
      <c r="A19" s="6" t="s">
        <v>194</v>
      </c>
      <c r="B19" s="20">
        <v>1</v>
      </c>
    </row>
    <row r="20" spans="1:2" ht="25" customHeight="1">
      <c r="A20" s="3" t="s">
        <v>195</v>
      </c>
      <c r="B20" s="19">
        <v>0</v>
      </c>
    </row>
    <row r="21" spans="1:2" ht="25" customHeight="1">
      <c r="A21" s="6" t="s">
        <v>196</v>
      </c>
      <c r="B21" s="20">
        <v>0</v>
      </c>
    </row>
    <row r="22" spans="1:2" ht="25" customHeight="1">
      <c r="A22" s="3" t="s">
        <v>197</v>
      </c>
      <c r="B22" s="19">
        <v>0</v>
      </c>
    </row>
    <row r="23" spans="1:2" ht="25" customHeight="1">
      <c r="A23" s="6" t="s">
        <v>198</v>
      </c>
      <c r="B23" s="20">
        <v>0.044</v>
      </c>
    </row>
    <row r="24" spans="1:2" ht="25" customHeight="1">
      <c r="A24" s="3" t="s">
        <v>199</v>
      </c>
      <c r="B24" s="19">
        <v>4</v>
      </c>
    </row>
    <row r="25" spans="1:2" ht="25" customHeight="1">
      <c r="A25" s="6" t="s">
        <v>200</v>
      </c>
      <c r="B25" s="7" t="s">
        <v>201</v>
      </c>
    </row>
    <row r="26" spans="1:2" ht="25" customHeight="1">
      <c r="A26" s="3" t="s">
        <v>202</v>
      </c>
      <c r="B26" s="19">
        <v>0</v>
      </c>
    </row>
    <row r="27" spans="1:2" ht="25" customHeight="1">
      <c r="A27" s="6" t="s">
        <v>203</v>
      </c>
      <c r="B27" s="20">
        <v>100</v>
      </c>
    </row>
    <row r="28" spans="1:2" ht="25" customHeight="1">
      <c r="A28" s="3" t="s">
        <v>204</v>
      </c>
      <c r="B28" s="19">
        <v>1</v>
      </c>
    </row>
    <row r="29" spans="1:2" ht="25" customHeight="1">
      <c r="A29" s="6" t="s">
        <v>205</v>
      </c>
      <c r="B29" s="7" t="b">
        <v>0</v>
      </c>
    </row>
    <row r="30" spans="1:2" ht="25" customHeight="1">
      <c r="A30" s="3" t="s">
        <v>206</v>
      </c>
      <c r="B30" s="4" t="s">
        <v>207</v>
      </c>
    </row>
    <row r="31" spans="1:2" ht="25" customHeight="1">
      <c r="A31" s="6" t="s">
        <v>208</v>
      </c>
      <c r="B31" s="7" t="s">
        <v>209</v>
      </c>
    </row>
    <row r="32" spans="1:2" ht="25" customHeight="1">
      <c r="A32" s="3" t="s">
        <v>210</v>
      </c>
      <c r="B32" s="4" t="s">
        <v>211</v>
      </c>
    </row>
    <row r="33" spans="1:2" ht="25" customHeight="1">
      <c r="A33" s="6" t="s">
        <v>212</v>
      </c>
      <c r="B33" s="7" t="s">
        <v>213</v>
      </c>
    </row>
    <row r="34" spans="1:2" ht="25" customHeight="1">
      <c r="A34" s="3" t="s">
        <v>214</v>
      </c>
      <c r="B34" s="4" t="s">
        <v>93</v>
      </c>
    </row>
    <row r="35" spans="1:2" ht="25" customHeight="1">
      <c r="A35" s="6" t="s">
        <v>215</v>
      </c>
      <c r="B35" s="7" t="s">
        <v>216</v>
      </c>
    </row>
    <row r="36" spans="1:2" ht="25" customHeight="1">
      <c r="A36" s="3" t="s">
        <v>217</v>
      </c>
      <c r="B36" s="4" t="s">
        <v>218</v>
      </c>
    </row>
    <row r="37" spans="1:2" ht="25" customHeight="1">
      <c r="A37" s="6" t="s">
        <v>219</v>
      </c>
      <c r="B37" s="20">
        <v>1.05</v>
      </c>
    </row>
    <row r="38" spans="1:2" ht="25" customHeight="1">
      <c r="A38" s="3" t="s">
        <v>220</v>
      </c>
      <c r="B38" s="19">
        <v>0.02</v>
      </c>
    </row>
    <row r="39" spans="1:2" ht="25" customHeight="1">
      <c r="A39" s="6" t="s">
        <v>221</v>
      </c>
      <c r="B39" s="20">
        <v>5</v>
      </c>
    </row>
    <row r="40" spans="1:2" ht="25" customHeight="1">
      <c r="A40" s="3" t="s">
        <v>222</v>
      </c>
      <c r="B40" s="19">
        <v>0.02</v>
      </c>
    </row>
    <row r="41" spans="1:2" ht="25" customHeight="1">
      <c r="A41" s="6" t="s">
        <v>223</v>
      </c>
      <c r="B41" s="20">
        <v>2000</v>
      </c>
    </row>
    <row r="42" spans="1:2" ht="25" customHeight="1">
      <c r="A42" s="3" t="s">
        <v>224</v>
      </c>
      <c r="B42" s="19">
        <v>5</v>
      </c>
    </row>
    <row r="43" spans="1:2" ht="25" customHeight="1">
      <c r="A43" s="6" t="s">
        <v>225</v>
      </c>
      <c r="B43" s="7" t="s">
        <v>226</v>
      </c>
    </row>
    <row r="44" spans="1:2" ht="25" customHeight="1">
      <c r="A44" s="3" t="s">
        <v>227</v>
      </c>
      <c r="B44" s="4" t="s">
        <v>228</v>
      </c>
    </row>
    <row r="45" spans="1:2" ht="25" customHeight="1">
      <c r="A45" s="6" t="s">
        <v>229</v>
      </c>
      <c r="B45" s="20">
        <v>200</v>
      </c>
    </row>
    <row r="46" spans="1:2" ht="25" customHeight="1">
      <c r="A46" s="3" t="s">
        <v>230</v>
      </c>
      <c r="B46" s="19">
        <v>0.5</v>
      </c>
    </row>
  </sheetData>
  <autoFilter ref="A4:B46"/>
  <mergeCells count="2">
    <mergeCell ref="A2:B2"/>
    <mergeCell ref="A3:B3"/>
  </mergeCells>
  <pageMargins left="0.3" right="0.3" top="0.4" bottom="0.4" header="0.3" footer="0.3"/>
  <pageSetup paperSize="9" scale="85" orientation="landscape"/>
  <headerFooter>
    <oddFooter>&amp;LPublic assumptions&amp;RPage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3C5658"/>
  </sheetPr>
  <dimension ref="A1:J6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0.7109375" customWidth="1"/>
    <col min="2" max="10" width="23.7109375" customWidth="1"/>
  </cols>
  <sheetData>
    <row r="1" spans="1:10" ht="9" customHeight="1"/>
    <row r="2" spans="1:10" ht="42" customHeight="1">
      <c r="A2" s="1" t="s">
        <v>231</v>
      </c>
      <c r="B2" s="1"/>
      <c r="C2" s="1"/>
      <c r="D2" s="1"/>
      <c r="E2" s="1"/>
      <c r="F2" s="1"/>
      <c r="G2" s="8"/>
      <c r="H2" s="8"/>
      <c r="I2" s="8"/>
      <c r="J2" s="8"/>
    </row>
    <row r="3" spans="1:10" ht="30" customHeight="1">
      <c r="A3" s="2" t="s">
        <v>159</v>
      </c>
      <c r="B3" s="2"/>
      <c r="C3" s="2"/>
      <c r="D3" s="2"/>
      <c r="E3" s="2"/>
      <c r="F3" s="2"/>
      <c r="G3" s="8"/>
      <c r="H3" s="8"/>
      <c r="I3" s="8"/>
      <c r="J3" s="8"/>
    </row>
    <row r="4" spans="1:10" ht="40" customHeight="1">
      <c r="A4" s="5" t="s">
        <v>105</v>
      </c>
      <c r="B4" s="5" t="s">
        <v>232</v>
      </c>
      <c r="C4" s="5" t="s">
        <v>118</v>
      </c>
      <c r="D4" s="5" t="s">
        <v>233</v>
      </c>
      <c r="E4" s="5" t="s">
        <v>234</v>
      </c>
      <c r="F4" s="5" t="s">
        <v>235</v>
      </c>
      <c r="G4" s="5" t="s">
        <v>236</v>
      </c>
      <c r="H4" s="5" t="s">
        <v>119</v>
      </c>
      <c r="I4" s="5" t="s">
        <v>237</v>
      </c>
      <c r="J4" s="5" t="s">
        <v>238</v>
      </c>
    </row>
    <row r="5" spans="1:10" ht="25" customHeight="1">
      <c r="A5" s="6" t="s">
        <v>110</v>
      </c>
      <c r="B5" s="9">
        <v>1689.94</v>
      </c>
      <c r="C5" s="9">
        <v>788.7715500000004</v>
      </c>
      <c r="D5" s="9">
        <v>845.6421598250608</v>
      </c>
      <c r="E5" s="9">
        <v>291.1673650125</v>
      </c>
      <c r="F5" s="9">
        <v>5</v>
      </c>
      <c r="G5" s="9">
        <v>0</v>
      </c>
      <c r="H5" s="9">
        <f>B5+C5-D5-E5-F5-G5</f>
        <v>1336.9020251624397</v>
      </c>
      <c r="I5" s="9">
        <f>MAX(0,H5)*J5</f>
        <v>1002.6765188718298</v>
      </c>
      <c r="J5" s="21">
        <v>0.75</v>
      </c>
    </row>
    <row r="6" spans="1:10" ht="25" customHeight="1">
      <c r="A6" s="3" t="s">
        <v>114</v>
      </c>
      <c r="B6" s="10">
        <v>401</v>
      </c>
      <c r="C6" s="10">
        <v>-70.04999999999973</v>
      </c>
      <c r="D6" s="10">
        <v>231.25</v>
      </c>
      <c r="E6" s="10">
        <v>0</v>
      </c>
      <c r="F6" s="10">
        <v>0</v>
      </c>
      <c r="G6" s="10">
        <v>3.6</v>
      </c>
      <c r="H6" s="10">
        <f>B6+C6-D6-E6-F6-G6</f>
        <v>96.10000000000028</v>
      </c>
      <c r="I6" s="10">
        <f>MAX(0,H6)*J6</f>
        <v>0.0</v>
      </c>
      <c r="J6" s="22">
        <v>0</v>
      </c>
    </row>
  </sheetData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&amp;LProjected closing bridge&amp;RPage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3C5658"/>
  </sheetPr>
  <dimension ref="A1:C8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2" width="55.7109375" customWidth="1"/>
    <col min="3" max="3" width="90.7109375" customWidth="1"/>
  </cols>
  <sheetData>
    <row r="1" spans="1:3" ht="9" customHeight="1"/>
    <row r="2" spans="1:3" ht="42" customHeight="1">
      <c r="A2" s="1" t="s">
        <v>239</v>
      </c>
      <c r="B2" s="1"/>
      <c r="C2" s="1"/>
    </row>
    <row r="3" spans="1:3" ht="30" customHeight="1">
      <c r="A3" s="2" t="s">
        <v>159</v>
      </c>
      <c r="B3" s="2"/>
      <c r="C3" s="2"/>
    </row>
    <row r="4" spans="1:3" ht="34" customHeight="1">
      <c r="A4" s="5" t="s">
        <v>240</v>
      </c>
      <c r="B4" s="5" t="s">
        <v>241</v>
      </c>
      <c r="C4" s="5" t="s">
        <v>145</v>
      </c>
    </row>
    <row r="5" spans="1:3" ht="25" customHeight="1">
      <c r="A5" s="6" t="s">
        <v>69</v>
      </c>
      <c r="B5" s="7" t="s">
        <v>214</v>
      </c>
      <c r="C5" s="7" t="s">
        <v>93</v>
      </c>
    </row>
    <row r="6" spans="1:3" ht="25" customHeight="1">
      <c r="A6" s="3" t="s">
        <v>69</v>
      </c>
      <c r="B6" s="4" t="s">
        <v>242</v>
      </c>
      <c r="C6" s="10">
        <v>2293.453968</v>
      </c>
    </row>
    <row r="7" spans="1:3" ht="25" customHeight="1">
      <c r="A7" s="6" t="s">
        <v>69</v>
      </c>
      <c r="B7" s="7" t="s">
        <v>243</v>
      </c>
      <c r="C7" s="7"/>
    </row>
    <row r="8" spans="1:3" ht="25" customHeight="1">
      <c r="A8" s="3" t="s">
        <v>69</v>
      </c>
      <c r="B8" s="4" t="s">
        <v>244</v>
      </c>
      <c r="C8" s="4"/>
    </row>
    <row r="9" spans="1:3" ht="25" customHeight="1">
      <c r="A9" s="6" t="s">
        <v>69</v>
      </c>
      <c r="B9" s="7" t="s">
        <v>245</v>
      </c>
      <c r="C9" s="7"/>
    </row>
    <row r="10" spans="1:3" ht="25" customHeight="1">
      <c r="A10" s="3" t="s">
        <v>69</v>
      </c>
      <c r="B10" s="4" t="s">
        <v>246</v>
      </c>
      <c r="C10" s="10">
        <v>2293.453968</v>
      </c>
    </row>
    <row r="11" spans="1:3" ht="25" customHeight="1">
      <c r="A11" s="6" t="s">
        <v>69</v>
      </c>
      <c r="B11" s="7" t="s">
        <v>247</v>
      </c>
      <c r="C11" s="9">
        <v>0</v>
      </c>
    </row>
    <row r="12" spans="1:3" ht="25" customHeight="1">
      <c r="A12" s="3" t="s">
        <v>69</v>
      </c>
      <c r="B12" s="4" t="s">
        <v>248</v>
      </c>
      <c r="C12" s="10">
        <v>0</v>
      </c>
    </row>
    <row r="13" spans="1:3" ht="25" customHeight="1">
      <c r="A13" s="6" t="s">
        <v>69</v>
      </c>
      <c r="B13" s="7" t="s">
        <v>249</v>
      </c>
      <c r="C13" s="9">
        <v>0</v>
      </c>
    </row>
    <row r="14" spans="1:3" ht="25" customHeight="1">
      <c r="A14" s="3" t="s">
        <v>69</v>
      </c>
      <c r="B14" s="4" t="s">
        <v>250</v>
      </c>
      <c r="C14" s="10">
        <v>400</v>
      </c>
    </row>
    <row r="15" spans="1:3" ht="25" customHeight="1">
      <c r="A15" s="6" t="s">
        <v>69</v>
      </c>
      <c r="B15" s="7" t="s">
        <v>192</v>
      </c>
      <c r="C15" s="9">
        <v>75</v>
      </c>
    </row>
    <row r="16" spans="1:3" ht="25" customHeight="1">
      <c r="A16" s="3" t="s">
        <v>69</v>
      </c>
      <c r="B16" s="4" t="s">
        <v>251</v>
      </c>
      <c r="C16" s="10">
        <v>53.82724174264292</v>
      </c>
    </row>
    <row r="17" spans="1:3" ht="25" customHeight="1">
      <c r="A17" s="6" t="s">
        <v>69</v>
      </c>
      <c r="B17" s="7" t="s">
        <v>252</v>
      </c>
      <c r="C17" s="9">
        <v>2944.038606003976</v>
      </c>
    </row>
    <row r="18" spans="1:3" ht="25" customHeight="1">
      <c r="A18" s="3" t="s">
        <v>69</v>
      </c>
      <c r="B18" s="4" t="s">
        <v>253</v>
      </c>
      <c r="C18" s="10">
        <v>252.6765188718298</v>
      </c>
    </row>
    <row r="19" spans="1:3" ht="25" customHeight="1">
      <c r="A19" s="6" t="s">
        <v>69</v>
      </c>
      <c r="B19" s="7" t="s">
        <v>254</v>
      </c>
      <c r="C19" s="9">
        <v>2040.77744912817</v>
      </c>
    </row>
    <row r="20" spans="1:3" ht="25" customHeight="1">
      <c r="A20" s="3" t="s">
        <v>69</v>
      </c>
      <c r="B20" s="4" t="s">
        <v>255</v>
      </c>
      <c r="C20" s="10">
        <v>650.5846380039759</v>
      </c>
    </row>
    <row r="21" spans="1:3" ht="25" customHeight="1">
      <c r="A21" s="6" t="s">
        <v>69</v>
      </c>
      <c r="B21" s="7" t="s">
        <v>256</v>
      </c>
      <c r="C21" s="9">
        <v>2691.362087132146</v>
      </c>
    </row>
    <row r="22" spans="1:3" ht="25" customHeight="1">
      <c r="A22" s="3" t="s">
        <v>69</v>
      </c>
      <c r="B22" s="4" t="s">
        <v>257</v>
      </c>
      <c r="C22" s="10">
        <v>1546.4</v>
      </c>
    </row>
    <row r="23" spans="1:3" ht="25" customHeight="1">
      <c r="A23" s="6" t="s">
        <v>69</v>
      </c>
      <c r="B23" s="7" t="s">
        <v>258</v>
      </c>
      <c r="C23" s="9">
        <v>750</v>
      </c>
    </row>
    <row r="24" spans="1:3" ht="25" customHeight="1">
      <c r="A24" s="3" t="s">
        <v>69</v>
      </c>
      <c r="B24" s="4" t="s">
        <v>259</v>
      </c>
      <c r="C24" s="10">
        <v>0</v>
      </c>
    </row>
    <row r="25" spans="1:3" ht="25" customHeight="1">
      <c r="A25" s="6" t="s">
        <v>69</v>
      </c>
      <c r="B25" s="7" t="s">
        <v>260</v>
      </c>
      <c r="C25" s="9">
        <v>4237.762087132146</v>
      </c>
    </row>
    <row r="26" spans="1:3" ht="25" customHeight="1">
      <c r="A26" s="3" t="s">
        <v>69</v>
      </c>
      <c r="B26" s="4" t="s">
        <v>261</v>
      </c>
      <c r="C26" s="10">
        <v>0</v>
      </c>
    </row>
    <row r="27" spans="1:3" ht="25" customHeight="1">
      <c r="A27" s="14" t="s">
        <v>69</v>
      </c>
      <c r="B27" s="15" t="s">
        <v>262</v>
      </c>
      <c r="C27" s="16">
        <v>-4.547473508864641E-13</v>
      </c>
    </row>
    <row r="28" spans="1:3" ht="40" customHeight="1">
      <c r="A28" s="3" t="s">
        <v>69</v>
      </c>
      <c r="B28" s="4" t="s">
        <v>263</v>
      </c>
      <c r="C28" s="4" t="s">
        <v>264</v>
      </c>
    </row>
    <row r="29" spans="1:3" ht="25" customHeight="1">
      <c r="A29" s="6" t="s">
        <v>79</v>
      </c>
      <c r="B29" s="7" t="s">
        <v>214</v>
      </c>
      <c r="C29" s="7" t="s">
        <v>93</v>
      </c>
    </row>
    <row r="30" spans="1:3" ht="25" customHeight="1">
      <c r="A30" s="3" t="s">
        <v>79</v>
      </c>
      <c r="B30" s="4" t="s">
        <v>242</v>
      </c>
      <c r="C30" s="10">
        <v>2293.453968</v>
      </c>
    </row>
    <row r="31" spans="1:3" ht="25" customHeight="1">
      <c r="A31" s="6" t="s">
        <v>79</v>
      </c>
      <c r="B31" s="7" t="s">
        <v>243</v>
      </c>
      <c r="C31" s="7"/>
    </row>
    <row r="32" spans="1:3" ht="25" customHeight="1">
      <c r="A32" s="3" t="s">
        <v>79</v>
      </c>
      <c r="B32" s="4" t="s">
        <v>244</v>
      </c>
      <c r="C32" s="4"/>
    </row>
    <row r="33" spans="1:3" ht="25" customHeight="1">
      <c r="A33" s="6" t="s">
        <v>79</v>
      </c>
      <c r="B33" s="7" t="s">
        <v>245</v>
      </c>
      <c r="C33" s="7"/>
    </row>
    <row r="34" spans="1:3" ht="25" customHeight="1">
      <c r="A34" s="3" t="s">
        <v>79</v>
      </c>
      <c r="B34" s="4" t="s">
        <v>246</v>
      </c>
      <c r="C34" s="10">
        <v>2293.453968</v>
      </c>
    </row>
    <row r="35" spans="1:3" ht="25" customHeight="1">
      <c r="A35" s="6" t="s">
        <v>79</v>
      </c>
      <c r="B35" s="7" t="s">
        <v>247</v>
      </c>
      <c r="C35" s="9">
        <v>0</v>
      </c>
    </row>
    <row r="36" spans="1:3" ht="25" customHeight="1">
      <c r="A36" s="3" t="s">
        <v>79</v>
      </c>
      <c r="B36" s="4" t="s">
        <v>248</v>
      </c>
      <c r="C36" s="10">
        <v>0</v>
      </c>
    </row>
    <row r="37" spans="1:3" ht="25" customHeight="1">
      <c r="A37" s="6" t="s">
        <v>79</v>
      </c>
      <c r="B37" s="7" t="s">
        <v>249</v>
      </c>
      <c r="C37" s="9">
        <v>0</v>
      </c>
    </row>
    <row r="38" spans="1:3" ht="25" customHeight="1">
      <c r="A38" s="3" t="s">
        <v>79</v>
      </c>
      <c r="B38" s="4" t="s">
        <v>250</v>
      </c>
      <c r="C38" s="10">
        <v>400</v>
      </c>
    </row>
    <row r="39" spans="1:3" ht="25" customHeight="1">
      <c r="A39" s="6" t="s">
        <v>79</v>
      </c>
      <c r="B39" s="7" t="s">
        <v>192</v>
      </c>
      <c r="C39" s="9">
        <v>75</v>
      </c>
    </row>
    <row r="40" spans="1:3" ht="25" customHeight="1">
      <c r="A40" s="3" t="s">
        <v>79</v>
      </c>
      <c r="B40" s="4" t="s">
        <v>251</v>
      </c>
      <c r="C40" s="10">
        <v>58.98390539308843</v>
      </c>
    </row>
    <row r="41" spans="1:3" ht="25" customHeight="1">
      <c r="A41" s="6" t="s">
        <v>79</v>
      </c>
      <c r="B41" s="7" t="s">
        <v>252</v>
      </c>
      <c r="C41" s="9">
        <v>2949.195269654421</v>
      </c>
    </row>
    <row r="42" spans="1:3" ht="25" customHeight="1">
      <c r="A42" s="3" t="s">
        <v>79</v>
      </c>
      <c r="B42" s="4" t="s">
        <v>253</v>
      </c>
      <c r="C42" s="10">
        <v>0</v>
      </c>
    </row>
    <row r="43" spans="1:3" ht="25" customHeight="1">
      <c r="A43" s="6" t="s">
        <v>79</v>
      </c>
      <c r="B43" s="7" t="s">
        <v>254</v>
      </c>
      <c r="C43" s="9">
        <v>2293.453968</v>
      </c>
    </row>
    <row r="44" spans="1:3" ht="25" customHeight="1">
      <c r="A44" s="3" t="s">
        <v>79</v>
      </c>
      <c r="B44" s="4" t="s">
        <v>255</v>
      </c>
      <c r="C44" s="10">
        <v>655.7413016544219</v>
      </c>
    </row>
    <row r="45" spans="1:3" ht="25" customHeight="1">
      <c r="A45" s="6" t="s">
        <v>79</v>
      </c>
      <c r="B45" s="7" t="s">
        <v>256</v>
      </c>
      <c r="C45" s="9">
        <v>2949.195269654422</v>
      </c>
    </row>
    <row r="46" spans="1:3" ht="25" customHeight="1">
      <c r="A46" s="3" t="s">
        <v>79</v>
      </c>
      <c r="B46" s="4" t="s">
        <v>257</v>
      </c>
      <c r="C46" s="10">
        <v>1546.4</v>
      </c>
    </row>
    <row r="47" spans="1:3" ht="25" customHeight="1">
      <c r="A47" s="6" t="s">
        <v>79</v>
      </c>
      <c r="B47" s="7" t="s">
        <v>258</v>
      </c>
      <c r="C47" s="9">
        <v>1002.67651887183</v>
      </c>
    </row>
    <row r="48" spans="1:3" ht="25" customHeight="1">
      <c r="A48" s="3" t="s">
        <v>79</v>
      </c>
      <c r="B48" s="4" t="s">
        <v>259</v>
      </c>
      <c r="C48" s="10">
        <v>0</v>
      </c>
    </row>
    <row r="49" spans="1:3" ht="25" customHeight="1">
      <c r="A49" s="6" t="s">
        <v>79</v>
      </c>
      <c r="B49" s="7" t="s">
        <v>260</v>
      </c>
      <c r="C49" s="9">
        <v>4495.595269654422</v>
      </c>
    </row>
    <row r="50" spans="1:3" ht="25" customHeight="1">
      <c r="A50" s="3" t="s">
        <v>79</v>
      </c>
      <c r="B50" s="4" t="s">
        <v>261</v>
      </c>
      <c r="C50" s="10">
        <v>0</v>
      </c>
    </row>
    <row r="51" spans="1:3" ht="25" customHeight="1">
      <c r="A51" s="14" t="s">
        <v>79</v>
      </c>
      <c r="B51" s="15" t="s">
        <v>262</v>
      </c>
      <c r="C51" s="16">
        <v>4.547473508864641E-13</v>
      </c>
    </row>
    <row r="52" spans="1:3" ht="40" customHeight="1">
      <c r="A52" s="3" t="s">
        <v>79</v>
      </c>
      <c r="B52" s="4" t="s">
        <v>263</v>
      </c>
      <c r="C52" s="4" t="s">
        <v>264</v>
      </c>
    </row>
    <row r="53" spans="1:3" ht="25" customHeight="1">
      <c r="A53" s="6" t="s">
        <v>80</v>
      </c>
      <c r="B53" s="7" t="s">
        <v>214</v>
      </c>
      <c r="C53" s="7" t="s">
        <v>93</v>
      </c>
    </row>
    <row r="54" spans="1:3" ht="25" customHeight="1">
      <c r="A54" s="3" t="s">
        <v>80</v>
      </c>
      <c r="B54" s="4" t="s">
        <v>242</v>
      </c>
      <c r="C54" s="10">
        <v>2293.453968</v>
      </c>
    </row>
    <row r="55" spans="1:3" ht="25" customHeight="1">
      <c r="A55" s="6" t="s">
        <v>80</v>
      </c>
      <c r="B55" s="7" t="s">
        <v>243</v>
      </c>
      <c r="C55" s="7"/>
    </row>
    <row r="56" spans="1:3" ht="25" customHeight="1">
      <c r="A56" s="3" t="s">
        <v>80</v>
      </c>
      <c r="B56" s="4" t="s">
        <v>244</v>
      </c>
      <c r="C56" s="4"/>
    </row>
    <row r="57" spans="1:3" ht="25" customHeight="1">
      <c r="A57" s="6" t="s">
        <v>80</v>
      </c>
      <c r="B57" s="7" t="s">
        <v>245</v>
      </c>
      <c r="C57" s="7"/>
    </row>
    <row r="58" spans="1:3" ht="25" customHeight="1">
      <c r="A58" s="3" t="s">
        <v>80</v>
      </c>
      <c r="B58" s="4" t="s">
        <v>246</v>
      </c>
      <c r="C58" s="10">
        <v>1146.726984</v>
      </c>
    </row>
    <row r="59" spans="1:3" ht="25" customHeight="1">
      <c r="A59" s="6" t="s">
        <v>80</v>
      </c>
      <c r="B59" s="7" t="s">
        <v>247</v>
      </c>
      <c r="C59" s="9">
        <v>1116.14759776</v>
      </c>
    </row>
    <row r="60" spans="1:3" ht="25" customHeight="1">
      <c r="A60" s="3" t="s">
        <v>80</v>
      </c>
      <c r="B60" s="4" t="s">
        <v>248</v>
      </c>
      <c r="C60" s="10">
        <v>5.5807379888</v>
      </c>
    </row>
    <row r="61" spans="1:3" ht="25" customHeight="1">
      <c r="A61" s="6" t="s">
        <v>80</v>
      </c>
      <c r="B61" s="7" t="s">
        <v>249</v>
      </c>
      <c r="C61" s="9">
        <v>0.06517517078138706</v>
      </c>
    </row>
    <row r="62" spans="1:3" ht="25" customHeight="1">
      <c r="A62" s="3" t="s">
        <v>80</v>
      </c>
      <c r="B62" s="4" t="s">
        <v>250</v>
      </c>
      <c r="C62" s="10">
        <v>400</v>
      </c>
    </row>
    <row r="63" spans="1:3" ht="25" customHeight="1">
      <c r="A63" s="6" t="s">
        <v>80</v>
      </c>
      <c r="B63" s="7" t="s">
        <v>192</v>
      </c>
      <c r="C63" s="9">
        <v>75</v>
      </c>
    </row>
    <row r="64" spans="1:3" ht="25" customHeight="1">
      <c r="A64" s="3" t="s">
        <v>80</v>
      </c>
      <c r="B64" s="4" t="s">
        <v>251</v>
      </c>
      <c r="C64" s="10">
        <v>30.42465023243884</v>
      </c>
    </row>
    <row r="65" spans="1:3" ht="25" customHeight="1">
      <c r="A65" s="6" t="s">
        <v>80</v>
      </c>
      <c r="B65" s="7" t="s">
        <v>252</v>
      </c>
      <c r="C65" s="9">
        <v>1773.909030493772</v>
      </c>
    </row>
    <row r="66" spans="1:3" ht="25" customHeight="1">
      <c r="A66" s="3" t="s">
        <v>80</v>
      </c>
      <c r="B66" s="4" t="s">
        <v>253</v>
      </c>
      <c r="C66" s="10">
        <v>252.6765188718298</v>
      </c>
    </row>
    <row r="67" spans="1:3" ht="25" customHeight="1">
      <c r="A67" s="6" t="s">
        <v>80</v>
      </c>
      <c r="B67" s="7" t="s">
        <v>254</v>
      </c>
      <c r="C67" s="9">
        <v>894.0504651281701</v>
      </c>
    </row>
    <row r="68" spans="1:3" ht="25" customHeight="1">
      <c r="A68" s="3" t="s">
        <v>80</v>
      </c>
      <c r="B68" s="4" t="s">
        <v>255</v>
      </c>
      <c r="C68" s="10">
        <v>627.1820464937721</v>
      </c>
    </row>
    <row r="69" spans="1:3" ht="25" customHeight="1">
      <c r="A69" s="6" t="s">
        <v>80</v>
      </c>
      <c r="B69" s="7" t="s">
        <v>256</v>
      </c>
      <c r="C69" s="9">
        <v>1521.232511621942</v>
      </c>
    </row>
    <row r="70" spans="1:3" ht="25" customHeight="1">
      <c r="A70" s="3" t="s">
        <v>80</v>
      </c>
      <c r="B70" s="4" t="s">
        <v>257</v>
      </c>
      <c r="C70" s="10">
        <v>1546.4</v>
      </c>
    </row>
    <row r="71" spans="1:3" ht="25" customHeight="1">
      <c r="A71" s="6" t="s">
        <v>80</v>
      </c>
      <c r="B71" s="7" t="s">
        <v>258</v>
      </c>
      <c r="C71" s="9">
        <v>750</v>
      </c>
    </row>
    <row r="72" spans="1:3" ht="25" customHeight="1">
      <c r="A72" s="3" t="s">
        <v>80</v>
      </c>
      <c r="B72" s="4" t="s">
        <v>259</v>
      </c>
      <c r="C72" s="10">
        <v>0</v>
      </c>
    </row>
    <row r="73" spans="1:3" ht="25" customHeight="1">
      <c r="A73" s="6" t="s">
        <v>80</v>
      </c>
      <c r="B73" s="7" t="s">
        <v>260</v>
      </c>
      <c r="C73" s="9">
        <v>3067.632511621942</v>
      </c>
    </row>
    <row r="74" spans="1:3" ht="25" customHeight="1">
      <c r="A74" s="3" t="s">
        <v>80</v>
      </c>
      <c r="B74" s="4" t="s">
        <v>261</v>
      </c>
      <c r="C74" s="10">
        <v>0</v>
      </c>
    </row>
    <row r="75" spans="1:3" ht="25" customHeight="1">
      <c r="A75" s="14" t="s">
        <v>80</v>
      </c>
      <c r="B75" s="15" t="s">
        <v>262</v>
      </c>
      <c r="C75" s="16">
        <v>0</v>
      </c>
    </row>
    <row r="76" spans="1:3" ht="40" customHeight="1">
      <c r="A76" s="3" t="s">
        <v>80</v>
      </c>
      <c r="B76" s="4" t="s">
        <v>263</v>
      </c>
      <c r="C76" s="4" t="s">
        <v>264</v>
      </c>
    </row>
    <row r="77" spans="1:3" ht="25" customHeight="1">
      <c r="A77" s="6" t="s">
        <v>265</v>
      </c>
      <c r="B77" s="7" t="s">
        <v>266</v>
      </c>
      <c r="C77" s="9">
        <v>4.264334928</v>
      </c>
    </row>
    <row r="78" spans="1:3" ht="25" customHeight="1">
      <c r="A78" s="3" t="s">
        <v>265</v>
      </c>
      <c r="B78" s="4" t="s">
        <v>267</v>
      </c>
      <c r="C78" s="10">
        <v>109.074062928</v>
      </c>
    </row>
    <row r="79" spans="1:3" ht="25" customHeight="1">
      <c r="A79" s="6" t="s">
        <v>265</v>
      </c>
      <c r="B79" s="7" t="s">
        <v>268</v>
      </c>
      <c r="C79" s="9">
        <v>109.074062928</v>
      </c>
    </row>
    <row r="80" spans="1:3" ht="25" customHeight="1">
      <c r="A80" s="3" t="s">
        <v>265</v>
      </c>
      <c r="B80" s="4" t="s">
        <v>269</v>
      </c>
      <c r="C80" s="10">
        <v>400</v>
      </c>
    </row>
    <row r="81" spans="1:3" ht="25" customHeight="1">
      <c r="A81" s="6" t="s">
        <v>265</v>
      </c>
      <c r="B81" s="7" t="s">
        <v>270</v>
      </c>
      <c r="C81" s="9">
        <v>4.000000000000004</v>
      </c>
    </row>
    <row r="82" spans="1:3" ht="25" customHeight="1">
      <c r="A82" s="3" t="s">
        <v>265</v>
      </c>
      <c r="B82" s="4" t="s">
        <v>271</v>
      </c>
      <c r="C82" s="10">
        <v>1.333333333333333</v>
      </c>
    </row>
    <row r="83" spans="1:3" ht="25" customHeight="1">
      <c r="A83" s="6" t="s">
        <v>265</v>
      </c>
      <c r="B83" s="7" t="s">
        <v>272</v>
      </c>
      <c r="C83" s="9">
        <v>7.350000000000001</v>
      </c>
    </row>
    <row r="84" spans="1:3" ht="25" customHeight="1">
      <c r="A84" s="3" t="s">
        <v>265</v>
      </c>
      <c r="B84" s="4" t="s">
        <v>192</v>
      </c>
      <c r="C84" s="10">
        <v>75</v>
      </c>
    </row>
    <row r="85" spans="1:3" ht="25" customHeight="1">
      <c r="A85" s="6" t="s">
        <v>265</v>
      </c>
      <c r="B85" s="7" t="s">
        <v>196</v>
      </c>
      <c r="C85" s="9">
        <v>0</v>
      </c>
    </row>
    <row r="86" spans="1:3" ht="25" customHeight="1">
      <c r="A86" s="3" t="s">
        <v>265</v>
      </c>
      <c r="B86" s="4" t="s">
        <v>197</v>
      </c>
      <c r="C86" s="10">
        <v>0</v>
      </c>
    </row>
    <row r="87" spans="1:3" ht="25" customHeight="1">
      <c r="A87" s="6" t="s">
        <v>265</v>
      </c>
      <c r="B87" s="7" t="s">
        <v>273</v>
      </c>
      <c r="C87" s="9">
        <v>0</v>
      </c>
    </row>
    <row r="88" spans="1:3" ht="25" customHeight="1">
      <c r="A88" s="3" t="s">
        <v>265</v>
      </c>
      <c r="B88" s="4" t="s">
        <v>274</v>
      </c>
      <c r="C88" s="10">
        <v>0</v>
      </c>
    </row>
    <row r="89" spans="1:3" ht="25" customHeight="1">
      <c r="A89" s="6" t="s">
        <v>265</v>
      </c>
      <c r="B89" s="7" t="s">
        <v>275</v>
      </c>
      <c r="C89" s="9">
        <v>196.7573962613333</v>
      </c>
    </row>
  </sheetData>
  <autoFilter ref="A4:C89"/>
  <mergeCells count="2">
    <mergeCell ref="A2:C2"/>
    <mergeCell ref="A3:C3"/>
  </mergeCells>
  <pageMargins left="0.3" right="0.3" top="0.4" bottom="0.4" header="0.3" footer="0.3"/>
  <pageSetup paperSize="9" scale="85" orientation="landscape"/>
  <headerFooter>
    <oddFooter>&amp;LPublic sources and uses&amp;RPage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3C5658"/>
  </sheetPr>
  <dimension ref="A1:P3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0.7109375" customWidth="1"/>
    <col min="2" max="16" width="23.7109375" customWidth="1"/>
  </cols>
  <sheetData>
    <row r="1" spans="1:16" ht="9" customHeight="1"/>
    <row r="2" spans="1:16" ht="42" customHeight="1">
      <c r="A2" s="1" t="s">
        <v>276</v>
      </c>
      <c r="B2" s="1"/>
      <c r="C2" s="1"/>
      <c r="D2" s="1"/>
      <c r="E2" s="1"/>
      <c r="F2" s="1"/>
      <c r="G2" s="8"/>
      <c r="H2" s="8"/>
      <c r="I2" s="8"/>
      <c r="J2" s="8"/>
      <c r="K2" s="8"/>
      <c r="L2" s="8"/>
      <c r="M2" s="8"/>
      <c r="N2" s="8"/>
      <c r="O2" s="8"/>
      <c r="P2" s="8"/>
    </row>
    <row r="3" spans="1:16" ht="30" customHeight="1">
      <c r="A3" s="2" t="s">
        <v>159</v>
      </c>
      <c r="B3" s="2"/>
      <c r="C3" s="2"/>
      <c r="D3" s="2"/>
      <c r="E3" s="2"/>
      <c r="F3" s="2"/>
      <c r="G3" s="8"/>
      <c r="H3" s="8"/>
      <c r="I3" s="8"/>
      <c r="J3" s="8"/>
      <c r="K3" s="8"/>
      <c r="L3" s="8"/>
      <c r="M3" s="8"/>
      <c r="N3" s="8"/>
      <c r="O3" s="8"/>
      <c r="P3" s="8"/>
    </row>
    <row r="4" spans="1:16" ht="34" customHeight="1">
      <c r="A4" s="5" t="s">
        <v>66</v>
      </c>
      <c r="B4" s="5" t="s">
        <v>105</v>
      </c>
      <c r="C4" s="5" t="s">
        <v>277</v>
      </c>
      <c r="D4" s="5" t="s">
        <v>278</v>
      </c>
      <c r="E4" s="5" t="s">
        <v>279</v>
      </c>
      <c r="F4" s="5" t="s">
        <v>280</v>
      </c>
      <c r="G4" s="5" t="s">
        <v>281</v>
      </c>
      <c r="H4" s="5" t="s">
        <v>282</v>
      </c>
      <c r="I4" s="5" t="s">
        <v>283</v>
      </c>
      <c r="J4" s="5" t="s">
        <v>284</v>
      </c>
      <c r="K4" s="5" t="s">
        <v>285</v>
      </c>
      <c r="L4" s="5" t="s">
        <v>286</v>
      </c>
      <c r="M4" s="5" t="s">
        <v>287</v>
      </c>
      <c r="N4" s="5" t="s">
        <v>288</v>
      </c>
      <c r="O4" s="5" t="s">
        <v>289</v>
      </c>
      <c r="P4" s="5" t="s">
        <v>290</v>
      </c>
    </row>
    <row r="5" spans="1:16" ht="25" customHeight="1">
      <c r="A5" s="6" t="s">
        <v>69</v>
      </c>
      <c r="B5" s="7" t="s">
        <v>133</v>
      </c>
      <c r="C5" s="23">
        <v>1</v>
      </c>
      <c r="D5" s="9">
        <v>13711.70598</v>
      </c>
      <c r="E5" s="9">
        <v>8801.039808</v>
      </c>
      <c r="F5" s="9">
        <v>0</v>
      </c>
      <c r="G5" s="9">
        <v>2200.259952</v>
      </c>
      <c r="H5" s="9">
        <v>798.5784000000001</v>
      </c>
      <c r="I5" s="9">
        <v>1911.827820000001</v>
      </c>
      <c r="J5" s="9">
        <v>408.41718</v>
      </c>
      <c r="K5" s="9">
        <v>1503.410640000001</v>
      </c>
      <c r="L5" s="9">
        <v>1224</v>
      </c>
      <c r="M5" s="9">
        <v>3416.826599999999</v>
      </c>
      <c r="N5" s="9">
        <v>218.535</v>
      </c>
      <c r="O5" s="9">
        <v>1527.69786</v>
      </c>
      <c r="P5" s="9">
        <v>2107.663739999999</v>
      </c>
    </row>
    <row r="6" spans="1:16" ht="25" customHeight="1">
      <c r="A6" s="3" t="s">
        <v>69</v>
      </c>
      <c r="B6" s="4" t="s">
        <v>133</v>
      </c>
      <c r="C6" s="24">
        <v>2</v>
      </c>
      <c r="D6" s="10">
        <v>13985.9400996</v>
      </c>
      <c r="E6" s="10">
        <v>8977.06060416</v>
      </c>
      <c r="F6" s="10">
        <v>0</v>
      </c>
      <c r="G6" s="10">
        <v>2244.26515104</v>
      </c>
      <c r="H6" s="10">
        <v>814.549968</v>
      </c>
      <c r="I6" s="10">
        <v>1950.0643764</v>
      </c>
      <c r="J6" s="10">
        <v>416.5855236</v>
      </c>
      <c r="K6" s="10">
        <v>1533.4788528</v>
      </c>
      <c r="L6" s="10">
        <v>1248.48</v>
      </c>
      <c r="M6" s="10">
        <v>3485.163132</v>
      </c>
      <c r="N6" s="10">
        <v>222.9057</v>
      </c>
      <c r="O6" s="10">
        <v>1558.2518172</v>
      </c>
      <c r="P6" s="10">
        <v>2149.8170148</v>
      </c>
    </row>
    <row r="7" spans="1:16" ht="25" customHeight="1">
      <c r="A7" s="6" t="s">
        <v>69</v>
      </c>
      <c r="B7" s="7" t="s">
        <v>133</v>
      </c>
      <c r="C7" s="23">
        <v>3</v>
      </c>
      <c r="D7" s="9">
        <v>14265.658901592</v>
      </c>
      <c r="E7" s="9">
        <v>9156.601816243199</v>
      </c>
      <c r="F7" s="9">
        <v>0</v>
      </c>
      <c r="G7" s="9">
        <v>2289.1504540608</v>
      </c>
      <c r="H7" s="9">
        <v>830.8409673600001</v>
      </c>
      <c r="I7" s="9">
        <v>1989.065663928</v>
      </c>
      <c r="J7" s="9">
        <v>424.917234072</v>
      </c>
      <c r="K7" s="9">
        <v>1564.148429856</v>
      </c>
      <c r="L7" s="9">
        <v>1273.4496</v>
      </c>
      <c r="M7" s="9">
        <v>3554.866394639999</v>
      </c>
      <c r="N7" s="9">
        <v>227.3638139999999</v>
      </c>
      <c r="O7" s="9">
        <v>1589.416853544</v>
      </c>
      <c r="P7" s="9">
        <v>2192.813355095999</v>
      </c>
    </row>
    <row r="8" spans="1:16" ht="25" customHeight="1">
      <c r="A8" s="3" t="s">
        <v>69</v>
      </c>
      <c r="B8" s="4" t="s">
        <v>133</v>
      </c>
      <c r="C8" s="24">
        <v>4</v>
      </c>
      <c r="D8" s="10">
        <v>14550.97207962384</v>
      </c>
      <c r="E8" s="10">
        <v>9339.733852568064</v>
      </c>
      <c r="F8" s="10">
        <v>0</v>
      </c>
      <c r="G8" s="10">
        <v>2334.933463142016</v>
      </c>
      <c r="H8" s="10">
        <v>847.4577867072001</v>
      </c>
      <c r="I8" s="10">
        <v>2028.846977206559</v>
      </c>
      <c r="J8" s="10">
        <v>433.4155787534399</v>
      </c>
      <c r="K8" s="10">
        <v>1595.43139845312</v>
      </c>
      <c r="L8" s="10">
        <v>1298.918592</v>
      </c>
      <c r="M8" s="10">
        <v>3625.963722532799</v>
      </c>
      <c r="N8" s="10">
        <v>231.9110902799999</v>
      </c>
      <c r="O8" s="10">
        <v>1621.20519061488</v>
      </c>
      <c r="P8" s="10">
        <v>2236.669622197919</v>
      </c>
    </row>
    <row r="9" spans="1:16" ht="25" customHeight="1">
      <c r="A9" s="6" t="s">
        <v>69</v>
      </c>
      <c r="B9" s="7" t="s">
        <v>133</v>
      </c>
      <c r="C9" s="23">
        <v>5</v>
      </c>
      <c r="D9" s="9">
        <v>14841.99152121632</v>
      </c>
      <c r="E9" s="9">
        <v>9526.528529619425</v>
      </c>
      <c r="F9" s="9">
        <v>0</v>
      </c>
      <c r="G9" s="9">
        <v>2381.632132404856</v>
      </c>
      <c r="H9" s="9">
        <v>864.4069424413441</v>
      </c>
      <c r="I9" s="9">
        <v>2069.423916750692</v>
      </c>
      <c r="J9" s="9">
        <v>442.0838903285088</v>
      </c>
      <c r="K9" s="9">
        <v>1627.340026422183</v>
      </c>
      <c r="L9" s="9">
        <v>1324.89696384</v>
      </c>
      <c r="M9" s="9">
        <v>3698.482996983455</v>
      </c>
      <c r="N9" s="9">
        <v>236.5493120856</v>
      </c>
      <c r="O9" s="9">
        <v>1653.629294427177</v>
      </c>
      <c r="P9" s="9">
        <v>2281.403014641878</v>
      </c>
    </row>
    <row r="10" spans="1:16" ht="25" customHeight="1">
      <c r="A10" s="3" t="s">
        <v>69</v>
      </c>
      <c r="B10" s="4" t="s">
        <v>134</v>
      </c>
      <c r="C10" s="24">
        <v>1</v>
      </c>
      <c r="D10" s="10">
        <v>7588.599999999999</v>
      </c>
      <c r="E10" s="10">
        <v>5131.52</v>
      </c>
      <c r="F10" s="10">
        <v>0</v>
      </c>
      <c r="G10" s="10">
        <v>1377.408</v>
      </c>
      <c r="H10" s="10">
        <v>949.62</v>
      </c>
      <c r="I10" s="10">
        <v>130.0520000000002</v>
      </c>
      <c r="J10" s="10">
        <v>191.9</v>
      </c>
      <c r="K10" s="10">
        <v>-61.84799999999973</v>
      </c>
      <c r="L10" s="10">
        <v>285</v>
      </c>
      <c r="M10" s="10">
        <v>1448.75</v>
      </c>
      <c r="N10" s="10">
        <v>148.2</v>
      </c>
      <c r="O10" s="10">
        <v>359.1</v>
      </c>
      <c r="P10" s="10">
        <v>1237.85</v>
      </c>
    </row>
    <row r="11" spans="1:16" ht="25" customHeight="1">
      <c r="A11" s="6" t="s">
        <v>69</v>
      </c>
      <c r="B11" s="7" t="s">
        <v>134</v>
      </c>
      <c r="C11" s="23">
        <v>2</v>
      </c>
      <c r="D11" s="9">
        <v>7588.599999999999</v>
      </c>
      <c r="E11" s="9">
        <v>5131.52</v>
      </c>
      <c r="F11" s="9">
        <v>0</v>
      </c>
      <c r="G11" s="9">
        <v>1404.956159999999</v>
      </c>
      <c r="H11" s="9">
        <v>968.6124</v>
      </c>
      <c r="I11" s="9">
        <v>83.51144000000045</v>
      </c>
      <c r="J11" s="9">
        <v>191.9</v>
      </c>
      <c r="K11" s="9">
        <v>-108.3885599999995</v>
      </c>
      <c r="L11" s="9">
        <v>285</v>
      </c>
      <c r="M11" s="9">
        <v>1448.75</v>
      </c>
      <c r="N11" s="9">
        <v>148.2</v>
      </c>
      <c r="O11" s="9">
        <v>359.1</v>
      </c>
      <c r="P11" s="9">
        <v>1237.85</v>
      </c>
    </row>
    <row r="12" spans="1:16" ht="25" customHeight="1">
      <c r="A12" s="3" t="s">
        <v>69</v>
      </c>
      <c r="B12" s="4" t="s">
        <v>134</v>
      </c>
      <c r="C12" s="24">
        <v>3</v>
      </c>
      <c r="D12" s="10">
        <v>7740.371999999999</v>
      </c>
      <c r="E12" s="10">
        <v>5234.1504</v>
      </c>
      <c r="F12" s="10">
        <v>0</v>
      </c>
      <c r="G12" s="10">
        <v>1433.0552832</v>
      </c>
      <c r="H12" s="10">
        <v>987.9846480000001</v>
      </c>
      <c r="I12" s="10">
        <v>85.1816687999999</v>
      </c>
      <c r="J12" s="10">
        <v>195.738</v>
      </c>
      <c r="K12" s="10">
        <v>-110.5563312000001</v>
      </c>
      <c r="L12" s="10">
        <v>290.7</v>
      </c>
      <c r="M12" s="10">
        <v>1477.725</v>
      </c>
      <c r="N12" s="10">
        <v>151.164</v>
      </c>
      <c r="O12" s="10">
        <v>366.282</v>
      </c>
      <c r="P12" s="10">
        <v>1262.607</v>
      </c>
    </row>
    <row r="13" spans="1:16" ht="25" customHeight="1">
      <c r="A13" s="6" t="s">
        <v>69</v>
      </c>
      <c r="B13" s="7" t="s">
        <v>134</v>
      </c>
      <c r="C13" s="23">
        <v>4</v>
      </c>
      <c r="D13" s="9">
        <v>7895.17944</v>
      </c>
      <c r="E13" s="9">
        <v>5338.833408</v>
      </c>
      <c r="F13" s="9">
        <v>0</v>
      </c>
      <c r="G13" s="9">
        <v>1461.716388864</v>
      </c>
      <c r="H13" s="9">
        <v>1007.74434096</v>
      </c>
      <c r="I13" s="9">
        <v>86.88530217599998</v>
      </c>
      <c r="J13" s="9">
        <v>199.65276</v>
      </c>
      <c r="K13" s="9">
        <v>-112.767457824</v>
      </c>
      <c r="L13" s="9">
        <v>296.514</v>
      </c>
      <c r="M13" s="9">
        <v>1507.2795</v>
      </c>
      <c r="N13" s="9">
        <v>154.18728</v>
      </c>
      <c r="O13" s="9">
        <v>373.60764</v>
      </c>
      <c r="P13" s="9">
        <v>1287.85914</v>
      </c>
    </row>
    <row r="14" spans="1:16" ht="25" customHeight="1">
      <c r="A14" s="3" t="s">
        <v>69</v>
      </c>
      <c r="B14" s="4" t="s">
        <v>134</v>
      </c>
      <c r="C14" s="24">
        <v>5</v>
      </c>
      <c r="D14" s="10">
        <v>8053.0830288</v>
      </c>
      <c r="E14" s="10">
        <v>5445.61007616</v>
      </c>
      <c r="F14" s="10">
        <v>0</v>
      </c>
      <c r="G14" s="10">
        <v>1490.95071664128</v>
      </c>
      <c r="H14" s="10">
        <v>1027.8992277792</v>
      </c>
      <c r="I14" s="10">
        <v>88.62300821952022</v>
      </c>
      <c r="J14" s="10">
        <v>203.6458152</v>
      </c>
      <c r="K14" s="10">
        <v>-115.0228069804798</v>
      </c>
      <c r="L14" s="10">
        <v>302.44428</v>
      </c>
      <c r="M14" s="10">
        <v>1537.42509</v>
      </c>
      <c r="N14" s="10">
        <v>157.2710256</v>
      </c>
      <c r="O14" s="10">
        <v>381.0797928000001</v>
      </c>
      <c r="P14" s="10">
        <v>1313.6163228</v>
      </c>
    </row>
    <row r="15" spans="1:16" ht="25" customHeight="1">
      <c r="A15" s="6" t="s">
        <v>79</v>
      </c>
      <c r="B15" s="7" t="s">
        <v>133</v>
      </c>
      <c r="C15" s="23">
        <v>1</v>
      </c>
      <c r="D15" s="9">
        <v>13711.70598</v>
      </c>
      <c r="E15" s="9">
        <v>8801.039808</v>
      </c>
      <c r="F15" s="9">
        <v>0</v>
      </c>
      <c r="G15" s="9">
        <v>2200.259952</v>
      </c>
      <c r="H15" s="9">
        <v>798.5784000000001</v>
      </c>
      <c r="I15" s="9">
        <v>1911.827820000001</v>
      </c>
      <c r="J15" s="9">
        <v>408.41718</v>
      </c>
      <c r="K15" s="9">
        <v>1503.410640000001</v>
      </c>
      <c r="L15" s="9">
        <v>1224</v>
      </c>
      <c r="M15" s="9">
        <v>3416.826599999999</v>
      </c>
      <c r="N15" s="9">
        <v>218.535</v>
      </c>
      <c r="O15" s="9">
        <v>1527.69786</v>
      </c>
      <c r="P15" s="9">
        <v>2107.663739999999</v>
      </c>
    </row>
    <row r="16" spans="1:16" ht="25" customHeight="1">
      <c r="A16" s="3" t="s">
        <v>79</v>
      </c>
      <c r="B16" s="4" t="s">
        <v>133</v>
      </c>
      <c r="C16" s="24">
        <v>2</v>
      </c>
      <c r="D16" s="10">
        <v>13985.9400996</v>
      </c>
      <c r="E16" s="10">
        <v>8977.06060416</v>
      </c>
      <c r="F16" s="10">
        <v>0</v>
      </c>
      <c r="G16" s="10">
        <v>2244.26515104</v>
      </c>
      <c r="H16" s="10">
        <v>814.549968</v>
      </c>
      <c r="I16" s="10">
        <v>1950.0643764</v>
      </c>
      <c r="J16" s="10">
        <v>416.5855236</v>
      </c>
      <c r="K16" s="10">
        <v>1533.4788528</v>
      </c>
      <c r="L16" s="10">
        <v>1248.48</v>
      </c>
      <c r="M16" s="10">
        <v>3485.163132</v>
      </c>
      <c r="N16" s="10">
        <v>222.9057</v>
      </c>
      <c r="O16" s="10">
        <v>1558.2518172</v>
      </c>
      <c r="P16" s="10">
        <v>2149.8170148</v>
      </c>
    </row>
    <row r="17" spans="1:16" ht="25" customHeight="1">
      <c r="A17" s="6" t="s">
        <v>79</v>
      </c>
      <c r="B17" s="7" t="s">
        <v>133</v>
      </c>
      <c r="C17" s="23">
        <v>3</v>
      </c>
      <c r="D17" s="9">
        <v>14265.658901592</v>
      </c>
      <c r="E17" s="9">
        <v>9156.601816243199</v>
      </c>
      <c r="F17" s="9">
        <v>0</v>
      </c>
      <c r="G17" s="9">
        <v>2289.1504540608</v>
      </c>
      <c r="H17" s="9">
        <v>830.8409673600001</v>
      </c>
      <c r="I17" s="9">
        <v>1989.065663928</v>
      </c>
      <c r="J17" s="9">
        <v>424.917234072</v>
      </c>
      <c r="K17" s="9">
        <v>1564.148429856</v>
      </c>
      <c r="L17" s="9">
        <v>1273.4496</v>
      </c>
      <c r="M17" s="9">
        <v>3554.866394639999</v>
      </c>
      <c r="N17" s="9">
        <v>227.3638139999999</v>
      </c>
      <c r="O17" s="9">
        <v>1589.416853544</v>
      </c>
      <c r="P17" s="9">
        <v>2192.813355095999</v>
      </c>
    </row>
    <row r="18" spans="1:16" ht="25" customHeight="1">
      <c r="A18" s="3" t="s">
        <v>79</v>
      </c>
      <c r="B18" s="4" t="s">
        <v>133</v>
      </c>
      <c r="C18" s="24">
        <v>4</v>
      </c>
      <c r="D18" s="10">
        <v>14550.97207962384</v>
      </c>
      <c r="E18" s="10">
        <v>9339.733852568064</v>
      </c>
      <c r="F18" s="10">
        <v>0</v>
      </c>
      <c r="G18" s="10">
        <v>2334.933463142016</v>
      </c>
      <c r="H18" s="10">
        <v>847.4577867072001</v>
      </c>
      <c r="I18" s="10">
        <v>2028.846977206559</v>
      </c>
      <c r="J18" s="10">
        <v>433.4155787534399</v>
      </c>
      <c r="K18" s="10">
        <v>1595.43139845312</v>
      </c>
      <c r="L18" s="10">
        <v>1298.918592</v>
      </c>
      <c r="M18" s="10">
        <v>3625.963722532799</v>
      </c>
      <c r="N18" s="10">
        <v>231.9110902799999</v>
      </c>
      <c r="O18" s="10">
        <v>1621.20519061488</v>
      </c>
      <c r="P18" s="10">
        <v>2236.669622197919</v>
      </c>
    </row>
    <row r="19" spans="1:16" ht="25" customHeight="1">
      <c r="A19" s="6" t="s">
        <v>79</v>
      </c>
      <c r="B19" s="7" t="s">
        <v>133</v>
      </c>
      <c r="C19" s="23">
        <v>5</v>
      </c>
      <c r="D19" s="9">
        <v>14841.99152121632</v>
      </c>
      <c r="E19" s="9">
        <v>9526.528529619425</v>
      </c>
      <c r="F19" s="9">
        <v>0</v>
      </c>
      <c r="G19" s="9">
        <v>2381.632132404856</v>
      </c>
      <c r="H19" s="9">
        <v>864.4069424413441</v>
      </c>
      <c r="I19" s="9">
        <v>2069.423916750692</v>
      </c>
      <c r="J19" s="9">
        <v>442.0838903285088</v>
      </c>
      <c r="K19" s="9">
        <v>1627.340026422183</v>
      </c>
      <c r="L19" s="9">
        <v>1324.89696384</v>
      </c>
      <c r="M19" s="9">
        <v>3698.482996983455</v>
      </c>
      <c r="N19" s="9">
        <v>236.5493120856</v>
      </c>
      <c r="O19" s="9">
        <v>1653.629294427177</v>
      </c>
      <c r="P19" s="9">
        <v>2281.403014641878</v>
      </c>
    </row>
    <row r="20" spans="1:16" ht="25" customHeight="1">
      <c r="A20" s="3" t="s">
        <v>79</v>
      </c>
      <c r="B20" s="4" t="s">
        <v>134</v>
      </c>
      <c r="C20" s="24">
        <v>1</v>
      </c>
      <c r="D20" s="10">
        <v>7588.599999999999</v>
      </c>
      <c r="E20" s="10">
        <v>5131.52</v>
      </c>
      <c r="F20" s="10">
        <v>0</v>
      </c>
      <c r="G20" s="10">
        <v>1377.408</v>
      </c>
      <c r="H20" s="10">
        <v>949.62</v>
      </c>
      <c r="I20" s="10">
        <v>130.0520000000002</v>
      </c>
      <c r="J20" s="10">
        <v>191.9</v>
      </c>
      <c r="K20" s="10">
        <v>-61.84799999999973</v>
      </c>
      <c r="L20" s="10">
        <v>285</v>
      </c>
      <c r="M20" s="10">
        <v>1448.75</v>
      </c>
      <c r="N20" s="10">
        <v>148.2</v>
      </c>
      <c r="O20" s="10">
        <v>359.1</v>
      </c>
      <c r="P20" s="10">
        <v>1237.85</v>
      </c>
    </row>
    <row r="21" spans="1:16" ht="25" customHeight="1">
      <c r="A21" s="6" t="s">
        <v>79</v>
      </c>
      <c r="B21" s="7" t="s">
        <v>134</v>
      </c>
      <c r="C21" s="23">
        <v>2</v>
      </c>
      <c r="D21" s="9">
        <v>7588.599999999999</v>
      </c>
      <c r="E21" s="9">
        <v>5131.52</v>
      </c>
      <c r="F21" s="9">
        <v>0</v>
      </c>
      <c r="G21" s="9">
        <v>1404.956159999999</v>
      </c>
      <c r="H21" s="9">
        <v>968.6124</v>
      </c>
      <c r="I21" s="9">
        <v>83.51144000000045</v>
      </c>
      <c r="J21" s="9">
        <v>191.9</v>
      </c>
      <c r="K21" s="9">
        <v>-108.3885599999995</v>
      </c>
      <c r="L21" s="9">
        <v>285</v>
      </c>
      <c r="M21" s="9">
        <v>1448.75</v>
      </c>
      <c r="N21" s="9">
        <v>148.2</v>
      </c>
      <c r="O21" s="9">
        <v>359.1</v>
      </c>
      <c r="P21" s="9">
        <v>1237.85</v>
      </c>
    </row>
    <row r="22" spans="1:16" ht="25" customHeight="1">
      <c r="A22" s="3" t="s">
        <v>79</v>
      </c>
      <c r="B22" s="4" t="s">
        <v>134</v>
      </c>
      <c r="C22" s="24">
        <v>3</v>
      </c>
      <c r="D22" s="10">
        <v>7740.371999999999</v>
      </c>
      <c r="E22" s="10">
        <v>5234.1504</v>
      </c>
      <c r="F22" s="10">
        <v>0</v>
      </c>
      <c r="G22" s="10">
        <v>1433.0552832</v>
      </c>
      <c r="H22" s="10">
        <v>987.9846480000001</v>
      </c>
      <c r="I22" s="10">
        <v>85.1816687999999</v>
      </c>
      <c r="J22" s="10">
        <v>195.738</v>
      </c>
      <c r="K22" s="10">
        <v>-110.5563312000001</v>
      </c>
      <c r="L22" s="10">
        <v>290.7</v>
      </c>
      <c r="M22" s="10">
        <v>1477.725</v>
      </c>
      <c r="N22" s="10">
        <v>151.164</v>
      </c>
      <c r="O22" s="10">
        <v>366.282</v>
      </c>
      <c r="P22" s="10">
        <v>1262.607</v>
      </c>
    </row>
    <row r="23" spans="1:16" ht="25" customHeight="1">
      <c r="A23" s="6" t="s">
        <v>79</v>
      </c>
      <c r="B23" s="7" t="s">
        <v>134</v>
      </c>
      <c r="C23" s="23">
        <v>4</v>
      </c>
      <c r="D23" s="9">
        <v>7895.17944</v>
      </c>
      <c r="E23" s="9">
        <v>5338.833408</v>
      </c>
      <c r="F23" s="9">
        <v>0</v>
      </c>
      <c r="G23" s="9">
        <v>1461.716388864</v>
      </c>
      <c r="H23" s="9">
        <v>1007.74434096</v>
      </c>
      <c r="I23" s="9">
        <v>86.88530217599998</v>
      </c>
      <c r="J23" s="9">
        <v>199.65276</v>
      </c>
      <c r="K23" s="9">
        <v>-112.767457824</v>
      </c>
      <c r="L23" s="9">
        <v>296.514</v>
      </c>
      <c r="M23" s="9">
        <v>1507.2795</v>
      </c>
      <c r="N23" s="9">
        <v>154.18728</v>
      </c>
      <c r="O23" s="9">
        <v>373.60764</v>
      </c>
      <c r="P23" s="9">
        <v>1287.85914</v>
      </c>
    </row>
    <row r="24" spans="1:16" ht="25" customHeight="1">
      <c r="A24" s="3" t="s">
        <v>79</v>
      </c>
      <c r="B24" s="4" t="s">
        <v>134</v>
      </c>
      <c r="C24" s="24">
        <v>5</v>
      </c>
      <c r="D24" s="10">
        <v>8053.0830288</v>
      </c>
      <c r="E24" s="10">
        <v>5445.61007616</v>
      </c>
      <c r="F24" s="10">
        <v>0</v>
      </c>
      <c r="G24" s="10">
        <v>1490.95071664128</v>
      </c>
      <c r="H24" s="10">
        <v>1027.8992277792</v>
      </c>
      <c r="I24" s="10">
        <v>88.62300821952022</v>
      </c>
      <c r="J24" s="10">
        <v>203.6458152</v>
      </c>
      <c r="K24" s="10">
        <v>-115.0228069804798</v>
      </c>
      <c r="L24" s="10">
        <v>302.44428</v>
      </c>
      <c r="M24" s="10">
        <v>1537.42509</v>
      </c>
      <c r="N24" s="10">
        <v>157.2710256</v>
      </c>
      <c r="O24" s="10">
        <v>381.0797928000001</v>
      </c>
      <c r="P24" s="10">
        <v>1313.6163228</v>
      </c>
    </row>
    <row r="25" spans="1:16" ht="25" customHeight="1">
      <c r="A25" s="6" t="s">
        <v>80</v>
      </c>
      <c r="B25" s="7" t="s">
        <v>133</v>
      </c>
      <c r="C25" s="23">
        <v>1</v>
      </c>
      <c r="D25" s="9">
        <v>13711.70598</v>
      </c>
      <c r="E25" s="9">
        <v>8801.039808</v>
      </c>
      <c r="F25" s="9">
        <v>0</v>
      </c>
      <c r="G25" s="9">
        <v>2200.259952</v>
      </c>
      <c r="H25" s="9">
        <v>798.5784000000001</v>
      </c>
      <c r="I25" s="9">
        <v>1911.827820000001</v>
      </c>
      <c r="J25" s="9">
        <v>408.41718</v>
      </c>
      <c r="K25" s="9">
        <v>1503.410640000001</v>
      </c>
      <c r="L25" s="9">
        <v>1224</v>
      </c>
      <c r="M25" s="9">
        <v>3416.826599999999</v>
      </c>
      <c r="N25" s="9">
        <v>218.535</v>
      </c>
      <c r="O25" s="9">
        <v>1527.69786</v>
      </c>
      <c r="P25" s="9">
        <v>2107.663739999999</v>
      </c>
    </row>
    <row r="26" spans="1:16" ht="25" customHeight="1">
      <c r="A26" s="3" t="s">
        <v>80</v>
      </c>
      <c r="B26" s="4" t="s">
        <v>133</v>
      </c>
      <c r="C26" s="24">
        <v>2</v>
      </c>
      <c r="D26" s="10">
        <v>13985.9400996</v>
      </c>
      <c r="E26" s="10">
        <v>8977.06060416</v>
      </c>
      <c r="F26" s="10">
        <v>0</v>
      </c>
      <c r="G26" s="10">
        <v>2244.26515104</v>
      </c>
      <c r="H26" s="10">
        <v>814.549968</v>
      </c>
      <c r="I26" s="10">
        <v>1950.0643764</v>
      </c>
      <c r="J26" s="10">
        <v>416.5855236</v>
      </c>
      <c r="K26" s="10">
        <v>1533.4788528</v>
      </c>
      <c r="L26" s="10">
        <v>1248.48</v>
      </c>
      <c r="M26" s="10">
        <v>3485.163132</v>
      </c>
      <c r="N26" s="10">
        <v>222.9057</v>
      </c>
      <c r="O26" s="10">
        <v>1558.2518172</v>
      </c>
      <c r="P26" s="10">
        <v>2149.8170148</v>
      </c>
    </row>
    <row r="27" spans="1:16" ht="25" customHeight="1">
      <c r="A27" s="6" t="s">
        <v>80</v>
      </c>
      <c r="B27" s="7" t="s">
        <v>133</v>
      </c>
      <c r="C27" s="23">
        <v>3</v>
      </c>
      <c r="D27" s="9">
        <v>14265.658901592</v>
      </c>
      <c r="E27" s="9">
        <v>9156.601816243199</v>
      </c>
      <c r="F27" s="9">
        <v>0</v>
      </c>
      <c r="G27" s="9">
        <v>2289.1504540608</v>
      </c>
      <c r="H27" s="9">
        <v>830.8409673600001</v>
      </c>
      <c r="I27" s="9">
        <v>1989.065663928</v>
      </c>
      <c r="J27" s="9">
        <v>424.917234072</v>
      </c>
      <c r="K27" s="9">
        <v>1564.148429856</v>
      </c>
      <c r="L27" s="9">
        <v>1273.4496</v>
      </c>
      <c r="M27" s="9">
        <v>3554.866394639999</v>
      </c>
      <c r="N27" s="9">
        <v>227.3638139999999</v>
      </c>
      <c r="O27" s="9">
        <v>1589.416853544</v>
      </c>
      <c r="P27" s="9">
        <v>2192.813355095999</v>
      </c>
    </row>
    <row r="28" spans="1:16" ht="25" customHeight="1">
      <c r="A28" s="3" t="s">
        <v>80</v>
      </c>
      <c r="B28" s="4" t="s">
        <v>133</v>
      </c>
      <c r="C28" s="24">
        <v>4</v>
      </c>
      <c r="D28" s="10">
        <v>14550.97207962384</v>
      </c>
      <c r="E28" s="10">
        <v>9339.733852568064</v>
      </c>
      <c r="F28" s="10">
        <v>0</v>
      </c>
      <c r="G28" s="10">
        <v>2334.933463142016</v>
      </c>
      <c r="H28" s="10">
        <v>847.4577867072001</v>
      </c>
      <c r="I28" s="10">
        <v>2028.846977206559</v>
      </c>
      <c r="J28" s="10">
        <v>433.4155787534399</v>
      </c>
      <c r="K28" s="10">
        <v>1595.43139845312</v>
      </c>
      <c r="L28" s="10">
        <v>1298.918592</v>
      </c>
      <c r="M28" s="10">
        <v>3625.963722532799</v>
      </c>
      <c r="N28" s="10">
        <v>231.9110902799999</v>
      </c>
      <c r="O28" s="10">
        <v>1621.20519061488</v>
      </c>
      <c r="P28" s="10">
        <v>2236.669622197919</v>
      </c>
    </row>
    <row r="29" spans="1:16" ht="25" customHeight="1">
      <c r="A29" s="6" t="s">
        <v>80</v>
      </c>
      <c r="B29" s="7" t="s">
        <v>133</v>
      </c>
      <c r="C29" s="23">
        <v>5</v>
      </c>
      <c r="D29" s="9">
        <v>14841.99152121632</v>
      </c>
      <c r="E29" s="9">
        <v>9526.528529619425</v>
      </c>
      <c r="F29" s="9">
        <v>0</v>
      </c>
      <c r="G29" s="9">
        <v>2381.632132404856</v>
      </c>
      <c r="H29" s="9">
        <v>864.4069424413441</v>
      </c>
      <c r="I29" s="9">
        <v>2069.423916750692</v>
      </c>
      <c r="J29" s="9">
        <v>442.0838903285088</v>
      </c>
      <c r="K29" s="9">
        <v>1627.340026422183</v>
      </c>
      <c r="L29" s="9">
        <v>1324.89696384</v>
      </c>
      <c r="M29" s="9">
        <v>3698.482996983455</v>
      </c>
      <c r="N29" s="9">
        <v>236.5493120856</v>
      </c>
      <c r="O29" s="9">
        <v>1653.629294427177</v>
      </c>
      <c r="P29" s="9">
        <v>2281.403014641878</v>
      </c>
    </row>
    <row r="30" spans="1:16" ht="25" customHeight="1">
      <c r="A30" s="3" t="s">
        <v>80</v>
      </c>
      <c r="B30" s="4" t="s">
        <v>134</v>
      </c>
      <c r="C30" s="24">
        <v>1</v>
      </c>
      <c r="D30" s="10">
        <v>7588.599999999999</v>
      </c>
      <c r="E30" s="10">
        <v>5131.52</v>
      </c>
      <c r="F30" s="10">
        <v>0</v>
      </c>
      <c r="G30" s="10">
        <v>1377.408</v>
      </c>
      <c r="H30" s="10">
        <v>949.62</v>
      </c>
      <c r="I30" s="10">
        <v>130.0520000000002</v>
      </c>
      <c r="J30" s="10">
        <v>191.9</v>
      </c>
      <c r="K30" s="10">
        <v>-61.84799999999973</v>
      </c>
      <c r="L30" s="10">
        <v>285</v>
      </c>
      <c r="M30" s="10">
        <v>1448.75</v>
      </c>
      <c r="N30" s="10">
        <v>148.2</v>
      </c>
      <c r="O30" s="10">
        <v>359.1</v>
      </c>
      <c r="P30" s="10">
        <v>1237.85</v>
      </c>
    </row>
    <row r="31" spans="1:16" ht="25" customHeight="1">
      <c r="A31" s="6" t="s">
        <v>80</v>
      </c>
      <c r="B31" s="7" t="s">
        <v>134</v>
      </c>
      <c r="C31" s="23">
        <v>2</v>
      </c>
      <c r="D31" s="9">
        <v>7588.599999999999</v>
      </c>
      <c r="E31" s="9">
        <v>5131.52</v>
      </c>
      <c r="F31" s="9">
        <v>0</v>
      </c>
      <c r="G31" s="9">
        <v>1404.956159999999</v>
      </c>
      <c r="H31" s="9">
        <v>968.6124</v>
      </c>
      <c r="I31" s="9">
        <v>83.51144000000045</v>
      </c>
      <c r="J31" s="9">
        <v>191.9</v>
      </c>
      <c r="K31" s="9">
        <v>-108.3885599999995</v>
      </c>
      <c r="L31" s="9">
        <v>285</v>
      </c>
      <c r="M31" s="9">
        <v>1448.75</v>
      </c>
      <c r="N31" s="9">
        <v>148.2</v>
      </c>
      <c r="O31" s="9">
        <v>359.1</v>
      </c>
      <c r="P31" s="9">
        <v>1237.85</v>
      </c>
    </row>
    <row r="32" spans="1:16" ht="25" customHeight="1">
      <c r="A32" s="3" t="s">
        <v>80</v>
      </c>
      <c r="B32" s="4" t="s">
        <v>134</v>
      </c>
      <c r="C32" s="24">
        <v>3</v>
      </c>
      <c r="D32" s="10">
        <v>7740.371999999999</v>
      </c>
      <c r="E32" s="10">
        <v>5234.1504</v>
      </c>
      <c r="F32" s="10">
        <v>0</v>
      </c>
      <c r="G32" s="10">
        <v>1433.0552832</v>
      </c>
      <c r="H32" s="10">
        <v>987.9846480000001</v>
      </c>
      <c r="I32" s="10">
        <v>85.1816687999999</v>
      </c>
      <c r="J32" s="10">
        <v>195.738</v>
      </c>
      <c r="K32" s="10">
        <v>-110.5563312000001</v>
      </c>
      <c r="L32" s="10">
        <v>290.7</v>
      </c>
      <c r="M32" s="10">
        <v>1477.725</v>
      </c>
      <c r="N32" s="10">
        <v>151.164</v>
      </c>
      <c r="O32" s="10">
        <v>366.282</v>
      </c>
      <c r="P32" s="10">
        <v>1262.607</v>
      </c>
    </row>
    <row r="33" spans="1:16" ht="25" customHeight="1">
      <c r="A33" s="6" t="s">
        <v>80</v>
      </c>
      <c r="B33" s="7" t="s">
        <v>134</v>
      </c>
      <c r="C33" s="23">
        <v>4</v>
      </c>
      <c r="D33" s="9">
        <v>7895.17944</v>
      </c>
      <c r="E33" s="9">
        <v>5338.833408</v>
      </c>
      <c r="F33" s="9">
        <v>0</v>
      </c>
      <c r="G33" s="9">
        <v>1461.716388864</v>
      </c>
      <c r="H33" s="9">
        <v>1007.74434096</v>
      </c>
      <c r="I33" s="9">
        <v>86.88530217599998</v>
      </c>
      <c r="J33" s="9">
        <v>199.65276</v>
      </c>
      <c r="K33" s="9">
        <v>-112.767457824</v>
      </c>
      <c r="L33" s="9">
        <v>296.514</v>
      </c>
      <c r="M33" s="9">
        <v>1507.2795</v>
      </c>
      <c r="N33" s="9">
        <v>154.18728</v>
      </c>
      <c r="O33" s="9">
        <v>373.60764</v>
      </c>
      <c r="P33" s="9">
        <v>1287.85914</v>
      </c>
    </row>
    <row r="34" spans="1:16" ht="25" customHeight="1">
      <c r="A34" s="3" t="s">
        <v>80</v>
      </c>
      <c r="B34" s="4" t="s">
        <v>134</v>
      </c>
      <c r="C34" s="24">
        <v>5</v>
      </c>
      <c r="D34" s="10">
        <v>8053.0830288</v>
      </c>
      <c r="E34" s="10">
        <v>5445.61007616</v>
      </c>
      <c r="F34" s="10">
        <v>0</v>
      </c>
      <c r="G34" s="10">
        <v>1490.95071664128</v>
      </c>
      <c r="H34" s="10">
        <v>1027.8992277792</v>
      </c>
      <c r="I34" s="10">
        <v>88.62300821952022</v>
      </c>
      <c r="J34" s="10">
        <v>203.6458152</v>
      </c>
      <c r="K34" s="10">
        <v>-115.0228069804798</v>
      </c>
      <c r="L34" s="10">
        <v>302.44428</v>
      </c>
      <c r="M34" s="10">
        <v>1537.42509</v>
      </c>
      <c r="N34" s="10">
        <v>157.2710256</v>
      </c>
      <c r="O34" s="10">
        <v>381.0797928000001</v>
      </c>
      <c r="P34" s="10">
        <v>1313.6163228</v>
      </c>
    </row>
  </sheetData>
  <autoFilter ref="A4:P34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&amp;LPublic operations&amp;RPage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3C5658"/>
  </sheetPr>
  <dimension ref="A1:R1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0.7109375" customWidth="1"/>
    <col min="2" max="18" width="23.7109375" customWidth="1"/>
  </cols>
  <sheetData>
    <row r="1" spans="1:18" ht="9" customHeight="1"/>
    <row r="2" spans="1:18" ht="42" customHeight="1">
      <c r="A2" s="1" t="s">
        <v>291</v>
      </c>
      <c r="B2" s="1"/>
      <c r="C2" s="1"/>
      <c r="D2" s="1"/>
      <c r="E2" s="1"/>
      <c r="F2" s="1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30" customHeight="1">
      <c r="A3" s="2" t="s">
        <v>159</v>
      </c>
      <c r="B3" s="2"/>
      <c r="C3" s="2"/>
      <c r="D3" s="2"/>
      <c r="E3" s="2"/>
      <c r="F3" s="2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40" customHeight="1">
      <c r="A4" s="5" t="s">
        <v>66</v>
      </c>
      <c r="B4" s="5" t="s">
        <v>277</v>
      </c>
      <c r="C4" s="5" t="s">
        <v>292</v>
      </c>
      <c r="D4" s="5" t="s">
        <v>293</v>
      </c>
      <c r="E4" s="5" t="s">
        <v>286</v>
      </c>
      <c r="F4" s="5" t="s">
        <v>294</v>
      </c>
      <c r="G4" s="5" t="s">
        <v>295</v>
      </c>
      <c r="H4" s="5" t="s">
        <v>296</v>
      </c>
      <c r="I4" s="5" t="s">
        <v>297</v>
      </c>
      <c r="J4" s="5" t="s">
        <v>298</v>
      </c>
      <c r="K4" s="5" t="s">
        <v>299</v>
      </c>
      <c r="L4" s="5" t="s">
        <v>300</v>
      </c>
      <c r="M4" s="5" t="s">
        <v>301</v>
      </c>
      <c r="N4" s="5" t="s">
        <v>302</v>
      </c>
      <c r="O4" s="5" t="s">
        <v>303</v>
      </c>
      <c r="P4" s="5" t="s">
        <v>304</v>
      </c>
      <c r="Q4" s="5" t="s">
        <v>305</v>
      </c>
      <c r="R4" s="5" t="s">
        <v>306</v>
      </c>
    </row>
    <row r="5" spans="1:18" ht="25" customHeight="1">
      <c r="A5" s="6" t="s">
        <v>69</v>
      </c>
      <c r="B5" s="23">
        <v>1</v>
      </c>
      <c r="C5" s="9">
        <v>750</v>
      </c>
      <c r="D5" s="9">
        <v>2048.3619626468</v>
      </c>
      <c r="E5" s="9">
        <v>1509</v>
      </c>
      <c r="F5" s="9">
        <v>244.8119460992502</v>
      </c>
      <c r="G5" s="9">
        <v>388.22315335</v>
      </c>
      <c r="H5" s="9">
        <v>0</v>
      </c>
      <c r="I5" s="9">
        <v>0</v>
      </c>
      <c r="J5" s="9">
        <v>0</v>
      </c>
      <c r="K5" s="9">
        <v>58.03564174264292</v>
      </c>
      <c r="L5" s="9">
        <v>0</v>
      </c>
      <c r="M5" s="9">
        <f>C5+D5-E5-F5-G5-H5-I5+J5-K5-L5</f>
        <v>598.2912214549067</v>
      </c>
      <c r="N5" s="9">
        <v>4237.762087132146</v>
      </c>
      <c r="O5" s="9">
        <f>N5+J5-K5-L5</f>
        <v>4179.726445389503</v>
      </c>
      <c r="P5" s="9">
        <v>1.753989235240393</v>
      </c>
      <c r="Q5" s="9">
        <v>8.340605319857209</v>
      </c>
      <c r="R5" s="9">
        <v>0</v>
      </c>
    </row>
    <row r="6" spans="1:18" ht="25" customHeight="1">
      <c r="A6" s="3" t="s">
        <v>69</v>
      </c>
      <c r="B6" s="24">
        <v>2</v>
      </c>
      <c r="C6" s="10">
        <v>598.2912214549067</v>
      </c>
      <c r="D6" s="10">
        <v>1499.785399729858</v>
      </c>
      <c r="E6" s="10">
        <v>1533.48</v>
      </c>
      <c r="F6" s="10">
        <v>240.8588695772652</v>
      </c>
      <c r="G6" s="10">
        <v>388.22315335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f>C6+D6-E6-F6-G6-H6-I6+J6-K6-L6</f>
        <v>-64.48540174250024</v>
      </c>
      <c r="N6" s="10">
        <v>4179.726445389503</v>
      </c>
      <c r="O6" s="10">
        <f>N6+J6-K6-L6</f>
        <v>4179.726445389503</v>
      </c>
      <c r="P6" s="10">
        <v>2.036984598172747</v>
      </c>
      <c r="Q6" s="10">
        <v>8.650608632586009</v>
      </c>
      <c r="R6" s="10">
        <v>57.22081134264292</v>
      </c>
    </row>
    <row r="7" spans="1:18" ht="25" customHeight="1">
      <c r="A7" s="6" t="s">
        <v>69</v>
      </c>
      <c r="B7" s="23">
        <v>3</v>
      </c>
      <c r="C7" s="9">
        <v>-64.48540174250024</v>
      </c>
      <c r="D7" s="9">
        <v>1565.493469828742</v>
      </c>
      <c r="E7" s="9">
        <v>1564.1496</v>
      </c>
      <c r="F7" s="9">
        <v>240.8588695772652</v>
      </c>
      <c r="G7" s="9">
        <v>388.22315335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f>C7+D7-E7-F7-G7-H7-I7+J7-K7-L7</f>
        <v>-692.2235548410233</v>
      </c>
      <c r="N7" s="9">
        <v>4179.726445389503</v>
      </c>
      <c r="O7" s="9">
        <f>N7+J7-K7-L7</f>
        <v>4179.726445389503</v>
      </c>
      <c r="P7" s="9">
        <v>2.240752432759228</v>
      </c>
      <c r="Q7" s="9">
        <v>9.027059441672426</v>
      </c>
      <c r="R7" s="9">
        <v>56.22081134264292</v>
      </c>
    </row>
    <row r="8" spans="1:18" ht="25" customHeight="1">
      <c r="A8" s="3" t="s">
        <v>69</v>
      </c>
      <c r="B8" s="24">
        <v>4</v>
      </c>
      <c r="C8" s="10">
        <v>-692.2235548410233</v>
      </c>
      <c r="D8" s="10">
        <v>1619.542701329599</v>
      </c>
      <c r="E8" s="10">
        <v>1595.432592</v>
      </c>
      <c r="F8" s="10">
        <v>240.8588695772652</v>
      </c>
      <c r="G8" s="10">
        <v>388.22315335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f>C8+D8-E8-F8-G8-H8-I8+J8-K8-L8</f>
        <v>-1297.1954684386899</v>
      </c>
      <c r="N8" s="10">
        <v>4179.726445389503</v>
      </c>
      <c r="O8" s="10">
        <f>N8+J8-K8-L8</f>
        <v>4179.726445389503</v>
      </c>
      <c r="P8" s="10">
        <v>2.471833788220301</v>
      </c>
      <c r="Q8" s="10">
        <v>9.199297012692211</v>
      </c>
      <c r="R8" s="10">
        <v>55.97081134264292</v>
      </c>
    </row>
    <row r="9" spans="1:18" ht="25" customHeight="1">
      <c r="A9" s="6" t="s">
        <v>69</v>
      </c>
      <c r="B9" s="23">
        <v>5</v>
      </c>
      <c r="C9" s="9">
        <v>-1297.19546843869</v>
      </c>
      <c r="D9" s="9">
        <v>1649.172917460474</v>
      </c>
      <c r="E9" s="9">
        <v>1627.34124384</v>
      </c>
      <c r="F9" s="9">
        <v>240.8588695772652</v>
      </c>
      <c r="G9" s="9">
        <v>388.22315335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f>C9+D9-E9-F9-G9-H9-I9+J9-K9-L9</f>
        <v>-1904.4458177454808</v>
      </c>
      <c r="N9" s="9">
        <v>4179.726445389503</v>
      </c>
      <c r="O9" s="9">
        <f>N9+J9-K9-L9</f>
        <v>4179.726445389503</v>
      </c>
      <c r="P9" s="9">
        <v>2.694440135789139</v>
      </c>
      <c r="Q9" s="9">
        <v>9.3749793351324</v>
      </c>
      <c r="R9" s="9">
        <v>2639.678414989503</v>
      </c>
    </row>
    <row r="10" spans="1:18" ht="25" customHeight="1">
      <c r="A10" s="3" t="s">
        <v>79</v>
      </c>
      <c r="B10" s="24">
        <v>1</v>
      </c>
      <c r="C10" s="10">
        <v>1002.67651887183</v>
      </c>
      <c r="D10" s="10">
        <v>2053.235009796471</v>
      </c>
      <c r="E10" s="10">
        <v>1509</v>
      </c>
      <c r="F10" s="10">
        <v>262.8602688758095</v>
      </c>
      <c r="G10" s="10">
        <v>388.22315335</v>
      </c>
      <c r="H10" s="10">
        <v>0</v>
      </c>
      <c r="I10" s="10">
        <v>0</v>
      </c>
      <c r="J10" s="10">
        <v>0</v>
      </c>
      <c r="K10" s="10">
        <v>63.19230539308843</v>
      </c>
      <c r="L10" s="10">
        <v>82.63580104940274</v>
      </c>
      <c r="M10" s="10">
        <f>C10+D10-E10-F10-G10-H10-I10+J10-K10-L10</f>
        <v>750.0</v>
      </c>
      <c r="N10" s="10">
        <v>4495.595269654422</v>
      </c>
      <c r="O10" s="10">
        <f>N10+J10-K10-L10</f>
        <v>4349.76716321193</v>
      </c>
      <c r="P10" s="10">
        <v>1.762967206959284</v>
      </c>
      <c r="Q10" s="10">
        <v>7.767928674548779</v>
      </c>
      <c r="R10" s="10">
        <v>0</v>
      </c>
    </row>
    <row r="11" spans="1:18" ht="25" customHeight="1">
      <c r="A11" s="6" t="s">
        <v>79</v>
      </c>
      <c r="B11" s="23">
        <v>2</v>
      </c>
      <c r="C11" s="9">
        <v>750</v>
      </c>
      <c r="D11" s="9">
        <v>1502.999169296702</v>
      </c>
      <c r="E11" s="9">
        <v>1533.48</v>
      </c>
      <c r="F11" s="9">
        <v>252.7617198248351</v>
      </c>
      <c r="G11" s="9">
        <v>388.22315335</v>
      </c>
      <c r="H11" s="9">
        <v>0</v>
      </c>
      <c r="I11" s="9">
        <v>0</v>
      </c>
      <c r="J11" s="9">
        <v>0</v>
      </c>
      <c r="K11" s="9">
        <v>62.37747499308843</v>
      </c>
      <c r="L11" s="9">
        <v>0</v>
      </c>
      <c r="M11" s="9">
        <f>C11+D11-E11-F11-G11-H11-I11+J11-K11-L11</f>
        <v>16.156821128778546</v>
      </c>
      <c r="N11" s="9">
        <v>4349.76716321193</v>
      </c>
      <c r="O11" s="9">
        <f>N11+J11-K11-L11</f>
        <v>4287.389688218842</v>
      </c>
      <c r="P11" s="9">
        <v>2.049953178315296</v>
      </c>
      <c r="Q11" s="9">
        <v>8.243241175301087</v>
      </c>
      <c r="R11" s="9">
        <v>0</v>
      </c>
    </row>
    <row r="12" spans="1:18" ht="25" customHeight="1">
      <c r="A12" s="3" t="s">
        <v>79</v>
      </c>
      <c r="B12" s="24">
        <v>3</v>
      </c>
      <c r="C12" s="10">
        <v>16.15682112877855</v>
      </c>
      <c r="D12" s="10">
        <v>1567.552127976809</v>
      </c>
      <c r="E12" s="10">
        <v>1564.1496</v>
      </c>
      <c r="F12" s="10">
        <v>248.4835293849189</v>
      </c>
      <c r="G12" s="10">
        <v>388.22315335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f>C12+D12-E12-F12-G12-H12-I12+J12-K12-L12</f>
        <v>-617.1473336293317</v>
      </c>
      <c r="N12" s="10">
        <v>4287.389688218842</v>
      </c>
      <c r="O12" s="10">
        <f>N12+J12-K12-L12</f>
        <v>4287.389688218842</v>
      </c>
      <c r="P12" s="10">
        <v>2.25574015799505</v>
      </c>
      <c r="Q12" s="10">
        <v>8.750066204025673</v>
      </c>
      <c r="R12" s="10">
        <v>61.52679205548844</v>
      </c>
    </row>
    <row r="13" spans="1:18" ht="25" customHeight="1">
      <c r="A13" s="6" t="s">
        <v>79</v>
      </c>
      <c r="B13" s="23">
        <v>4</v>
      </c>
      <c r="C13" s="9">
        <v>-617.1473336293317</v>
      </c>
      <c r="D13" s="9">
        <v>1621.601359477665</v>
      </c>
      <c r="E13" s="9">
        <v>1595.432592</v>
      </c>
      <c r="F13" s="9">
        <v>248.4835293849189</v>
      </c>
      <c r="G13" s="9">
        <v>388.22315335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f>C13+D13-E13-F13-G13-H13-I13+J13-K13-L13</f>
        <v>-1227.6852488865857</v>
      </c>
      <c r="N13" s="9">
        <v>4287.389688218842</v>
      </c>
      <c r="O13" s="9">
        <f>N13+J13-K13-L13</f>
        <v>4287.389688218842</v>
      </c>
      <c r="P13" s="9">
        <v>2.489052936775499</v>
      </c>
      <c r="Q13" s="9">
        <v>8.917018704890616</v>
      </c>
      <c r="R13" s="9">
        <v>61.27679205548844</v>
      </c>
    </row>
    <row r="14" spans="1:18" ht="25" customHeight="1">
      <c r="A14" s="3" t="s">
        <v>79</v>
      </c>
      <c r="B14" s="24">
        <v>5</v>
      </c>
      <c r="C14" s="10">
        <v>-1227.685248886586</v>
      </c>
      <c r="D14" s="10">
        <v>1651.23157560854</v>
      </c>
      <c r="E14" s="10">
        <v>1627.34124384</v>
      </c>
      <c r="F14" s="10">
        <v>248.4835293849189</v>
      </c>
      <c r="G14" s="10">
        <v>388.22315335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f>C14+D14-E14-F14-G14-H14-I14+J14-K14-L14</f>
        <v>-1840.5015998529639</v>
      </c>
      <c r="N14" s="10">
        <v>4287.389688218842</v>
      </c>
      <c r="O14" s="10">
        <f>N14+J14-K14-L14</f>
        <v>4287.389688218842</v>
      </c>
      <c r="P14" s="10">
        <v>2.713801569093895</v>
      </c>
      <c r="Q14" s="10">
        <v>9.087310255772863</v>
      </c>
      <c r="R14" s="10">
        <v>2750.884544481242</v>
      </c>
    </row>
    <row r="15" spans="1:18" ht="25" customHeight="1">
      <c r="A15" s="6" t="s">
        <v>80</v>
      </c>
      <c r="B15" s="23">
        <v>1</v>
      </c>
      <c r="C15" s="9">
        <v>750</v>
      </c>
      <c r="D15" s="9">
        <v>2026.246513669657</v>
      </c>
      <c r="E15" s="9">
        <v>1509</v>
      </c>
      <c r="F15" s="9">
        <v>162.902875813536</v>
      </c>
      <c r="G15" s="9">
        <v>388.22315335</v>
      </c>
      <c r="H15" s="9">
        <v>0</v>
      </c>
      <c r="I15" s="9">
        <v>0</v>
      </c>
      <c r="J15" s="9">
        <v>0</v>
      </c>
      <c r="K15" s="9">
        <v>34.63305023243884</v>
      </c>
      <c r="L15" s="9">
        <v>0</v>
      </c>
      <c r="M15" s="9">
        <f>C15+D15-E15-F15-G15-H15-I15+J15-K15-L15</f>
        <v>681.4874342736824</v>
      </c>
      <c r="N15" s="9">
        <v>3067.632511621942</v>
      </c>
      <c r="O15" s="9">
        <f>N15+J15-K15-L15</f>
        <v>3032.9994613895033</v>
      </c>
      <c r="P15" s="9">
        <v>1.151640759697511</v>
      </c>
      <c r="Q15" s="9">
        <v>12.5343386960044</v>
      </c>
      <c r="R15" s="9">
        <v>0</v>
      </c>
    </row>
    <row r="16" spans="1:18" ht="25" customHeight="1">
      <c r="A16" s="3" t="s">
        <v>80</v>
      </c>
      <c r="B16" s="24">
        <v>2</v>
      </c>
      <c r="C16" s="10">
        <v>681.4874342736824</v>
      </c>
      <c r="D16" s="10">
        <v>1478.112259732258</v>
      </c>
      <c r="E16" s="10">
        <v>1533.48</v>
      </c>
      <c r="F16" s="10">
        <v>160.5879806972652</v>
      </c>
      <c r="G16" s="10">
        <v>388.22315335</v>
      </c>
      <c r="H16" s="10">
        <v>0</v>
      </c>
      <c r="I16" s="10">
        <v>0</v>
      </c>
      <c r="J16" s="10">
        <v>0</v>
      </c>
      <c r="K16" s="10">
        <v>33.81821983243884</v>
      </c>
      <c r="L16" s="10">
        <v>0</v>
      </c>
      <c r="M16" s="10">
        <f>C16+D16-E16-F16-G16-H16-I16+J16-K16-L16</f>
        <v>43.49034012623661</v>
      </c>
      <c r="N16" s="10">
        <v>3032.999461389503</v>
      </c>
      <c r="O16" s="10">
        <f>N16+J16-K16-L16</f>
        <v>2999.1812415570644</v>
      </c>
      <c r="P16" s="10">
        <v>1.418566523073622</v>
      </c>
      <c r="Q16" s="10">
        <v>12.97466851101317</v>
      </c>
      <c r="R16" s="10">
        <v>0</v>
      </c>
    </row>
    <row r="17" spans="1:18" ht="25" customHeight="1">
      <c r="A17" s="6" t="s">
        <v>80</v>
      </c>
      <c r="B17" s="23">
        <v>3</v>
      </c>
      <c r="C17" s="9">
        <v>43.49034012623661</v>
      </c>
      <c r="D17" s="9">
        <v>1543.204988334901</v>
      </c>
      <c r="E17" s="9">
        <v>1564.1496</v>
      </c>
      <c r="F17" s="9">
        <v>158.3089381185945</v>
      </c>
      <c r="G17" s="9">
        <v>388.22315335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f>C17+D17-E17-F17-G17-H17-I17+J17-K17-L17</f>
        <v>-523.9863630074569</v>
      </c>
      <c r="N17" s="9">
        <v>2999.181241557064</v>
      </c>
      <c r="O17" s="9">
        <f>N17+J17-K17-L17</f>
        <v>2999.1812415570644</v>
      </c>
      <c r="P17" s="9">
        <v>1.620407923023205</v>
      </c>
      <c r="Q17" s="9">
        <v>13.7342045153458</v>
      </c>
      <c r="R17" s="9">
        <v>32.96753689483884</v>
      </c>
    </row>
    <row r="18" spans="1:18" ht="25" customHeight="1">
      <c r="A18" s="3" t="s">
        <v>80</v>
      </c>
      <c r="B18" s="24">
        <v>4</v>
      </c>
      <c r="C18" s="10">
        <v>-523.9863630074569</v>
      </c>
      <c r="D18" s="10">
        <v>1597.254219835758</v>
      </c>
      <c r="E18" s="10">
        <v>1595.432592</v>
      </c>
      <c r="F18" s="10">
        <v>158.3089381185945</v>
      </c>
      <c r="G18" s="10">
        <v>388.22315335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f>C18+D18-E18-F18-G18-H18-I18+J18-K18-L18</f>
        <v>-1068.696826640294</v>
      </c>
      <c r="N18" s="10">
        <v>2999.181241557064</v>
      </c>
      <c r="O18" s="10">
        <f>N18+J18-K18-L18</f>
        <v>2999.1812415570644</v>
      </c>
      <c r="P18" s="10">
        <v>1.835906849419065</v>
      </c>
      <c r="Q18" s="10">
        <v>13.9962550801944</v>
      </c>
      <c r="R18" s="10">
        <v>32.71753689483884</v>
      </c>
    </row>
    <row r="19" spans="1:18" ht="25" customHeight="1">
      <c r="A19" s="6" t="s">
        <v>80</v>
      </c>
      <c r="B19" s="23">
        <v>5</v>
      </c>
      <c r="C19" s="9">
        <v>-1068.696826640294</v>
      </c>
      <c r="D19" s="9">
        <v>1626.884435966633</v>
      </c>
      <c r="E19" s="9">
        <v>1627.34124384</v>
      </c>
      <c r="F19" s="9">
        <v>158.3089381185945</v>
      </c>
      <c r="G19" s="9">
        <v>388.22315335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f>C19+D19-E19-F19-G19-H19-I19+J19-K19-L19</f>
        <v>-1615.6857259822552</v>
      </c>
      <c r="N19" s="9">
        <v>2999.181241557064</v>
      </c>
      <c r="O19" s="9">
        <f>N19+J19-K19-L19</f>
        <v>2999.1812415570644</v>
      </c>
      <c r="P19" s="9">
        <v>2.043742721422939</v>
      </c>
      <c r="Q19" s="9">
        <v>14.26354665633998</v>
      </c>
      <c r="R19" s="9">
        <v>1462.676097819465</v>
      </c>
    </row>
  </sheetData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&amp;LPublic cash and debt&amp;RPage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3C5658"/>
  </sheetPr>
  <dimension ref="A1:L7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0.7109375" customWidth="1"/>
    <col min="2" max="12" width="23.7109375" customWidth="1"/>
  </cols>
  <sheetData>
    <row r="1" spans="1:12" ht="9" customHeight="1"/>
    <row r="2" spans="1:12" ht="42" customHeight="1">
      <c r="A2" s="1" t="s">
        <v>307</v>
      </c>
      <c r="B2" s="1"/>
      <c r="C2" s="1"/>
      <c r="D2" s="1"/>
      <c r="E2" s="1"/>
      <c r="F2" s="1"/>
      <c r="G2" s="8"/>
      <c r="H2" s="8"/>
      <c r="I2" s="8"/>
      <c r="J2" s="8"/>
      <c r="K2" s="8"/>
      <c r="L2" s="8"/>
    </row>
    <row r="3" spans="1:12" ht="30" customHeight="1">
      <c r="A3" s="2" t="s">
        <v>159</v>
      </c>
      <c r="B3" s="2"/>
      <c r="C3" s="2"/>
      <c r="D3" s="2"/>
      <c r="E3" s="2"/>
      <c r="F3" s="2"/>
      <c r="G3" s="8"/>
      <c r="H3" s="8"/>
      <c r="I3" s="8"/>
      <c r="J3" s="8"/>
      <c r="K3" s="8"/>
      <c r="L3" s="8"/>
    </row>
    <row r="4" spans="1:12" ht="34" customHeight="1">
      <c r="A4" s="5" t="s">
        <v>66</v>
      </c>
      <c r="B4" s="5" t="s">
        <v>308</v>
      </c>
      <c r="C4" s="5" t="s">
        <v>277</v>
      </c>
      <c r="D4" s="5" t="s">
        <v>309</v>
      </c>
      <c r="E4" s="5" t="s">
        <v>310</v>
      </c>
      <c r="F4" s="5" t="s">
        <v>294</v>
      </c>
      <c r="G4" s="5" t="s">
        <v>311</v>
      </c>
      <c r="H4" s="5" t="s">
        <v>299</v>
      </c>
      <c r="I4" s="5" t="s">
        <v>300</v>
      </c>
      <c r="J4" s="5" t="s">
        <v>312</v>
      </c>
      <c r="K4" s="5" t="s">
        <v>313</v>
      </c>
      <c r="L4" s="5" t="s">
        <v>314</v>
      </c>
    </row>
    <row r="5" spans="1:12" ht="25" customHeight="1">
      <c r="A5" s="6" t="s">
        <v>69</v>
      </c>
      <c r="B5" s="7" t="s">
        <v>315</v>
      </c>
      <c r="C5" s="23">
        <v>1</v>
      </c>
      <c r="D5" s="9">
        <v>750</v>
      </c>
      <c r="E5" s="21">
        <v>0.0315</v>
      </c>
      <c r="F5" s="9">
        <v>23.625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f>D5+J5-H5-I5-K5</f>
        <v>750.0</v>
      </c>
    </row>
    <row r="6" spans="1:12" ht="25" customHeight="1">
      <c r="A6" s="3" t="s">
        <v>69</v>
      </c>
      <c r="B6" s="4" t="s">
        <v>316</v>
      </c>
      <c r="C6" s="24">
        <v>1</v>
      </c>
      <c r="D6" s="10">
        <v>750</v>
      </c>
      <c r="E6" s="22">
        <v>0.041</v>
      </c>
      <c r="F6" s="10">
        <v>30.75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f>D6+J6-H6-I6-K6</f>
        <v>750.0</v>
      </c>
    </row>
    <row r="7" spans="1:12" ht="40" customHeight="1">
      <c r="A7" s="6" t="s">
        <v>69</v>
      </c>
      <c r="B7" s="7" t="s">
        <v>317</v>
      </c>
      <c r="C7" s="23">
        <v>1</v>
      </c>
      <c r="D7" s="9">
        <v>46.4</v>
      </c>
      <c r="E7" s="21">
        <v>0.044</v>
      </c>
      <c r="F7" s="9">
        <v>2.0416</v>
      </c>
      <c r="G7" s="9">
        <v>4.2084</v>
      </c>
      <c r="H7" s="9">
        <v>4.2084</v>
      </c>
      <c r="I7" s="9">
        <v>0</v>
      </c>
      <c r="J7" s="9">
        <v>0</v>
      </c>
      <c r="K7" s="9">
        <v>0</v>
      </c>
      <c r="L7" s="9">
        <f>D7+J7-H7-I7-K7</f>
        <v>42.1916</v>
      </c>
    </row>
    <row r="8" spans="1:12" ht="25" customHeight="1">
      <c r="A8" s="3" t="s">
        <v>69</v>
      </c>
      <c r="B8" s="4" t="s">
        <v>318</v>
      </c>
      <c r="C8" s="24">
        <v>1</v>
      </c>
      <c r="D8" s="10">
        <v>2691.362087132146</v>
      </c>
      <c r="E8" s="22">
        <v>0.07000000000000001</v>
      </c>
      <c r="F8" s="10">
        <v>188.3953460992502</v>
      </c>
      <c r="G8" s="10">
        <v>53.82724174264292</v>
      </c>
      <c r="H8" s="10">
        <v>53.82724174264292</v>
      </c>
      <c r="I8" s="10">
        <v>0</v>
      </c>
      <c r="J8" s="10">
        <v>0</v>
      </c>
      <c r="K8" s="10">
        <v>0</v>
      </c>
      <c r="L8" s="10">
        <f>D8+J8-H8-I8-K8</f>
        <v>2637.534845389503</v>
      </c>
    </row>
    <row r="9" spans="1:12" ht="40" customHeight="1">
      <c r="A9" s="6" t="s">
        <v>69</v>
      </c>
      <c r="B9" s="7" t="s">
        <v>319</v>
      </c>
      <c r="C9" s="23">
        <v>1</v>
      </c>
      <c r="D9" s="9">
        <v>0</v>
      </c>
      <c r="E9" s="21">
        <v>0.045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f>D9+J9-H9-I9-K9</f>
        <v>0.0</v>
      </c>
    </row>
    <row r="10" spans="1:12" ht="25" customHeight="1">
      <c r="A10" s="3" t="s">
        <v>69</v>
      </c>
      <c r="B10" s="4" t="s">
        <v>315</v>
      </c>
      <c r="C10" s="24">
        <v>2</v>
      </c>
      <c r="D10" s="10">
        <v>750</v>
      </c>
      <c r="E10" s="22">
        <v>0.0315</v>
      </c>
      <c r="F10" s="10">
        <v>23.625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f>D10+J10-H10-I10-K10</f>
        <v>750.0</v>
      </c>
    </row>
    <row r="11" spans="1:12" ht="25" customHeight="1">
      <c r="A11" s="6" t="s">
        <v>69</v>
      </c>
      <c r="B11" s="7" t="s">
        <v>316</v>
      </c>
      <c r="C11" s="23">
        <v>2</v>
      </c>
      <c r="D11" s="9">
        <v>750</v>
      </c>
      <c r="E11" s="21">
        <v>0.041</v>
      </c>
      <c r="F11" s="9">
        <v>30.75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f>D11+J11-H11-I11-K11</f>
        <v>750.0</v>
      </c>
    </row>
    <row r="12" spans="1:12" ht="40" customHeight="1">
      <c r="A12" s="3" t="s">
        <v>69</v>
      </c>
      <c r="B12" s="4" t="s">
        <v>317</v>
      </c>
      <c r="C12" s="24">
        <v>2</v>
      </c>
      <c r="D12" s="10">
        <v>42.1916</v>
      </c>
      <c r="E12" s="22">
        <v>0.044</v>
      </c>
      <c r="F12" s="10">
        <v>1.8564304</v>
      </c>
      <c r="G12" s="10">
        <v>3.3935696</v>
      </c>
      <c r="H12" s="10">
        <v>0</v>
      </c>
      <c r="I12" s="10">
        <v>0</v>
      </c>
      <c r="J12" s="10">
        <v>0</v>
      </c>
      <c r="K12" s="10">
        <v>0</v>
      </c>
      <c r="L12" s="10">
        <f>D12+J12-H12-I12-K12</f>
        <v>42.1916</v>
      </c>
    </row>
    <row r="13" spans="1:12" ht="25" customHeight="1">
      <c r="A13" s="6" t="s">
        <v>69</v>
      </c>
      <c r="B13" s="7" t="s">
        <v>318</v>
      </c>
      <c r="C13" s="23">
        <v>2</v>
      </c>
      <c r="D13" s="9">
        <v>2637.534845389503</v>
      </c>
      <c r="E13" s="21">
        <v>0.07000000000000001</v>
      </c>
      <c r="F13" s="9">
        <v>184.6274391772652</v>
      </c>
      <c r="G13" s="9">
        <v>53.82724174264292</v>
      </c>
      <c r="H13" s="9">
        <v>0</v>
      </c>
      <c r="I13" s="9">
        <v>0</v>
      </c>
      <c r="J13" s="9">
        <v>0</v>
      </c>
      <c r="K13" s="9">
        <v>0</v>
      </c>
      <c r="L13" s="9">
        <f>D13+J13-H13-I13-K13</f>
        <v>2637.534845389503</v>
      </c>
    </row>
    <row r="14" spans="1:12" ht="40" customHeight="1">
      <c r="A14" s="3" t="s">
        <v>69</v>
      </c>
      <c r="B14" s="4" t="s">
        <v>319</v>
      </c>
      <c r="C14" s="24">
        <v>2</v>
      </c>
      <c r="D14" s="10">
        <v>0</v>
      </c>
      <c r="E14" s="22">
        <v>0.045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f>D14+J14-H14-I14-K14</f>
        <v>0.0</v>
      </c>
    </row>
    <row r="15" spans="1:12" ht="25" customHeight="1">
      <c r="A15" s="6" t="s">
        <v>69</v>
      </c>
      <c r="B15" s="7" t="s">
        <v>315</v>
      </c>
      <c r="C15" s="23">
        <v>3</v>
      </c>
      <c r="D15" s="9">
        <v>750</v>
      </c>
      <c r="E15" s="21">
        <v>0.0315</v>
      </c>
      <c r="F15" s="9">
        <v>23.625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f>D15+J15-H15-I15-K15</f>
        <v>750.0</v>
      </c>
    </row>
    <row r="16" spans="1:12" ht="25" customHeight="1">
      <c r="A16" s="3" t="s">
        <v>69</v>
      </c>
      <c r="B16" s="4" t="s">
        <v>316</v>
      </c>
      <c r="C16" s="24">
        <v>3</v>
      </c>
      <c r="D16" s="10">
        <v>750</v>
      </c>
      <c r="E16" s="22">
        <v>0.041</v>
      </c>
      <c r="F16" s="10">
        <v>30.75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f>D16+J16-H16-I16-K16</f>
        <v>750.0</v>
      </c>
    </row>
    <row r="17" spans="1:12" ht="40" customHeight="1">
      <c r="A17" s="6" t="s">
        <v>69</v>
      </c>
      <c r="B17" s="7" t="s">
        <v>317</v>
      </c>
      <c r="C17" s="23">
        <v>3</v>
      </c>
      <c r="D17" s="9">
        <v>42.1916</v>
      </c>
      <c r="E17" s="21">
        <v>0.044</v>
      </c>
      <c r="F17" s="9">
        <v>1.8564304</v>
      </c>
      <c r="G17" s="9">
        <v>2.3935696</v>
      </c>
      <c r="H17" s="9">
        <v>0</v>
      </c>
      <c r="I17" s="9">
        <v>0</v>
      </c>
      <c r="J17" s="9">
        <v>0</v>
      </c>
      <c r="K17" s="9">
        <v>0</v>
      </c>
      <c r="L17" s="9">
        <f>D17+J17-H17-I17-K17</f>
        <v>42.1916</v>
      </c>
    </row>
    <row r="18" spans="1:12" ht="25" customHeight="1">
      <c r="A18" s="3" t="s">
        <v>69</v>
      </c>
      <c r="B18" s="4" t="s">
        <v>318</v>
      </c>
      <c r="C18" s="24">
        <v>3</v>
      </c>
      <c r="D18" s="10">
        <v>2637.534845389503</v>
      </c>
      <c r="E18" s="22">
        <v>0.07000000000000001</v>
      </c>
      <c r="F18" s="10">
        <v>184.6274391772652</v>
      </c>
      <c r="G18" s="10">
        <v>53.82724174264292</v>
      </c>
      <c r="H18" s="10">
        <v>0</v>
      </c>
      <c r="I18" s="10">
        <v>0</v>
      </c>
      <c r="J18" s="10">
        <v>0</v>
      </c>
      <c r="K18" s="10">
        <v>0</v>
      </c>
      <c r="L18" s="10">
        <f>D18+J18-H18-I18-K18</f>
        <v>2637.534845389503</v>
      </c>
    </row>
    <row r="19" spans="1:12" ht="40" customHeight="1">
      <c r="A19" s="6" t="s">
        <v>69</v>
      </c>
      <c r="B19" s="7" t="s">
        <v>319</v>
      </c>
      <c r="C19" s="23">
        <v>3</v>
      </c>
      <c r="D19" s="9">
        <v>0</v>
      </c>
      <c r="E19" s="21">
        <v>0.045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f>D19+J19-H19-I19-K19</f>
        <v>0.0</v>
      </c>
    </row>
    <row r="20" spans="1:12" ht="25" customHeight="1">
      <c r="A20" s="3" t="s">
        <v>69</v>
      </c>
      <c r="B20" s="4" t="s">
        <v>315</v>
      </c>
      <c r="C20" s="24">
        <v>4</v>
      </c>
      <c r="D20" s="10">
        <v>750</v>
      </c>
      <c r="E20" s="22">
        <v>0.0315</v>
      </c>
      <c r="F20" s="10">
        <v>23.625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f>D20+J20-H20-I20-K20</f>
        <v>750.0</v>
      </c>
    </row>
    <row r="21" spans="1:12" ht="25" customHeight="1">
      <c r="A21" s="6" t="s">
        <v>69</v>
      </c>
      <c r="B21" s="7" t="s">
        <v>316</v>
      </c>
      <c r="C21" s="23">
        <v>4</v>
      </c>
      <c r="D21" s="9">
        <v>750</v>
      </c>
      <c r="E21" s="21">
        <v>0.041</v>
      </c>
      <c r="F21" s="9">
        <v>30.75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f>D21+J21-H21-I21-K21</f>
        <v>750.0</v>
      </c>
    </row>
    <row r="22" spans="1:12" ht="40" customHeight="1">
      <c r="A22" s="3" t="s">
        <v>69</v>
      </c>
      <c r="B22" s="4" t="s">
        <v>317</v>
      </c>
      <c r="C22" s="24">
        <v>4</v>
      </c>
      <c r="D22" s="10">
        <v>42.1916</v>
      </c>
      <c r="E22" s="22">
        <v>0.044</v>
      </c>
      <c r="F22" s="10">
        <v>1.8564304</v>
      </c>
      <c r="G22" s="10">
        <v>2.1435696</v>
      </c>
      <c r="H22" s="10">
        <v>0</v>
      </c>
      <c r="I22" s="10">
        <v>0</v>
      </c>
      <c r="J22" s="10">
        <v>0</v>
      </c>
      <c r="K22" s="10">
        <v>0</v>
      </c>
      <c r="L22" s="10">
        <f>D22+J22-H22-I22-K22</f>
        <v>42.1916</v>
      </c>
    </row>
    <row r="23" spans="1:12" ht="25" customHeight="1">
      <c r="A23" s="6" t="s">
        <v>69</v>
      </c>
      <c r="B23" s="7" t="s">
        <v>318</v>
      </c>
      <c r="C23" s="23">
        <v>4</v>
      </c>
      <c r="D23" s="9">
        <v>2637.534845389503</v>
      </c>
      <c r="E23" s="21">
        <v>0.07000000000000001</v>
      </c>
      <c r="F23" s="9">
        <v>184.6274391772652</v>
      </c>
      <c r="G23" s="9">
        <v>53.82724174264292</v>
      </c>
      <c r="H23" s="9">
        <v>0</v>
      </c>
      <c r="I23" s="9">
        <v>0</v>
      </c>
      <c r="J23" s="9">
        <v>0</v>
      </c>
      <c r="K23" s="9">
        <v>0</v>
      </c>
      <c r="L23" s="9">
        <f>D23+J23-H23-I23-K23</f>
        <v>2637.534845389503</v>
      </c>
    </row>
    <row r="24" spans="1:12" ht="40" customHeight="1">
      <c r="A24" s="3" t="s">
        <v>69</v>
      </c>
      <c r="B24" s="4" t="s">
        <v>319</v>
      </c>
      <c r="C24" s="24">
        <v>4</v>
      </c>
      <c r="D24" s="10">
        <v>0</v>
      </c>
      <c r="E24" s="22">
        <v>0.045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f>D24+J24-H24-I24-K24</f>
        <v>0.0</v>
      </c>
    </row>
    <row r="25" spans="1:12" ht="25" customHeight="1">
      <c r="A25" s="6" t="s">
        <v>69</v>
      </c>
      <c r="B25" s="7" t="s">
        <v>315</v>
      </c>
      <c r="C25" s="23">
        <v>5</v>
      </c>
      <c r="D25" s="9">
        <v>750</v>
      </c>
      <c r="E25" s="21">
        <v>0.0315</v>
      </c>
      <c r="F25" s="9">
        <v>23.625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f>D25+J25-H25-I25-K25</f>
        <v>750.0</v>
      </c>
    </row>
    <row r="26" spans="1:12" ht="25" customHeight="1">
      <c r="A26" s="3" t="s">
        <v>69</v>
      </c>
      <c r="B26" s="4" t="s">
        <v>316</v>
      </c>
      <c r="C26" s="24">
        <v>5</v>
      </c>
      <c r="D26" s="10">
        <v>750</v>
      </c>
      <c r="E26" s="22">
        <v>0.041</v>
      </c>
      <c r="F26" s="10">
        <v>30.75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f>D26+J26-H26-I26-K26</f>
        <v>750.0</v>
      </c>
    </row>
    <row r="27" spans="1:12" ht="40" customHeight="1">
      <c r="A27" s="6" t="s">
        <v>69</v>
      </c>
      <c r="B27" s="7" t="s">
        <v>317</v>
      </c>
      <c r="C27" s="23">
        <v>5</v>
      </c>
      <c r="D27" s="9">
        <v>42.1916</v>
      </c>
      <c r="E27" s="21">
        <v>0.044</v>
      </c>
      <c r="F27" s="9">
        <v>1.8564304</v>
      </c>
      <c r="G27" s="9">
        <v>2.1435696</v>
      </c>
      <c r="H27" s="9">
        <v>0</v>
      </c>
      <c r="I27" s="9">
        <v>0</v>
      </c>
      <c r="J27" s="9">
        <v>0</v>
      </c>
      <c r="K27" s="9">
        <v>0</v>
      </c>
      <c r="L27" s="9">
        <f>D27+J27-H27-I27-K27</f>
        <v>42.1916</v>
      </c>
    </row>
    <row r="28" spans="1:12" ht="25" customHeight="1">
      <c r="A28" s="3" t="s">
        <v>69</v>
      </c>
      <c r="B28" s="4" t="s">
        <v>318</v>
      </c>
      <c r="C28" s="24">
        <v>5</v>
      </c>
      <c r="D28" s="10">
        <v>2637.534845389503</v>
      </c>
      <c r="E28" s="22">
        <v>0.07000000000000001</v>
      </c>
      <c r="F28" s="10">
        <v>184.6274391772652</v>
      </c>
      <c r="G28" s="10">
        <v>2637.534845389503</v>
      </c>
      <c r="H28" s="10">
        <v>0</v>
      </c>
      <c r="I28" s="10">
        <v>0</v>
      </c>
      <c r="J28" s="10">
        <v>0</v>
      </c>
      <c r="K28" s="10">
        <v>0</v>
      </c>
      <c r="L28" s="10">
        <f>D28+J28-H28-I28-K28</f>
        <v>2637.534845389503</v>
      </c>
    </row>
    <row r="29" spans="1:12" ht="40" customHeight="1">
      <c r="A29" s="6" t="s">
        <v>69</v>
      </c>
      <c r="B29" s="7" t="s">
        <v>319</v>
      </c>
      <c r="C29" s="23">
        <v>5</v>
      </c>
      <c r="D29" s="9">
        <v>0</v>
      </c>
      <c r="E29" s="21">
        <v>0.045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f>D29+J29-H29-I29-K29</f>
        <v>0.0</v>
      </c>
    </row>
    <row r="30" spans="1:12" ht="25" customHeight="1">
      <c r="A30" s="3" t="s">
        <v>79</v>
      </c>
      <c r="B30" s="4" t="s">
        <v>315</v>
      </c>
      <c r="C30" s="24">
        <v>1</v>
      </c>
      <c r="D30" s="10">
        <v>750</v>
      </c>
      <c r="E30" s="22">
        <v>0.0315</v>
      </c>
      <c r="F30" s="10">
        <v>23.625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f>D30+J30-H30-I30-K30</f>
        <v>750.0</v>
      </c>
    </row>
    <row r="31" spans="1:12" ht="25" customHeight="1">
      <c r="A31" s="6" t="s">
        <v>79</v>
      </c>
      <c r="B31" s="7" t="s">
        <v>316</v>
      </c>
      <c r="C31" s="23">
        <v>1</v>
      </c>
      <c r="D31" s="9">
        <v>750</v>
      </c>
      <c r="E31" s="21">
        <v>0.041</v>
      </c>
      <c r="F31" s="9">
        <v>30.75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f>D31+J31-H31-I31-K31</f>
        <v>750.0</v>
      </c>
    </row>
    <row r="32" spans="1:12" ht="40" customHeight="1">
      <c r="A32" s="3" t="s">
        <v>79</v>
      </c>
      <c r="B32" s="4" t="s">
        <v>317</v>
      </c>
      <c r="C32" s="24">
        <v>1</v>
      </c>
      <c r="D32" s="10">
        <v>46.4</v>
      </c>
      <c r="E32" s="22">
        <v>0.044</v>
      </c>
      <c r="F32" s="10">
        <v>2.0416</v>
      </c>
      <c r="G32" s="10">
        <v>4.2084</v>
      </c>
      <c r="H32" s="10">
        <v>4.2084</v>
      </c>
      <c r="I32" s="10">
        <v>0</v>
      </c>
      <c r="J32" s="10">
        <v>0</v>
      </c>
      <c r="K32" s="10">
        <v>0</v>
      </c>
      <c r="L32" s="10">
        <f>D32+J32-H32-I32-K32</f>
        <v>42.1916</v>
      </c>
    </row>
    <row r="33" spans="1:12" ht="25" customHeight="1">
      <c r="A33" s="6" t="s">
        <v>79</v>
      </c>
      <c r="B33" s="7" t="s">
        <v>318</v>
      </c>
      <c r="C33" s="23">
        <v>1</v>
      </c>
      <c r="D33" s="9">
        <v>2949.195269654422</v>
      </c>
      <c r="E33" s="21">
        <v>0.07000000000000001</v>
      </c>
      <c r="F33" s="9">
        <v>206.4436688758095</v>
      </c>
      <c r="G33" s="9">
        <v>58.98390539308843</v>
      </c>
      <c r="H33" s="9">
        <v>58.98390539308843</v>
      </c>
      <c r="I33" s="9">
        <v>82.63580104940274</v>
      </c>
      <c r="J33" s="9">
        <v>0</v>
      </c>
      <c r="K33" s="9">
        <v>0</v>
      </c>
      <c r="L33" s="9">
        <f>D33+J33-H33-I33-K33</f>
        <v>2807.5755632119303</v>
      </c>
    </row>
    <row r="34" spans="1:12" ht="40" customHeight="1">
      <c r="A34" s="3" t="s">
        <v>79</v>
      </c>
      <c r="B34" s="4" t="s">
        <v>319</v>
      </c>
      <c r="C34" s="24">
        <v>1</v>
      </c>
      <c r="D34" s="10">
        <v>0</v>
      </c>
      <c r="E34" s="22">
        <v>0.045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f>D34+J34-H34-I34-K34</f>
        <v>0.0</v>
      </c>
    </row>
    <row r="35" spans="1:12" ht="25" customHeight="1">
      <c r="A35" s="6" t="s">
        <v>79</v>
      </c>
      <c r="B35" s="7" t="s">
        <v>315</v>
      </c>
      <c r="C35" s="23">
        <v>2</v>
      </c>
      <c r="D35" s="9">
        <v>750</v>
      </c>
      <c r="E35" s="21">
        <v>0.0315</v>
      </c>
      <c r="F35" s="9">
        <v>23.625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>D35+J35-H35-I35-K35</f>
        <v>750.0</v>
      </c>
    </row>
    <row r="36" spans="1:12" ht="25" customHeight="1">
      <c r="A36" s="3" t="s">
        <v>79</v>
      </c>
      <c r="B36" s="4" t="s">
        <v>316</v>
      </c>
      <c r="C36" s="24">
        <v>2</v>
      </c>
      <c r="D36" s="10">
        <v>750</v>
      </c>
      <c r="E36" s="22">
        <v>0.041</v>
      </c>
      <c r="F36" s="10">
        <v>30.75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f>D36+J36-H36-I36-K36</f>
        <v>750.0</v>
      </c>
    </row>
    <row r="37" spans="1:12" ht="40" customHeight="1">
      <c r="A37" s="6" t="s">
        <v>79</v>
      </c>
      <c r="B37" s="7" t="s">
        <v>317</v>
      </c>
      <c r="C37" s="23">
        <v>2</v>
      </c>
      <c r="D37" s="9">
        <v>42.1916</v>
      </c>
      <c r="E37" s="21">
        <v>0.044</v>
      </c>
      <c r="F37" s="9">
        <v>1.8564304</v>
      </c>
      <c r="G37" s="9">
        <v>3.3935696</v>
      </c>
      <c r="H37" s="9">
        <v>3.3935696</v>
      </c>
      <c r="I37" s="9">
        <v>0</v>
      </c>
      <c r="J37" s="9">
        <v>0</v>
      </c>
      <c r="K37" s="9">
        <v>0</v>
      </c>
      <c r="L37" s="9">
        <f>D37+J37-H37-I37-K37</f>
        <v>38.7980304</v>
      </c>
    </row>
    <row r="38" spans="1:12" ht="25" customHeight="1">
      <c r="A38" s="3" t="s">
        <v>79</v>
      </c>
      <c r="B38" s="4" t="s">
        <v>318</v>
      </c>
      <c r="C38" s="24">
        <v>2</v>
      </c>
      <c r="D38" s="10">
        <v>2807.57556321193</v>
      </c>
      <c r="E38" s="22">
        <v>0.07000000000000001</v>
      </c>
      <c r="F38" s="10">
        <v>196.5302894248351</v>
      </c>
      <c r="G38" s="10">
        <v>58.98390539308843</v>
      </c>
      <c r="H38" s="10">
        <v>58.98390539308843</v>
      </c>
      <c r="I38" s="10">
        <v>0</v>
      </c>
      <c r="J38" s="10">
        <v>0</v>
      </c>
      <c r="K38" s="10">
        <v>0</v>
      </c>
      <c r="L38" s="10">
        <f>D38+J38-H38-I38-K38</f>
        <v>2748.5916578188417</v>
      </c>
    </row>
    <row r="39" spans="1:12" ht="40" customHeight="1">
      <c r="A39" s="6" t="s">
        <v>79</v>
      </c>
      <c r="B39" s="7" t="s">
        <v>319</v>
      </c>
      <c r="C39" s="23">
        <v>2</v>
      </c>
      <c r="D39" s="9">
        <v>0</v>
      </c>
      <c r="E39" s="21">
        <v>0.045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>D39+J39-H39-I39-K39</f>
        <v>0.0</v>
      </c>
    </row>
    <row r="40" spans="1:12" ht="25" customHeight="1">
      <c r="A40" s="3" t="s">
        <v>79</v>
      </c>
      <c r="B40" s="4" t="s">
        <v>315</v>
      </c>
      <c r="C40" s="24">
        <v>3</v>
      </c>
      <c r="D40" s="10">
        <v>750</v>
      </c>
      <c r="E40" s="22">
        <v>0.0315</v>
      </c>
      <c r="F40" s="10">
        <v>23.625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f>D40+J40-H40-I40-K40</f>
        <v>750.0</v>
      </c>
    </row>
    <row r="41" spans="1:12" ht="25" customHeight="1">
      <c r="A41" s="6" t="s">
        <v>79</v>
      </c>
      <c r="B41" s="7" t="s">
        <v>316</v>
      </c>
      <c r="C41" s="23">
        <v>3</v>
      </c>
      <c r="D41" s="9">
        <v>750</v>
      </c>
      <c r="E41" s="21">
        <v>0.041</v>
      </c>
      <c r="F41" s="9">
        <v>30.75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>D41+J41-H41-I41-K41</f>
        <v>750.0</v>
      </c>
    </row>
    <row r="42" spans="1:12" ht="40" customHeight="1">
      <c r="A42" s="3" t="s">
        <v>79</v>
      </c>
      <c r="B42" s="4" t="s">
        <v>317</v>
      </c>
      <c r="C42" s="24">
        <v>3</v>
      </c>
      <c r="D42" s="10">
        <v>38.7980304</v>
      </c>
      <c r="E42" s="22">
        <v>0.044</v>
      </c>
      <c r="F42" s="10">
        <v>1.7071133376</v>
      </c>
      <c r="G42" s="10">
        <v>2.5428866624</v>
      </c>
      <c r="H42" s="10">
        <v>0</v>
      </c>
      <c r="I42" s="10">
        <v>0</v>
      </c>
      <c r="J42" s="10">
        <v>0</v>
      </c>
      <c r="K42" s="10">
        <v>0</v>
      </c>
      <c r="L42" s="10">
        <f>D42+J42-H42-I42-K42</f>
        <v>38.7980304</v>
      </c>
    </row>
    <row r="43" spans="1:12" ht="25" customHeight="1">
      <c r="A43" s="6" t="s">
        <v>79</v>
      </c>
      <c r="B43" s="7" t="s">
        <v>318</v>
      </c>
      <c r="C43" s="23">
        <v>3</v>
      </c>
      <c r="D43" s="9">
        <v>2748.591657818842</v>
      </c>
      <c r="E43" s="21">
        <v>0.07000000000000001</v>
      </c>
      <c r="F43" s="9">
        <v>192.4014160473189</v>
      </c>
      <c r="G43" s="9">
        <v>58.98390539308843</v>
      </c>
      <c r="H43" s="9">
        <v>0</v>
      </c>
      <c r="I43" s="9">
        <v>0</v>
      </c>
      <c r="J43" s="9">
        <v>0</v>
      </c>
      <c r="K43" s="9">
        <v>0</v>
      </c>
      <c r="L43" s="9">
        <f>D43+J43-H43-I43-K43</f>
        <v>2748.5916578188417</v>
      </c>
    </row>
    <row r="44" spans="1:12" ht="40" customHeight="1">
      <c r="A44" s="3" t="s">
        <v>79</v>
      </c>
      <c r="B44" s="4" t="s">
        <v>319</v>
      </c>
      <c r="C44" s="24">
        <v>3</v>
      </c>
      <c r="D44" s="10">
        <v>0</v>
      </c>
      <c r="E44" s="22">
        <v>0.045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f>D44+J44-H44-I44-K44</f>
        <v>0.0</v>
      </c>
    </row>
    <row r="45" spans="1:12" ht="25" customHeight="1">
      <c r="A45" s="6" t="s">
        <v>79</v>
      </c>
      <c r="B45" s="7" t="s">
        <v>315</v>
      </c>
      <c r="C45" s="23">
        <v>4</v>
      </c>
      <c r="D45" s="9">
        <v>750</v>
      </c>
      <c r="E45" s="21">
        <v>0.0315</v>
      </c>
      <c r="F45" s="9">
        <v>23.625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>D45+J45-H45-I45-K45</f>
        <v>750.0</v>
      </c>
    </row>
    <row r="46" spans="1:12" ht="25" customHeight="1">
      <c r="A46" s="3" t="s">
        <v>79</v>
      </c>
      <c r="B46" s="4" t="s">
        <v>316</v>
      </c>
      <c r="C46" s="24">
        <v>4</v>
      </c>
      <c r="D46" s="10">
        <v>750</v>
      </c>
      <c r="E46" s="22">
        <v>0.041</v>
      </c>
      <c r="F46" s="10">
        <v>30.75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f>D46+J46-H46-I46-K46</f>
        <v>750.0</v>
      </c>
    </row>
    <row r="47" spans="1:12" ht="40" customHeight="1">
      <c r="A47" s="6" t="s">
        <v>79</v>
      </c>
      <c r="B47" s="7" t="s">
        <v>317</v>
      </c>
      <c r="C47" s="23">
        <v>4</v>
      </c>
      <c r="D47" s="9">
        <v>38.7980304</v>
      </c>
      <c r="E47" s="21">
        <v>0.044</v>
      </c>
      <c r="F47" s="9">
        <v>1.7071133376</v>
      </c>
      <c r="G47" s="9">
        <v>2.2928866624</v>
      </c>
      <c r="H47" s="9">
        <v>0</v>
      </c>
      <c r="I47" s="9">
        <v>0</v>
      </c>
      <c r="J47" s="9">
        <v>0</v>
      </c>
      <c r="K47" s="9">
        <v>0</v>
      </c>
      <c r="L47" s="9">
        <f>D47+J47-H47-I47-K47</f>
        <v>38.7980304</v>
      </c>
    </row>
    <row r="48" spans="1:12" ht="25" customHeight="1">
      <c r="A48" s="3" t="s">
        <v>79</v>
      </c>
      <c r="B48" s="4" t="s">
        <v>318</v>
      </c>
      <c r="C48" s="24">
        <v>4</v>
      </c>
      <c r="D48" s="10">
        <v>2748.591657818842</v>
      </c>
      <c r="E48" s="22">
        <v>0.07000000000000001</v>
      </c>
      <c r="F48" s="10">
        <v>192.4014160473189</v>
      </c>
      <c r="G48" s="10">
        <v>58.98390539308843</v>
      </c>
      <c r="H48" s="10">
        <v>0</v>
      </c>
      <c r="I48" s="10">
        <v>0</v>
      </c>
      <c r="J48" s="10">
        <v>0</v>
      </c>
      <c r="K48" s="10">
        <v>0</v>
      </c>
      <c r="L48" s="10">
        <f>D48+J48-H48-I48-K48</f>
        <v>2748.5916578188417</v>
      </c>
    </row>
    <row r="49" spans="1:12" ht="40" customHeight="1">
      <c r="A49" s="6" t="s">
        <v>79</v>
      </c>
      <c r="B49" s="7" t="s">
        <v>319</v>
      </c>
      <c r="C49" s="23">
        <v>4</v>
      </c>
      <c r="D49" s="9">
        <v>0</v>
      </c>
      <c r="E49" s="21">
        <v>0.045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>D49+J49-H49-I49-K49</f>
        <v>0.0</v>
      </c>
    </row>
    <row r="50" spans="1:12" ht="25" customHeight="1">
      <c r="A50" s="3" t="s">
        <v>79</v>
      </c>
      <c r="B50" s="4" t="s">
        <v>315</v>
      </c>
      <c r="C50" s="24">
        <v>5</v>
      </c>
      <c r="D50" s="10">
        <v>750</v>
      </c>
      <c r="E50" s="22">
        <v>0.0315</v>
      </c>
      <c r="F50" s="10">
        <v>23.625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f>D50+J50-H50-I50-K50</f>
        <v>750.0</v>
      </c>
    </row>
    <row r="51" spans="1:12" ht="25" customHeight="1">
      <c r="A51" s="6" t="s">
        <v>79</v>
      </c>
      <c r="B51" s="7" t="s">
        <v>316</v>
      </c>
      <c r="C51" s="23">
        <v>5</v>
      </c>
      <c r="D51" s="9">
        <v>750</v>
      </c>
      <c r="E51" s="21">
        <v>0.041</v>
      </c>
      <c r="F51" s="9">
        <v>30.75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f>D51+J51-H51-I51-K51</f>
        <v>750.0</v>
      </c>
    </row>
    <row r="52" spans="1:12" ht="40" customHeight="1">
      <c r="A52" s="3" t="s">
        <v>79</v>
      </c>
      <c r="B52" s="4" t="s">
        <v>317</v>
      </c>
      <c r="C52" s="24">
        <v>5</v>
      </c>
      <c r="D52" s="10">
        <v>38.7980304</v>
      </c>
      <c r="E52" s="22">
        <v>0.044</v>
      </c>
      <c r="F52" s="10">
        <v>1.7071133376</v>
      </c>
      <c r="G52" s="10">
        <v>2.2928866624</v>
      </c>
      <c r="H52" s="10">
        <v>0</v>
      </c>
      <c r="I52" s="10">
        <v>0</v>
      </c>
      <c r="J52" s="10">
        <v>0</v>
      </c>
      <c r="K52" s="10">
        <v>0</v>
      </c>
      <c r="L52" s="10">
        <f>D52+J52-H52-I52-K52</f>
        <v>38.7980304</v>
      </c>
    </row>
    <row r="53" spans="1:12" ht="25" customHeight="1">
      <c r="A53" s="6" t="s">
        <v>79</v>
      </c>
      <c r="B53" s="7" t="s">
        <v>318</v>
      </c>
      <c r="C53" s="23">
        <v>5</v>
      </c>
      <c r="D53" s="9">
        <v>2748.591657818842</v>
      </c>
      <c r="E53" s="21">
        <v>0.07000000000000001</v>
      </c>
      <c r="F53" s="9">
        <v>192.4014160473189</v>
      </c>
      <c r="G53" s="9">
        <v>2748.591657818842</v>
      </c>
      <c r="H53" s="9">
        <v>0</v>
      </c>
      <c r="I53" s="9">
        <v>0</v>
      </c>
      <c r="J53" s="9">
        <v>0</v>
      </c>
      <c r="K53" s="9">
        <v>0</v>
      </c>
      <c r="L53" s="9">
        <f>D53+J53-H53-I53-K53</f>
        <v>2748.5916578188417</v>
      </c>
    </row>
    <row r="54" spans="1:12" ht="40" customHeight="1">
      <c r="A54" s="3" t="s">
        <v>79</v>
      </c>
      <c r="B54" s="4" t="s">
        <v>319</v>
      </c>
      <c r="C54" s="24">
        <v>5</v>
      </c>
      <c r="D54" s="10">
        <v>0</v>
      </c>
      <c r="E54" s="22">
        <v>0.045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f>D54+J54-H54-I54-K54</f>
        <v>0.0</v>
      </c>
    </row>
    <row r="55" spans="1:12" ht="25" customHeight="1">
      <c r="A55" s="6" t="s">
        <v>80</v>
      </c>
      <c r="B55" s="7" t="s">
        <v>315</v>
      </c>
      <c r="C55" s="23">
        <v>1</v>
      </c>
      <c r="D55" s="9">
        <v>750</v>
      </c>
      <c r="E55" s="21">
        <v>0.0315</v>
      </c>
      <c r="F55" s="9">
        <v>23.625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f>D55+J55-H55-I55-K55</f>
        <v>750.0</v>
      </c>
    </row>
    <row r="56" spans="1:12" ht="25" customHeight="1">
      <c r="A56" s="3" t="s">
        <v>80</v>
      </c>
      <c r="B56" s="4" t="s">
        <v>316</v>
      </c>
      <c r="C56" s="24">
        <v>1</v>
      </c>
      <c r="D56" s="10">
        <v>750</v>
      </c>
      <c r="E56" s="22">
        <v>0.041</v>
      </c>
      <c r="F56" s="10">
        <v>30.75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f>D56+J56-H56-I56-K56</f>
        <v>750.0</v>
      </c>
    </row>
    <row r="57" spans="1:12" ht="40" customHeight="1">
      <c r="A57" s="6" t="s">
        <v>80</v>
      </c>
      <c r="B57" s="7" t="s">
        <v>317</v>
      </c>
      <c r="C57" s="23">
        <v>1</v>
      </c>
      <c r="D57" s="9">
        <v>46.4</v>
      </c>
      <c r="E57" s="21">
        <v>0.044</v>
      </c>
      <c r="F57" s="9">
        <v>2.0416</v>
      </c>
      <c r="G57" s="9">
        <v>4.2084</v>
      </c>
      <c r="H57" s="9">
        <v>4.2084</v>
      </c>
      <c r="I57" s="9">
        <v>0</v>
      </c>
      <c r="J57" s="9">
        <v>0</v>
      </c>
      <c r="K57" s="9">
        <v>0</v>
      </c>
      <c r="L57" s="9">
        <f>D57+J57-H57-I57-K57</f>
        <v>42.1916</v>
      </c>
    </row>
    <row r="58" spans="1:12" ht="25" customHeight="1">
      <c r="A58" s="3" t="s">
        <v>80</v>
      </c>
      <c r="B58" s="4" t="s">
        <v>318</v>
      </c>
      <c r="C58" s="24">
        <v>1</v>
      </c>
      <c r="D58" s="10">
        <v>1521.232511621942</v>
      </c>
      <c r="E58" s="22">
        <v>0.07000000000000001</v>
      </c>
      <c r="F58" s="10">
        <v>106.486275813536</v>
      </c>
      <c r="G58" s="10">
        <v>30.42465023243884</v>
      </c>
      <c r="H58" s="10">
        <v>30.42465023243884</v>
      </c>
      <c r="I58" s="10">
        <v>0</v>
      </c>
      <c r="J58" s="10">
        <v>0</v>
      </c>
      <c r="K58" s="10">
        <v>0</v>
      </c>
      <c r="L58" s="10">
        <f>D58+J58-H58-I58-K58</f>
        <v>1490.8078613895034</v>
      </c>
    </row>
    <row r="59" spans="1:12" ht="40" customHeight="1">
      <c r="A59" s="6" t="s">
        <v>80</v>
      </c>
      <c r="B59" s="7" t="s">
        <v>319</v>
      </c>
      <c r="C59" s="23">
        <v>1</v>
      </c>
      <c r="D59" s="9">
        <v>0</v>
      </c>
      <c r="E59" s="21">
        <v>0.045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f>D59+J59-H59-I59-K59</f>
        <v>0.0</v>
      </c>
    </row>
    <row r="60" spans="1:12" ht="25" customHeight="1">
      <c r="A60" s="3" t="s">
        <v>80</v>
      </c>
      <c r="B60" s="4" t="s">
        <v>315</v>
      </c>
      <c r="C60" s="24">
        <v>2</v>
      </c>
      <c r="D60" s="10">
        <v>750</v>
      </c>
      <c r="E60" s="22">
        <v>0.0315</v>
      </c>
      <c r="F60" s="10">
        <v>23.625</v>
      </c>
      <c r="G60" s="10">
        <v>0</v>
      </c>
      <c r="H60" s="10">
        <v>0</v>
      </c>
      <c r="I60" s="10">
        <v>0</v>
      </c>
      <c r="J60" s="10">
        <v>0</v>
      </c>
      <c r="K60" s="10">
        <v>0</v>
      </c>
      <c r="L60" s="10">
        <f>D60+J60-H60-I60-K60</f>
        <v>750.0</v>
      </c>
    </row>
    <row r="61" spans="1:12" ht="25" customHeight="1">
      <c r="A61" s="6" t="s">
        <v>80</v>
      </c>
      <c r="B61" s="7" t="s">
        <v>316</v>
      </c>
      <c r="C61" s="23">
        <v>2</v>
      </c>
      <c r="D61" s="9">
        <v>750</v>
      </c>
      <c r="E61" s="21">
        <v>0.041</v>
      </c>
      <c r="F61" s="9">
        <v>30.75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f>D61+J61-H61-I61-K61</f>
        <v>750.0</v>
      </c>
    </row>
    <row r="62" spans="1:12" ht="40" customHeight="1">
      <c r="A62" s="3" t="s">
        <v>80</v>
      </c>
      <c r="B62" s="4" t="s">
        <v>317</v>
      </c>
      <c r="C62" s="24">
        <v>2</v>
      </c>
      <c r="D62" s="10">
        <v>42.1916</v>
      </c>
      <c r="E62" s="22">
        <v>0.044</v>
      </c>
      <c r="F62" s="10">
        <v>1.8564304</v>
      </c>
      <c r="G62" s="10">
        <v>3.3935696</v>
      </c>
      <c r="H62" s="10">
        <v>3.3935696</v>
      </c>
      <c r="I62" s="10">
        <v>0</v>
      </c>
      <c r="J62" s="10">
        <v>0</v>
      </c>
      <c r="K62" s="10">
        <v>0</v>
      </c>
      <c r="L62" s="10">
        <f>D62+J62-H62-I62-K62</f>
        <v>38.7980304</v>
      </c>
    </row>
    <row r="63" spans="1:12" ht="25" customHeight="1">
      <c r="A63" s="6" t="s">
        <v>80</v>
      </c>
      <c r="B63" s="7" t="s">
        <v>318</v>
      </c>
      <c r="C63" s="23">
        <v>2</v>
      </c>
      <c r="D63" s="9">
        <v>1490.807861389503</v>
      </c>
      <c r="E63" s="21">
        <v>0.07000000000000001</v>
      </c>
      <c r="F63" s="9">
        <v>104.3565502972652</v>
      </c>
      <c r="G63" s="9">
        <v>30.42465023243884</v>
      </c>
      <c r="H63" s="9">
        <v>30.42465023243884</v>
      </c>
      <c r="I63" s="9">
        <v>0</v>
      </c>
      <c r="J63" s="9">
        <v>0</v>
      </c>
      <c r="K63" s="9">
        <v>0</v>
      </c>
      <c r="L63" s="9">
        <f>D63+J63-H63-I63-K63</f>
        <v>1460.3832111570646</v>
      </c>
    </row>
    <row r="64" spans="1:12" ht="40" customHeight="1">
      <c r="A64" s="3" t="s">
        <v>80</v>
      </c>
      <c r="B64" s="4" t="s">
        <v>319</v>
      </c>
      <c r="C64" s="24">
        <v>2</v>
      </c>
      <c r="D64" s="10">
        <v>0</v>
      </c>
      <c r="E64" s="22">
        <v>0.045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f>D64+J64-H64-I64-K64</f>
        <v>0.0</v>
      </c>
    </row>
    <row r="65" spans="1:12" ht="25" customHeight="1">
      <c r="A65" s="6" t="s">
        <v>80</v>
      </c>
      <c r="B65" s="7" t="s">
        <v>315</v>
      </c>
      <c r="C65" s="23">
        <v>3</v>
      </c>
      <c r="D65" s="9">
        <v>750</v>
      </c>
      <c r="E65" s="21">
        <v>0.0315</v>
      </c>
      <c r="F65" s="9">
        <v>23.625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f>D65+J65-H65-I65-K65</f>
        <v>750.0</v>
      </c>
    </row>
    <row r="66" spans="1:12" ht="25" customHeight="1">
      <c r="A66" s="3" t="s">
        <v>80</v>
      </c>
      <c r="B66" s="4" t="s">
        <v>316</v>
      </c>
      <c r="C66" s="24">
        <v>3</v>
      </c>
      <c r="D66" s="10">
        <v>750</v>
      </c>
      <c r="E66" s="22">
        <v>0.041</v>
      </c>
      <c r="F66" s="10">
        <v>30.75</v>
      </c>
      <c r="G66" s="10">
        <v>0</v>
      </c>
      <c r="H66" s="10">
        <v>0</v>
      </c>
      <c r="I66" s="10">
        <v>0</v>
      </c>
      <c r="J66" s="10">
        <v>0</v>
      </c>
      <c r="K66" s="10">
        <v>0</v>
      </c>
      <c r="L66" s="10">
        <f>D66+J66-H66-I66-K66</f>
        <v>750.0</v>
      </c>
    </row>
    <row r="67" spans="1:12" ht="40" customHeight="1">
      <c r="A67" s="6" t="s">
        <v>80</v>
      </c>
      <c r="B67" s="7" t="s">
        <v>317</v>
      </c>
      <c r="C67" s="23">
        <v>3</v>
      </c>
      <c r="D67" s="9">
        <v>38.7980304</v>
      </c>
      <c r="E67" s="21">
        <v>0.044</v>
      </c>
      <c r="F67" s="9">
        <v>1.7071133376</v>
      </c>
      <c r="G67" s="9">
        <v>2.5428866624</v>
      </c>
      <c r="H67" s="9">
        <v>0</v>
      </c>
      <c r="I67" s="9">
        <v>0</v>
      </c>
      <c r="J67" s="9">
        <v>0</v>
      </c>
      <c r="K67" s="9">
        <v>0</v>
      </c>
      <c r="L67" s="9">
        <f>D67+J67-H67-I67-K67</f>
        <v>38.7980304</v>
      </c>
    </row>
    <row r="68" spans="1:12" ht="25" customHeight="1">
      <c r="A68" s="3" t="s">
        <v>80</v>
      </c>
      <c r="B68" s="4" t="s">
        <v>318</v>
      </c>
      <c r="C68" s="24">
        <v>3</v>
      </c>
      <c r="D68" s="10">
        <v>1460.383211157065</v>
      </c>
      <c r="E68" s="22">
        <v>0.07000000000000001</v>
      </c>
      <c r="F68" s="10">
        <v>102.2268247809945</v>
      </c>
      <c r="G68" s="10">
        <v>30.42465023243884</v>
      </c>
      <c r="H68" s="10">
        <v>0</v>
      </c>
      <c r="I68" s="10">
        <v>0</v>
      </c>
      <c r="J68" s="10">
        <v>0</v>
      </c>
      <c r="K68" s="10">
        <v>0</v>
      </c>
      <c r="L68" s="10">
        <f>D68+J68-H68-I68-K68</f>
        <v>1460.3832111570646</v>
      </c>
    </row>
    <row r="69" spans="1:12" ht="40" customHeight="1">
      <c r="A69" s="6" t="s">
        <v>80</v>
      </c>
      <c r="B69" s="7" t="s">
        <v>319</v>
      </c>
      <c r="C69" s="23">
        <v>3</v>
      </c>
      <c r="D69" s="9">
        <v>0</v>
      </c>
      <c r="E69" s="21">
        <v>0.045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f>D69+J69-H69-I69-K69</f>
        <v>0.0</v>
      </c>
    </row>
    <row r="70" spans="1:12" ht="25" customHeight="1">
      <c r="A70" s="3" t="s">
        <v>80</v>
      </c>
      <c r="B70" s="4" t="s">
        <v>315</v>
      </c>
      <c r="C70" s="24">
        <v>4</v>
      </c>
      <c r="D70" s="10">
        <v>750</v>
      </c>
      <c r="E70" s="22">
        <v>0.0315</v>
      </c>
      <c r="F70" s="10">
        <v>23.625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f>D70+J70-H70-I70-K70</f>
        <v>750.0</v>
      </c>
    </row>
    <row r="71" spans="1:12" ht="25" customHeight="1">
      <c r="A71" s="6" t="s">
        <v>80</v>
      </c>
      <c r="B71" s="7" t="s">
        <v>316</v>
      </c>
      <c r="C71" s="23">
        <v>4</v>
      </c>
      <c r="D71" s="9">
        <v>750</v>
      </c>
      <c r="E71" s="21">
        <v>0.041</v>
      </c>
      <c r="F71" s="9">
        <v>30.75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f>D71+J71-H71-I71-K71</f>
        <v>750.0</v>
      </c>
    </row>
    <row r="72" spans="1:12" ht="40" customHeight="1">
      <c r="A72" s="3" t="s">
        <v>80</v>
      </c>
      <c r="B72" s="4" t="s">
        <v>317</v>
      </c>
      <c r="C72" s="24">
        <v>4</v>
      </c>
      <c r="D72" s="10">
        <v>38.7980304</v>
      </c>
      <c r="E72" s="22">
        <v>0.044</v>
      </c>
      <c r="F72" s="10">
        <v>1.7071133376</v>
      </c>
      <c r="G72" s="10">
        <v>2.2928866624</v>
      </c>
      <c r="H72" s="10">
        <v>0</v>
      </c>
      <c r="I72" s="10">
        <v>0</v>
      </c>
      <c r="J72" s="10">
        <v>0</v>
      </c>
      <c r="K72" s="10">
        <v>0</v>
      </c>
      <c r="L72" s="10">
        <f>D72+J72-H72-I72-K72</f>
        <v>38.7980304</v>
      </c>
    </row>
    <row r="73" spans="1:12" ht="25" customHeight="1">
      <c r="A73" s="6" t="s">
        <v>80</v>
      </c>
      <c r="B73" s="7" t="s">
        <v>318</v>
      </c>
      <c r="C73" s="23">
        <v>4</v>
      </c>
      <c r="D73" s="9">
        <v>1460.383211157065</v>
      </c>
      <c r="E73" s="21">
        <v>0.07000000000000001</v>
      </c>
      <c r="F73" s="9">
        <v>102.2268247809945</v>
      </c>
      <c r="G73" s="9">
        <v>30.42465023243884</v>
      </c>
      <c r="H73" s="9">
        <v>0</v>
      </c>
      <c r="I73" s="9">
        <v>0</v>
      </c>
      <c r="J73" s="9">
        <v>0</v>
      </c>
      <c r="K73" s="9">
        <v>0</v>
      </c>
      <c r="L73" s="9">
        <f>D73+J73-H73-I73-K73</f>
        <v>1460.3832111570646</v>
      </c>
    </row>
    <row r="74" spans="1:12" ht="40" customHeight="1">
      <c r="A74" s="3" t="s">
        <v>80</v>
      </c>
      <c r="B74" s="4" t="s">
        <v>319</v>
      </c>
      <c r="C74" s="24">
        <v>4</v>
      </c>
      <c r="D74" s="10">
        <v>0</v>
      </c>
      <c r="E74" s="22">
        <v>0.045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f>D74+J74-H74-I74-K74</f>
        <v>0.0</v>
      </c>
    </row>
    <row r="75" spans="1:12" ht="25" customHeight="1">
      <c r="A75" s="6" t="s">
        <v>80</v>
      </c>
      <c r="B75" s="7" t="s">
        <v>315</v>
      </c>
      <c r="C75" s="23">
        <v>5</v>
      </c>
      <c r="D75" s="9">
        <v>750</v>
      </c>
      <c r="E75" s="21">
        <v>0.0315</v>
      </c>
      <c r="F75" s="9">
        <v>23.625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f>D75+J75-H75-I75-K75</f>
        <v>750.0</v>
      </c>
    </row>
    <row r="76" spans="1:12" ht="25" customHeight="1">
      <c r="A76" s="3" t="s">
        <v>80</v>
      </c>
      <c r="B76" s="4" t="s">
        <v>316</v>
      </c>
      <c r="C76" s="24">
        <v>5</v>
      </c>
      <c r="D76" s="10">
        <v>750</v>
      </c>
      <c r="E76" s="22">
        <v>0.041</v>
      </c>
      <c r="F76" s="10">
        <v>30.75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f>D76+J76-H76-I76-K76</f>
        <v>750.0</v>
      </c>
    </row>
    <row r="77" spans="1:12" ht="40" customHeight="1">
      <c r="A77" s="6" t="s">
        <v>80</v>
      </c>
      <c r="B77" s="7" t="s">
        <v>317</v>
      </c>
      <c r="C77" s="23">
        <v>5</v>
      </c>
      <c r="D77" s="9">
        <v>38.7980304</v>
      </c>
      <c r="E77" s="21">
        <v>0.044</v>
      </c>
      <c r="F77" s="9">
        <v>1.7071133376</v>
      </c>
      <c r="G77" s="9">
        <v>2.2928866624</v>
      </c>
      <c r="H77" s="9">
        <v>0</v>
      </c>
      <c r="I77" s="9">
        <v>0</v>
      </c>
      <c r="J77" s="9">
        <v>0</v>
      </c>
      <c r="K77" s="9">
        <v>0</v>
      </c>
      <c r="L77" s="9">
        <f>D77+J77-H77-I77-K77</f>
        <v>38.7980304</v>
      </c>
    </row>
    <row r="78" spans="1:12" ht="25" customHeight="1">
      <c r="A78" s="3" t="s">
        <v>80</v>
      </c>
      <c r="B78" s="4" t="s">
        <v>318</v>
      </c>
      <c r="C78" s="24">
        <v>5</v>
      </c>
      <c r="D78" s="10">
        <v>1460.383211157065</v>
      </c>
      <c r="E78" s="22">
        <v>0.07000000000000001</v>
      </c>
      <c r="F78" s="10">
        <v>102.2268247809945</v>
      </c>
      <c r="G78" s="10">
        <v>1460.383211157065</v>
      </c>
      <c r="H78" s="10">
        <v>0</v>
      </c>
      <c r="I78" s="10">
        <v>0</v>
      </c>
      <c r="J78" s="10">
        <v>0</v>
      </c>
      <c r="K78" s="10">
        <v>0</v>
      </c>
      <c r="L78" s="10">
        <f>D78+J78-H78-I78-K78</f>
        <v>1460.3832111570646</v>
      </c>
    </row>
    <row r="79" spans="1:12" ht="40" customHeight="1">
      <c r="A79" s="6" t="s">
        <v>80</v>
      </c>
      <c r="B79" s="7" t="s">
        <v>319</v>
      </c>
      <c r="C79" s="23">
        <v>5</v>
      </c>
      <c r="D79" s="9">
        <v>0</v>
      </c>
      <c r="E79" s="21">
        <v>0.045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f>D79+J79-H79-I79-K79</f>
        <v>0.0</v>
      </c>
    </row>
  </sheetData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&amp;LPublic instruments&amp;RPage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3C5658"/>
  </sheetPr>
  <dimension ref="A1:F37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0.7109375" customWidth="1"/>
    <col min="2" max="4" width="28.7109375" customWidth="1"/>
    <col min="5" max="5" width="65.7109375" customWidth="1"/>
    <col min="6" max="6" width="22.7109375" customWidth="1"/>
  </cols>
  <sheetData>
    <row r="1" spans="1:6" ht="9" customHeight="1"/>
    <row r="2" spans="1:6" ht="42" customHeight="1">
      <c r="A2" s="1" t="s">
        <v>320</v>
      </c>
      <c r="B2" s="1"/>
      <c r="C2" s="1"/>
      <c r="D2" s="1"/>
      <c r="E2" s="1"/>
      <c r="F2" s="1"/>
    </row>
    <row r="3" spans="1:6" ht="30" customHeight="1">
      <c r="A3" s="2" t="s">
        <v>159</v>
      </c>
      <c r="B3" s="2"/>
      <c r="C3" s="2"/>
      <c r="D3" s="2"/>
      <c r="E3" s="2"/>
      <c r="F3" s="2"/>
    </row>
    <row r="4" spans="1:6" ht="40" customHeight="1">
      <c r="A4" s="5" t="s">
        <v>321</v>
      </c>
      <c r="B4" s="5" t="s">
        <v>66</v>
      </c>
      <c r="C4" s="5" t="s">
        <v>322</v>
      </c>
      <c r="D4" s="5" t="s">
        <v>323</v>
      </c>
      <c r="E4" s="5" t="s">
        <v>324</v>
      </c>
      <c r="F4" s="5" t="s">
        <v>325</v>
      </c>
    </row>
    <row r="5" spans="1:6" ht="25" customHeight="1">
      <c r="A5" s="6" t="s">
        <v>326</v>
      </c>
      <c r="B5" s="7" t="s">
        <v>69</v>
      </c>
      <c r="C5" s="7" t="s">
        <v>92</v>
      </c>
      <c r="D5" s="7" t="s">
        <v>92</v>
      </c>
      <c r="E5" s="7" t="s">
        <v>327</v>
      </c>
      <c r="F5" s="25">
        <v>5</v>
      </c>
    </row>
    <row r="6" spans="1:6" ht="25" customHeight="1">
      <c r="A6" s="3" t="s">
        <v>326</v>
      </c>
      <c r="B6" s="4" t="s">
        <v>79</v>
      </c>
      <c r="C6" s="4" t="s">
        <v>92</v>
      </c>
      <c r="D6" s="4" t="s">
        <v>92</v>
      </c>
      <c r="E6" s="4" t="s">
        <v>328</v>
      </c>
      <c r="F6" s="26">
        <v>5</v>
      </c>
    </row>
    <row r="7" spans="1:6" ht="25" customHeight="1">
      <c r="A7" s="6" t="s">
        <v>326</v>
      </c>
      <c r="B7" s="7" t="s">
        <v>80</v>
      </c>
      <c r="C7" s="7" t="s">
        <v>92</v>
      </c>
      <c r="D7" s="7" t="s">
        <v>92</v>
      </c>
      <c r="E7" s="7" t="s">
        <v>327</v>
      </c>
      <c r="F7" s="25">
        <v>5</v>
      </c>
    </row>
    <row r="8" spans="1:6" ht="25" customHeight="1">
      <c r="A8" s="3" t="s">
        <v>329</v>
      </c>
      <c r="B8" s="4" t="s">
        <v>69</v>
      </c>
      <c r="C8" s="4" t="s">
        <v>92</v>
      </c>
      <c r="D8" s="4" t="s">
        <v>92</v>
      </c>
      <c r="E8" s="4" t="s">
        <v>330</v>
      </c>
      <c r="F8" s="26">
        <v>5</v>
      </c>
    </row>
    <row r="9" spans="1:6" ht="25" customHeight="1">
      <c r="A9" s="6" t="s">
        <v>329</v>
      </c>
      <c r="B9" s="7" t="s">
        <v>79</v>
      </c>
      <c r="C9" s="7" t="s">
        <v>92</v>
      </c>
      <c r="D9" s="7" t="s">
        <v>92</v>
      </c>
      <c r="E9" s="7" t="s">
        <v>331</v>
      </c>
      <c r="F9" s="25">
        <v>5</v>
      </c>
    </row>
    <row r="10" spans="1:6" ht="25" customHeight="1">
      <c r="A10" s="3" t="s">
        <v>329</v>
      </c>
      <c r="B10" s="4" t="s">
        <v>80</v>
      </c>
      <c r="C10" s="4" t="s">
        <v>92</v>
      </c>
      <c r="D10" s="4" t="s">
        <v>92</v>
      </c>
      <c r="E10" s="4" t="s">
        <v>330</v>
      </c>
      <c r="F10" s="26">
        <v>5</v>
      </c>
    </row>
    <row r="11" spans="1:6" ht="25" customHeight="1">
      <c r="A11" s="6" t="s">
        <v>332</v>
      </c>
      <c r="B11" s="7" t="s">
        <v>69</v>
      </c>
      <c r="C11" s="7" t="s">
        <v>92</v>
      </c>
      <c r="D11" s="7" t="s">
        <v>92</v>
      </c>
      <c r="E11" s="7" t="s">
        <v>327</v>
      </c>
      <c r="F11" s="25">
        <v>5</v>
      </c>
    </row>
    <row r="12" spans="1:6" ht="25" customHeight="1">
      <c r="A12" s="3" t="s">
        <v>332</v>
      </c>
      <c r="B12" s="4" t="s">
        <v>79</v>
      </c>
      <c r="C12" s="4" t="s">
        <v>92</v>
      </c>
      <c r="D12" s="4" t="s">
        <v>92</v>
      </c>
      <c r="E12" s="4" t="s">
        <v>328</v>
      </c>
      <c r="F12" s="26">
        <v>5</v>
      </c>
    </row>
    <row r="13" spans="1:6" ht="25" customHeight="1">
      <c r="A13" s="6" t="s">
        <v>332</v>
      </c>
      <c r="B13" s="7" t="s">
        <v>80</v>
      </c>
      <c r="C13" s="7" t="s">
        <v>92</v>
      </c>
      <c r="D13" s="7" t="s">
        <v>92</v>
      </c>
      <c r="E13" s="7" t="s">
        <v>327</v>
      </c>
      <c r="F13" s="25">
        <v>5</v>
      </c>
    </row>
    <row r="14" spans="1:6" ht="25" customHeight="1">
      <c r="A14" s="3" t="s">
        <v>333</v>
      </c>
      <c r="B14" s="4" t="s">
        <v>69</v>
      </c>
      <c r="C14" s="10">
        <v>1040</v>
      </c>
      <c r="D14" s="10">
        <v>623.8440204015963</v>
      </c>
      <c r="E14" s="4" t="s">
        <v>334</v>
      </c>
      <c r="F14" s="26">
        <v>5</v>
      </c>
    </row>
    <row r="15" spans="1:6" ht="25" customHeight="1">
      <c r="A15" s="6" t="s">
        <v>333</v>
      </c>
      <c r="B15" s="7" t="s">
        <v>79</v>
      </c>
      <c r="C15" s="9">
        <v>1625</v>
      </c>
      <c r="D15" s="9">
        <v>668.4539679999998</v>
      </c>
      <c r="E15" s="7" t="s">
        <v>335</v>
      </c>
      <c r="F15" s="25">
        <v>5</v>
      </c>
    </row>
    <row r="16" spans="1:6" ht="25" customHeight="1">
      <c r="A16" s="3" t="s">
        <v>333</v>
      </c>
      <c r="B16" s="4" t="s">
        <v>80</v>
      </c>
      <c r="C16" s="10">
        <v>517.1170364</v>
      </c>
      <c r="D16" s="10">
        <v>1.596390575286932E-09</v>
      </c>
      <c r="E16" s="4" t="s">
        <v>41</v>
      </c>
      <c r="F16" s="26">
        <v>5</v>
      </c>
    </row>
    <row r="17" spans="1:6" ht="25" customHeight="1">
      <c r="A17" s="6" t="s">
        <v>336</v>
      </c>
      <c r="B17" s="7" t="s">
        <v>69</v>
      </c>
      <c r="C17" s="7" t="s">
        <v>92</v>
      </c>
      <c r="D17" s="7" t="s">
        <v>92</v>
      </c>
      <c r="E17" s="7" t="s">
        <v>337</v>
      </c>
      <c r="F17" s="25">
        <v>5</v>
      </c>
    </row>
    <row r="18" spans="1:6" ht="25" customHeight="1">
      <c r="A18" s="3" t="s">
        <v>336</v>
      </c>
      <c r="B18" s="4" t="s">
        <v>79</v>
      </c>
      <c r="C18" s="4" t="s">
        <v>92</v>
      </c>
      <c r="D18" s="4" t="s">
        <v>92</v>
      </c>
      <c r="E18" s="4" t="s">
        <v>338</v>
      </c>
      <c r="F18" s="26">
        <v>5</v>
      </c>
    </row>
    <row r="19" spans="1:6" ht="25" customHeight="1">
      <c r="A19" s="6" t="s">
        <v>336</v>
      </c>
      <c r="B19" s="7" t="s">
        <v>80</v>
      </c>
      <c r="C19" s="7" t="s">
        <v>92</v>
      </c>
      <c r="D19" s="7" t="s">
        <v>92</v>
      </c>
      <c r="E19" s="7" t="s">
        <v>337</v>
      </c>
      <c r="F19" s="25">
        <v>5</v>
      </c>
    </row>
    <row r="20" spans="1:6" ht="25" customHeight="1">
      <c r="A20" s="3" t="s">
        <v>339</v>
      </c>
      <c r="B20" s="4" t="s">
        <v>69</v>
      </c>
      <c r="C20" s="4" t="s">
        <v>92</v>
      </c>
      <c r="D20" s="4" t="s">
        <v>92</v>
      </c>
      <c r="E20" s="4" t="s">
        <v>340</v>
      </c>
      <c r="F20" s="26">
        <v>5</v>
      </c>
    </row>
    <row r="21" spans="1:6" ht="25" customHeight="1">
      <c r="A21" s="6" t="s">
        <v>339</v>
      </c>
      <c r="B21" s="7" t="s">
        <v>79</v>
      </c>
      <c r="C21" s="7" t="s">
        <v>92</v>
      </c>
      <c r="D21" s="7" t="s">
        <v>92</v>
      </c>
      <c r="E21" s="7" t="s">
        <v>341</v>
      </c>
      <c r="F21" s="25">
        <v>5</v>
      </c>
    </row>
    <row r="22" spans="1:6" ht="25" customHeight="1">
      <c r="A22" s="3" t="s">
        <v>339</v>
      </c>
      <c r="B22" s="4" t="s">
        <v>80</v>
      </c>
      <c r="C22" s="4" t="s">
        <v>92</v>
      </c>
      <c r="D22" s="4" t="s">
        <v>92</v>
      </c>
      <c r="E22" s="4" t="s">
        <v>340</v>
      </c>
      <c r="F22" s="26">
        <v>5</v>
      </c>
    </row>
    <row r="23" spans="1:6" ht="25" customHeight="1">
      <c r="A23" s="6" t="s">
        <v>342</v>
      </c>
      <c r="B23" s="7" t="s">
        <v>69</v>
      </c>
      <c r="C23" s="7" t="s">
        <v>92</v>
      </c>
      <c r="D23" s="7" t="s">
        <v>92</v>
      </c>
      <c r="E23" s="7" t="s">
        <v>343</v>
      </c>
      <c r="F23" s="25">
        <v>5</v>
      </c>
    </row>
    <row r="24" spans="1:6" ht="25" customHeight="1">
      <c r="A24" s="3" t="s">
        <v>342</v>
      </c>
      <c r="B24" s="4" t="s">
        <v>79</v>
      </c>
      <c r="C24" s="4" t="s">
        <v>92</v>
      </c>
      <c r="D24" s="4" t="s">
        <v>92</v>
      </c>
      <c r="E24" s="4" t="s">
        <v>344</v>
      </c>
      <c r="F24" s="26">
        <v>5</v>
      </c>
    </row>
    <row r="25" spans="1:6" ht="25" customHeight="1">
      <c r="A25" s="6" t="s">
        <v>342</v>
      </c>
      <c r="B25" s="7" t="s">
        <v>80</v>
      </c>
      <c r="C25" s="7" t="s">
        <v>92</v>
      </c>
      <c r="D25" s="7" t="s">
        <v>92</v>
      </c>
      <c r="E25" s="7" t="s">
        <v>343</v>
      </c>
      <c r="F25" s="25">
        <v>5</v>
      </c>
    </row>
    <row r="26" spans="1:6" ht="25" customHeight="1">
      <c r="A26" s="3" t="s">
        <v>345</v>
      </c>
      <c r="B26" s="4" t="s">
        <v>69</v>
      </c>
      <c r="C26" s="10">
        <v>635</v>
      </c>
      <c r="D26" s="10">
        <v>1028.844020401596</v>
      </c>
      <c r="E26" s="4" t="s">
        <v>346</v>
      </c>
      <c r="F26" s="26">
        <v>5</v>
      </c>
    </row>
    <row r="27" spans="1:6" ht="25" customHeight="1">
      <c r="A27" s="6" t="s">
        <v>345</v>
      </c>
      <c r="B27" s="7" t="s">
        <v>79</v>
      </c>
      <c r="C27" s="9">
        <v>1220</v>
      </c>
      <c r="D27" s="9">
        <v>1073.453968</v>
      </c>
      <c r="E27" s="7" t="s">
        <v>347</v>
      </c>
      <c r="F27" s="25">
        <v>5</v>
      </c>
    </row>
    <row r="28" spans="1:6" ht="25" customHeight="1">
      <c r="A28" s="3" t="s">
        <v>345</v>
      </c>
      <c r="B28" s="4" t="s">
        <v>80</v>
      </c>
      <c r="C28" s="10">
        <v>517.1170364</v>
      </c>
      <c r="D28" s="10">
        <v>1.596390575286932E-09</v>
      </c>
      <c r="E28" s="4" t="s">
        <v>41</v>
      </c>
      <c r="F28" s="26">
        <v>5</v>
      </c>
    </row>
    <row r="29" spans="1:6" ht="25" customHeight="1">
      <c r="A29" s="6" t="s">
        <v>348</v>
      </c>
      <c r="B29" s="7" t="s">
        <v>69</v>
      </c>
      <c r="C29" s="9">
        <v>235</v>
      </c>
      <c r="D29" s="9">
        <v>1428.844020401596</v>
      </c>
      <c r="E29" s="7" t="s">
        <v>349</v>
      </c>
      <c r="F29" s="25">
        <v>5</v>
      </c>
    </row>
    <row r="30" spans="1:6" ht="25" customHeight="1">
      <c r="A30" s="3" t="s">
        <v>348</v>
      </c>
      <c r="B30" s="4" t="s">
        <v>79</v>
      </c>
      <c r="C30" s="10">
        <v>820</v>
      </c>
      <c r="D30" s="10">
        <v>1473.453968</v>
      </c>
      <c r="E30" s="4" t="s">
        <v>350</v>
      </c>
      <c r="F30" s="26">
        <v>5</v>
      </c>
    </row>
    <row r="31" spans="1:6" ht="25" customHeight="1">
      <c r="A31" s="6" t="s">
        <v>348</v>
      </c>
      <c r="B31" s="7" t="s">
        <v>80</v>
      </c>
      <c r="C31" s="9">
        <v>235</v>
      </c>
      <c r="D31" s="9">
        <v>282.1170364015964</v>
      </c>
      <c r="E31" s="7" t="s">
        <v>349</v>
      </c>
      <c r="F31" s="25">
        <v>5</v>
      </c>
    </row>
    <row r="32" spans="1:6" ht="25" customHeight="1">
      <c r="A32" s="3" t="s">
        <v>351</v>
      </c>
      <c r="B32" s="4" t="s">
        <v>69</v>
      </c>
      <c r="C32" s="4" t="s">
        <v>92</v>
      </c>
      <c r="D32" s="4" t="s">
        <v>92</v>
      </c>
      <c r="E32" s="4" t="s">
        <v>352</v>
      </c>
      <c r="F32" s="26">
        <v>5</v>
      </c>
    </row>
    <row r="33" spans="1:6" ht="25" customHeight="1">
      <c r="A33" s="6" t="s">
        <v>351</v>
      </c>
      <c r="B33" s="7" t="s">
        <v>79</v>
      </c>
      <c r="C33" s="7" t="s">
        <v>92</v>
      </c>
      <c r="D33" s="7" t="s">
        <v>92</v>
      </c>
      <c r="E33" s="7" t="s">
        <v>353</v>
      </c>
      <c r="F33" s="25">
        <v>5</v>
      </c>
    </row>
    <row r="34" spans="1:6" ht="25" customHeight="1">
      <c r="A34" s="3" t="s">
        <v>351</v>
      </c>
      <c r="B34" s="4" t="s">
        <v>80</v>
      </c>
      <c r="C34" s="4" t="s">
        <v>92</v>
      </c>
      <c r="D34" s="4" t="s">
        <v>92</v>
      </c>
      <c r="E34" s="4" t="s">
        <v>354</v>
      </c>
      <c r="F34" s="26">
        <v>5</v>
      </c>
    </row>
    <row r="35" spans="1:6" ht="40" customHeight="1">
      <c r="A35" s="6" t="s">
        <v>355</v>
      </c>
      <c r="B35" s="7" t="s">
        <v>69</v>
      </c>
      <c r="C35" s="9">
        <v>0</v>
      </c>
      <c r="D35" s="7"/>
      <c r="E35" s="7" t="s">
        <v>356</v>
      </c>
      <c r="F35" s="25">
        <v>0.01</v>
      </c>
    </row>
    <row r="36" spans="1:6" ht="40" customHeight="1">
      <c r="A36" s="3" t="s">
        <v>355</v>
      </c>
      <c r="B36" s="4" t="s">
        <v>79</v>
      </c>
      <c r="C36" s="10">
        <v>0</v>
      </c>
      <c r="D36" s="4"/>
      <c r="E36" s="4" t="s">
        <v>357</v>
      </c>
      <c r="F36" s="26">
        <v>0.01</v>
      </c>
    </row>
    <row r="37" spans="1:6" ht="40" customHeight="1">
      <c r="A37" s="6" t="s">
        <v>355</v>
      </c>
      <c r="B37" s="7" t="s">
        <v>80</v>
      </c>
      <c r="C37" s="9">
        <v>0</v>
      </c>
      <c r="D37" s="7"/>
      <c r="E37" s="7" t="s">
        <v>358</v>
      </c>
      <c r="F37" s="25">
        <v>0.01</v>
      </c>
    </row>
  </sheetData>
  <autoFilter ref="A4:F37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&amp;LPublic capacity and stress&amp;RPage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3C5658"/>
  </sheetPr>
  <dimension ref="A1:I112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2" width="28.7109375" customWidth="1"/>
    <col min="3" max="7" width="23.7109375" customWidth="1"/>
    <col min="8" max="8" width="65.7109375" customWidth="1"/>
    <col min="9" max="9" width="90.7109375" customWidth="1"/>
  </cols>
  <sheetData>
    <row r="1" spans="1:9" ht="9" customHeight="1"/>
    <row r="2" spans="1:9" ht="42" customHeight="1">
      <c r="A2" s="1" t="s">
        <v>359</v>
      </c>
      <c r="B2" s="1"/>
      <c r="C2" s="1"/>
      <c r="D2" s="1"/>
      <c r="E2" s="1"/>
      <c r="F2" s="1"/>
      <c r="G2" s="8"/>
      <c r="H2" s="8"/>
      <c r="I2" s="8"/>
    </row>
    <row r="3" spans="1:9" ht="30" customHeight="1">
      <c r="A3" s="2" t="s">
        <v>159</v>
      </c>
      <c r="B3" s="2"/>
      <c r="C3" s="2"/>
      <c r="D3" s="2"/>
      <c r="E3" s="2"/>
      <c r="F3" s="2"/>
      <c r="G3" s="8"/>
      <c r="H3" s="8"/>
      <c r="I3" s="8"/>
    </row>
    <row r="4" spans="1:9" ht="40" customHeight="1">
      <c r="A4" s="5" t="s">
        <v>360</v>
      </c>
      <c r="B4" s="5" t="s">
        <v>66</v>
      </c>
      <c r="C4" s="5" t="s">
        <v>361</v>
      </c>
      <c r="D4" s="5" t="s">
        <v>362</v>
      </c>
      <c r="E4" s="5" t="s">
        <v>363</v>
      </c>
      <c r="F4" s="5" t="s">
        <v>364</v>
      </c>
      <c r="G4" s="5" t="s">
        <v>365</v>
      </c>
      <c r="H4" s="5" t="s">
        <v>142</v>
      </c>
      <c r="I4" s="5" t="s">
        <v>366</v>
      </c>
    </row>
    <row r="5" spans="1:9" ht="40" customHeight="1">
      <c r="A5" s="6" t="s">
        <v>326</v>
      </c>
      <c r="B5" s="7" t="s">
        <v>69</v>
      </c>
      <c r="C5" s="7" t="b">
        <v>0</v>
      </c>
      <c r="D5" s="9">
        <v>2691.362087132146</v>
      </c>
      <c r="E5" s="9">
        <v>-1904.445817745481</v>
      </c>
      <c r="F5" s="9">
        <v>1208.247424408311</v>
      </c>
      <c r="G5" s="21">
        <v>0</v>
      </c>
      <c r="H5" s="7" t="s">
        <v>367</v>
      </c>
      <c r="I5" s="7" t="s">
        <v>368</v>
      </c>
    </row>
    <row r="6" spans="1:9" ht="40" customHeight="1">
      <c r="A6" s="3" t="s">
        <v>326</v>
      </c>
      <c r="B6" s="4" t="s">
        <v>79</v>
      </c>
      <c r="C6" s="4" t="b">
        <v>0</v>
      </c>
      <c r="D6" s="10">
        <v>2949.195269654422</v>
      </c>
      <c r="E6" s="10">
        <v>-1840.501599852964</v>
      </c>
      <c r="F6" s="10">
        <v>1261.072576855401</v>
      </c>
      <c r="G6" s="22">
        <v>0</v>
      </c>
      <c r="H6" s="4" t="s">
        <v>369</v>
      </c>
      <c r="I6" s="4" t="s">
        <v>368</v>
      </c>
    </row>
    <row r="7" spans="1:9" ht="40" customHeight="1">
      <c r="A7" s="6" t="s">
        <v>326</v>
      </c>
      <c r="B7" s="7" t="s">
        <v>80</v>
      </c>
      <c r="C7" s="7" t="b">
        <v>0</v>
      </c>
      <c r="D7" s="9">
        <v>1521.232511621942</v>
      </c>
      <c r="E7" s="9">
        <v>-1615.685725982255</v>
      </c>
      <c r="F7" s="9">
        <v>798.4176708665848</v>
      </c>
      <c r="G7" s="21">
        <v>0.06517517078138706</v>
      </c>
      <c r="H7" s="7" t="s">
        <v>370</v>
      </c>
      <c r="I7" s="7" t="s">
        <v>368</v>
      </c>
    </row>
    <row r="8" spans="1:9" ht="40" customHeight="1">
      <c r="A8" s="3" t="s">
        <v>371</v>
      </c>
      <c r="B8" s="4" t="s">
        <v>69</v>
      </c>
      <c r="C8" s="4" t="b">
        <v>0</v>
      </c>
      <c r="D8" s="10">
        <v>2842.246567613605</v>
      </c>
      <c r="E8" s="10">
        <v>-11047.38850125476</v>
      </c>
      <c r="F8" s="10">
        <v>1276.869298664762</v>
      </c>
      <c r="G8" s="22">
        <v>0</v>
      </c>
      <c r="H8" s="4" t="s">
        <v>372</v>
      </c>
      <c r="I8" s="4" t="s">
        <v>373</v>
      </c>
    </row>
    <row r="9" spans="1:9" ht="40" customHeight="1">
      <c r="A9" s="6" t="s">
        <v>371</v>
      </c>
      <c r="B9" s="7" t="s">
        <v>79</v>
      </c>
      <c r="C9" s="7" t="b">
        <v>0</v>
      </c>
      <c r="D9" s="9">
        <v>2842.246567613605</v>
      </c>
      <c r="E9" s="9">
        <v>-11047.38850125476</v>
      </c>
      <c r="F9" s="9">
        <v>1276.869298664762</v>
      </c>
      <c r="G9" s="21">
        <v>0</v>
      </c>
      <c r="H9" s="7" t="s">
        <v>372</v>
      </c>
      <c r="I9" s="7" t="s">
        <v>373</v>
      </c>
    </row>
    <row r="10" spans="1:9" ht="40" customHeight="1">
      <c r="A10" s="3" t="s">
        <v>371</v>
      </c>
      <c r="B10" s="4" t="s">
        <v>80</v>
      </c>
      <c r="C10" s="4" t="b">
        <v>0</v>
      </c>
      <c r="D10" s="10">
        <v>1672.116992103401</v>
      </c>
      <c r="E10" s="10">
        <v>-10637.84314982619</v>
      </c>
      <c r="F10" s="10">
        <v>867.3239472361905</v>
      </c>
      <c r="G10" s="22">
        <v>0.06517517078138706</v>
      </c>
      <c r="H10" s="4" t="s">
        <v>372</v>
      </c>
      <c r="I10" s="4" t="s">
        <v>373</v>
      </c>
    </row>
    <row r="11" spans="1:9" ht="40" customHeight="1">
      <c r="A11" s="6" t="s">
        <v>374</v>
      </c>
      <c r="B11" s="7" t="s">
        <v>69</v>
      </c>
      <c r="C11" s="7" t="b">
        <v>0</v>
      </c>
      <c r="D11" s="9">
        <v>2842.246567613605</v>
      </c>
      <c r="E11" s="9">
        <v>-2646.504144210047</v>
      </c>
      <c r="F11" s="9">
        <v>1276.869298664762</v>
      </c>
      <c r="G11" s="21">
        <v>0</v>
      </c>
      <c r="H11" s="7" t="s">
        <v>372</v>
      </c>
      <c r="I11" s="7" t="s">
        <v>375</v>
      </c>
    </row>
    <row r="12" spans="1:9" ht="40" customHeight="1">
      <c r="A12" s="3" t="s">
        <v>374</v>
      </c>
      <c r="B12" s="4" t="s">
        <v>79</v>
      </c>
      <c r="C12" s="4" t="b">
        <v>0</v>
      </c>
      <c r="D12" s="10">
        <v>2842.246567613605</v>
      </c>
      <c r="E12" s="10">
        <v>-2646.504144210047</v>
      </c>
      <c r="F12" s="10">
        <v>1276.869298664762</v>
      </c>
      <c r="G12" s="22">
        <v>0</v>
      </c>
      <c r="H12" s="4" t="s">
        <v>372</v>
      </c>
      <c r="I12" s="4" t="s">
        <v>375</v>
      </c>
    </row>
    <row r="13" spans="1:9" ht="40" customHeight="1">
      <c r="A13" s="6" t="s">
        <v>374</v>
      </c>
      <c r="B13" s="7" t="s">
        <v>80</v>
      </c>
      <c r="C13" s="7" t="b">
        <v>0</v>
      </c>
      <c r="D13" s="9">
        <v>1672.116992103401</v>
      </c>
      <c r="E13" s="9">
        <v>-2347.53603766719</v>
      </c>
      <c r="F13" s="9">
        <v>867.3239472361905</v>
      </c>
      <c r="G13" s="21">
        <v>0.06517517078138706</v>
      </c>
      <c r="H13" s="7" t="s">
        <v>372</v>
      </c>
      <c r="I13" s="7" t="s">
        <v>375</v>
      </c>
    </row>
    <row r="14" spans="1:9" ht="40" customHeight="1">
      <c r="A14" s="3" t="s">
        <v>376</v>
      </c>
      <c r="B14" s="4" t="s">
        <v>69</v>
      </c>
      <c r="C14" s="4" t="b">
        <v>0</v>
      </c>
      <c r="D14" s="10">
        <v>2949.195269654422</v>
      </c>
      <c r="E14" s="10">
        <v>-11084.82054696905</v>
      </c>
      <c r="F14" s="10">
        <v>1314.301344379048</v>
      </c>
      <c r="G14" s="22">
        <v>0</v>
      </c>
      <c r="H14" s="4" t="s">
        <v>372</v>
      </c>
      <c r="I14" s="4" t="s">
        <v>377</v>
      </c>
    </row>
    <row r="15" spans="1:9" ht="40" customHeight="1">
      <c r="A15" s="6" t="s">
        <v>376</v>
      </c>
      <c r="B15" s="7" t="s">
        <v>79</v>
      </c>
      <c r="C15" s="7" t="b">
        <v>0</v>
      </c>
      <c r="D15" s="9">
        <v>2949.195269654422</v>
      </c>
      <c r="E15" s="9">
        <v>-11084.82054696905</v>
      </c>
      <c r="F15" s="9">
        <v>1314.301344379048</v>
      </c>
      <c r="G15" s="21">
        <v>0</v>
      </c>
      <c r="H15" s="7" t="s">
        <v>372</v>
      </c>
      <c r="I15" s="7" t="s">
        <v>377</v>
      </c>
    </row>
    <row r="16" spans="1:9" ht="40" customHeight="1">
      <c r="A16" s="3" t="s">
        <v>376</v>
      </c>
      <c r="B16" s="4" t="s">
        <v>80</v>
      </c>
      <c r="C16" s="4" t="b">
        <v>0</v>
      </c>
      <c r="D16" s="10">
        <v>1779.065694144218</v>
      </c>
      <c r="E16" s="10">
        <v>-10675.27519554047</v>
      </c>
      <c r="F16" s="10">
        <v>904.7559929504763</v>
      </c>
      <c r="G16" s="22">
        <v>0.06517517078138706</v>
      </c>
      <c r="H16" s="4" t="s">
        <v>372</v>
      </c>
      <c r="I16" s="4" t="s">
        <v>377</v>
      </c>
    </row>
    <row r="17" spans="1:9" ht="40" customHeight="1">
      <c r="A17" s="6" t="s">
        <v>378</v>
      </c>
      <c r="B17" s="7" t="s">
        <v>69</v>
      </c>
      <c r="C17" s="7" t="b">
        <v>0</v>
      </c>
      <c r="D17" s="9">
        <v>2949.195269654422</v>
      </c>
      <c r="E17" s="9">
        <v>-2673.829537581476</v>
      </c>
      <c r="F17" s="9">
        <v>1314.301344379048</v>
      </c>
      <c r="G17" s="21">
        <v>0</v>
      </c>
      <c r="H17" s="7" t="s">
        <v>372</v>
      </c>
      <c r="I17" s="7" t="s">
        <v>379</v>
      </c>
    </row>
    <row r="18" spans="1:9" ht="40" customHeight="1">
      <c r="A18" s="3" t="s">
        <v>378</v>
      </c>
      <c r="B18" s="4" t="s">
        <v>79</v>
      </c>
      <c r="C18" s="4" t="b">
        <v>0</v>
      </c>
      <c r="D18" s="10">
        <v>2949.195269654422</v>
      </c>
      <c r="E18" s="10">
        <v>-2673.829537581476</v>
      </c>
      <c r="F18" s="10">
        <v>1314.301344379048</v>
      </c>
      <c r="G18" s="22">
        <v>0</v>
      </c>
      <c r="H18" s="4" t="s">
        <v>372</v>
      </c>
      <c r="I18" s="4" t="s">
        <v>379</v>
      </c>
    </row>
    <row r="19" spans="1:9" ht="40" customHeight="1">
      <c r="A19" s="6" t="s">
        <v>378</v>
      </c>
      <c r="B19" s="7" t="s">
        <v>80</v>
      </c>
      <c r="C19" s="7" t="b">
        <v>0</v>
      </c>
      <c r="D19" s="9">
        <v>1779.065694144218</v>
      </c>
      <c r="E19" s="9">
        <v>-2374.861431038618</v>
      </c>
      <c r="F19" s="9">
        <v>904.7559929504763</v>
      </c>
      <c r="G19" s="21">
        <v>0.06517517078138706</v>
      </c>
      <c r="H19" s="7" t="s">
        <v>372</v>
      </c>
      <c r="I19" s="7" t="s">
        <v>379</v>
      </c>
    </row>
    <row r="20" spans="1:9" ht="40" customHeight="1">
      <c r="A20" s="3" t="s">
        <v>380</v>
      </c>
      <c r="B20" s="4" t="s">
        <v>69</v>
      </c>
      <c r="C20" s="4" t="b">
        <v>0</v>
      </c>
      <c r="D20" s="10">
        <v>2243.366950100912</v>
      </c>
      <c r="E20" s="10">
        <v>-10087.78063512532</v>
      </c>
      <c r="F20" s="10">
        <v>1067.261432535319</v>
      </c>
      <c r="G20" s="22">
        <v>0</v>
      </c>
      <c r="H20" s="4" t="s">
        <v>381</v>
      </c>
      <c r="I20" s="4" t="s">
        <v>382</v>
      </c>
    </row>
    <row r="21" spans="1:9" ht="40" customHeight="1">
      <c r="A21" s="6" t="s">
        <v>380</v>
      </c>
      <c r="B21" s="7" t="s">
        <v>79</v>
      </c>
      <c r="C21" s="7" t="b">
        <v>0</v>
      </c>
      <c r="D21" s="9">
        <v>2842.246567613605</v>
      </c>
      <c r="E21" s="9">
        <v>-9710.486476092323</v>
      </c>
      <c r="F21" s="9">
        <v>1276.869298664762</v>
      </c>
      <c r="G21" s="21">
        <v>0</v>
      </c>
      <c r="H21" s="7" t="s">
        <v>383</v>
      </c>
      <c r="I21" s="7" t="s">
        <v>382</v>
      </c>
    </row>
    <row r="22" spans="1:9" ht="40" customHeight="1">
      <c r="A22" s="3" t="s">
        <v>380</v>
      </c>
      <c r="B22" s="4" t="s">
        <v>80</v>
      </c>
      <c r="C22" s="4" t="b">
        <v>0</v>
      </c>
      <c r="D22" s="10">
        <v>1073.237374590708</v>
      </c>
      <c r="E22" s="10">
        <v>-9678.235283696748</v>
      </c>
      <c r="F22" s="10">
        <v>657.7160811067478</v>
      </c>
      <c r="G22" s="22">
        <v>0.06517517078138706</v>
      </c>
      <c r="H22" s="4" t="s">
        <v>384</v>
      </c>
      <c r="I22" s="4" t="s">
        <v>382</v>
      </c>
    </row>
    <row r="23" spans="1:9" ht="40" customHeight="1">
      <c r="A23" s="6" t="s">
        <v>385</v>
      </c>
      <c r="B23" s="7" t="s">
        <v>69</v>
      </c>
      <c r="C23" s="7" t="b">
        <v>0</v>
      </c>
      <c r="D23" s="9">
        <v>2243.366950100912</v>
      </c>
      <c r="E23" s="9">
        <v>-1782.854561613559</v>
      </c>
      <c r="F23" s="9">
        <v>1053.957899214754</v>
      </c>
      <c r="G23" s="21">
        <v>0</v>
      </c>
      <c r="H23" s="7" t="s">
        <v>386</v>
      </c>
      <c r="I23" s="7" t="s">
        <v>387</v>
      </c>
    </row>
    <row r="24" spans="1:9" ht="40" customHeight="1">
      <c r="A24" s="3" t="s">
        <v>385</v>
      </c>
      <c r="B24" s="4" t="s">
        <v>79</v>
      </c>
      <c r="C24" s="4" t="b">
        <v>0</v>
      </c>
      <c r="D24" s="10">
        <v>2842.246567613605</v>
      </c>
      <c r="E24" s="10">
        <v>-1747.397460268638</v>
      </c>
      <c r="F24" s="10">
        <v>1128.976351899516</v>
      </c>
      <c r="G24" s="22">
        <v>0</v>
      </c>
      <c r="H24" s="4" t="s">
        <v>388</v>
      </c>
      <c r="I24" s="4" t="s">
        <v>387</v>
      </c>
    </row>
    <row r="25" spans="1:9" ht="40" customHeight="1">
      <c r="A25" s="6" t="s">
        <v>385</v>
      </c>
      <c r="B25" s="7" t="s">
        <v>80</v>
      </c>
      <c r="C25" s="7" t="b">
        <v>0</v>
      </c>
      <c r="D25" s="9">
        <v>1073.237374590708</v>
      </c>
      <c r="E25" s="9">
        <v>-1486.508120199847</v>
      </c>
      <c r="F25" s="9">
        <v>646.0097252485588</v>
      </c>
      <c r="G25" s="21">
        <v>0.06517517078138706</v>
      </c>
      <c r="H25" s="7" t="s">
        <v>389</v>
      </c>
      <c r="I25" s="7" t="s">
        <v>387</v>
      </c>
    </row>
    <row r="26" spans="1:9" ht="40" customHeight="1">
      <c r="A26" s="3" t="s">
        <v>390</v>
      </c>
      <c r="B26" s="4" t="s">
        <v>69</v>
      </c>
      <c r="C26" s="4" t="b">
        <v>0</v>
      </c>
      <c r="D26" s="10">
        <v>2350.315652141728</v>
      </c>
      <c r="E26" s="10">
        <v>-10125.2126808396</v>
      </c>
      <c r="F26" s="10">
        <v>1104.693478249605</v>
      </c>
      <c r="G26" s="22">
        <v>0</v>
      </c>
      <c r="H26" s="4" t="s">
        <v>391</v>
      </c>
      <c r="I26" s="4" t="s">
        <v>392</v>
      </c>
    </row>
    <row r="27" spans="1:9" ht="40" customHeight="1">
      <c r="A27" s="6" t="s">
        <v>390</v>
      </c>
      <c r="B27" s="7" t="s">
        <v>79</v>
      </c>
      <c r="C27" s="7" t="b">
        <v>0</v>
      </c>
      <c r="D27" s="9">
        <v>2949.195269654422</v>
      </c>
      <c r="E27" s="9">
        <v>-9747.918521806609</v>
      </c>
      <c r="F27" s="9">
        <v>1314.301344379048</v>
      </c>
      <c r="G27" s="21">
        <v>0</v>
      </c>
      <c r="H27" s="7" t="s">
        <v>393</v>
      </c>
      <c r="I27" s="7" t="s">
        <v>392</v>
      </c>
    </row>
    <row r="28" spans="1:9" ht="40" customHeight="1">
      <c r="A28" s="3" t="s">
        <v>390</v>
      </c>
      <c r="B28" s="4" t="s">
        <v>80</v>
      </c>
      <c r="C28" s="4" t="b">
        <v>0</v>
      </c>
      <c r="D28" s="10">
        <v>1180.186076631524</v>
      </c>
      <c r="E28" s="10">
        <v>-9715.667329411033</v>
      </c>
      <c r="F28" s="10">
        <v>695.1481268210335</v>
      </c>
      <c r="G28" s="22">
        <v>0.06517517078138706</v>
      </c>
      <c r="H28" s="4" t="s">
        <v>394</v>
      </c>
      <c r="I28" s="4" t="s">
        <v>392</v>
      </c>
    </row>
    <row r="29" spans="1:9" ht="40" customHeight="1">
      <c r="A29" s="6" t="s">
        <v>395</v>
      </c>
      <c r="B29" s="7" t="s">
        <v>69</v>
      </c>
      <c r="C29" s="7" t="b">
        <v>0</v>
      </c>
      <c r="D29" s="9">
        <v>2350.315652141728</v>
      </c>
      <c r="E29" s="9">
        <v>-1811.881722731861</v>
      </c>
      <c r="F29" s="9">
        <v>1090.791032197611</v>
      </c>
      <c r="G29" s="21">
        <v>0</v>
      </c>
      <c r="H29" s="7" t="s">
        <v>396</v>
      </c>
      <c r="I29" s="7" t="s">
        <v>397</v>
      </c>
    </row>
    <row r="30" spans="1:9" ht="40" customHeight="1">
      <c r="A30" s="3" t="s">
        <v>395</v>
      </c>
      <c r="B30" s="4" t="s">
        <v>79</v>
      </c>
      <c r="C30" s="4" t="b">
        <v>0</v>
      </c>
      <c r="D30" s="10">
        <v>2949.195269654422</v>
      </c>
      <c r="E30" s="10">
        <v>-1772.185906367163</v>
      </c>
      <c r="F30" s="10">
        <v>1167.489435094031</v>
      </c>
      <c r="G30" s="22">
        <v>0</v>
      </c>
      <c r="H30" s="4" t="s">
        <v>398</v>
      </c>
      <c r="I30" s="4" t="s">
        <v>397</v>
      </c>
    </row>
    <row r="31" spans="1:9" ht="40" customHeight="1">
      <c r="A31" s="6" t="s">
        <v>395</v>
      </c>
      <c r="B31" s="7" t="s">
        <v>80</v>
      </c>
      <c r="C31" s="7" t="b">
        <v>0</v>
      </c>
      <c r="D31" s="9">
        <v>1180.186076631524</v>
      </c>
      <c r="E31" s="9">
        <v>-1517.346350638509</v>
      </c>
      <c r="F31" s="9">
        <v>682.3936736828445</v>
      </c>
      <c r="G31" s="21">
        <v>0.06517517078138706</v>
      </c>
      <c r="H31" s="7" t="s">
        <v>399</v>
      </c>
      <c r="I31" s="7" t="s">
        <v>397</v>
      </c>
    </row>
    <row r="32" spans="1:9" ht="40" customHeight="1">
      <c r="A32" s="3" t="s">
        <v>400</v>
      </c>
      <c r="B32" s="4" t="s">
        <v>69</v>
      </c>
      <c r="C32" s="4" t="b">
        <v>0</v>
      </c>
      <c r="D32" s="10">
        <v>2691.362087132146</v>
      </c>
      <c r="E32" s="10">
        <v>-6848.383690566336</v>
      </c>
      <c r="F32" s="10">
        <v>1208.247424408311</v>
      </c>
      <c r="G32" s="22">
        <v>0</v>
      </c>
      <c r="H32" s="4" t="s">
        <v>401</v>
      </c>
      <c r="I32" s="4" t="s">
        <v>402</v>
      </c>
    </row>
    <row r="33" spans="1:9" ht="40" customHeight="1">
      <c r="A33" s="6" t="s">
        <v>400</v>
      </c>
      <c r="B33" s="7" t="s">
        <v>79</v>
      </c>
      <c r="C33" s="7" t="b">
        <v>0</v>
      </c>
      <c r="D33" s="9">
        <v>2949.195269654422</v>
      </c>
      <c r="E33" s="9">
        <v>-6680.012950049274</v>
      </c>
      <c r="F33" s="9">
        <v>1297.045172468983</v>
      </c>
      <c r="G33" s="21">
        <v>0</v>
      </c>
      <c r="H33" s="7" t="s">
        <v>403</v>
      </c>
      <c r="I33" s="7" t="s">
        <v>402</v>
      </c>
    </row>
    <row r="34" spans="1:9" ht="40" customHeight="1">
      <c r="A34" s="3" t="s">
        <v>400</v>
      </c>
      <c r="B34" s="4" t="s">
        <v>80</v>
      </c>
      <c r="C34" s="4" t="b">
        <v>0</v>
      </c>
      <c r="D34" s="10">
        <v>1521.232511621942</v>
      </c>
      <c r="E34" s="10">
        <v>-6465.777062225159</v>
      </c>
      <c r="F34" s="10">
        <v>805.2547986025969</v>
      </c>
      <c r="G34" s="22">
        <v>0.06517517078138706</v>
      </c>
      <c r="H34" s="4" t="s">
        <v>404</v>
      </c>
      <c r="I34" s="4" t="s">
        <v>402</v>
      </c>
    </row>
    <row r="35" spans="1:9" ht="40" customHeight="1">
      <c r="A35" s="6" t="s">
        <v>329</v>
      </c>
      <c r="B35" s="7" t="s">
        <v>69</v>
      </c>
      <c r="C35" s="7" t="b">
        <v>0</v>
      </c>
      <c r="D35" s="9">
        <v>2468.529920030744</v>
      </c>
      <c r="E35" s="9">
        <v>-195.199652068935</v>
      </c>
      <c r="F35" s="9">
        <v>1042.892423676853</v>
      </c>
      <c r="G35" s="21">
        <v>0</v>
      </c>
      <c r="H35" s="7" t="s">
        <v>405</v>
      </c>
      <c r="I35" s="7" t="s">
        <v>406</v>
      </c>
    </row>
    <row r="36" spans="1:9" ht="40" customHeight="1">
      <c r="A36" s="3" t="s">
        <v>329</v>
      </c>
      <c r="B36" s="4" t="s">
        <v>79</v>
      </c>
      <c r="C36" s="4" t="b">
        <v>0</v>
      </c>
      <c r="D36" s="10">
        <v>2949.195269654422</v>
      </c>
      <c r="E36" s="10">
        <v>-218.9554987369303</v>
      </c>
      <c r="F36" s="10">
        <v>1082.743426483453</v>
      </c>
      <c r="G36" s="22">
        <v>0</v>
      </c>
      <c r="H36" s="4" t="s">
        <v>407</v>
      </c>
      <c r="I36" s="4" t="s">
        <v>406</v>
      </c>
    </row>
    <row r="37" spans="1:9" ht="40" customHeight="1">
      <c r="A37" s="6" t="s">
        <v>329</v>
      </c>
      <c r="B37" s="7" t="s">
        <v>80</v>
      </c>
      <c r="C37" s="7" t="b">
        <v>0</v>
      </c>
      <c r="D37" s="9">
        <v>1298.400344520539</v>
      </c>
      <c r="E37" s="9">
        <v>0</v>
      </c>
      <c r="F37" s="9">
        <v>622.8721947864002</v>
      </c>
      <c r="G37" s="21">
        <v>0.06517517078138706</v>
      </c>
      <c r="H37" s="7" t="s">
        <v>408</v>
      </c>
      <c r="I37" s="7" t="s">
        <v>406</v>
      </c>
    </row>
    <row r="38" spans="1:9" ht="40" customHeight="1">
      <c r="A38" s="3" t="s">
        <v>409</v>
      </c>
      <c r="B38" s="4" t="s">
        <v>69</v>
      </c>
      <c r="C38" s="4" t="b">
        <v>0</v>
      </c>
      <c r="D38" s="10">
        <v>2914.194254233549</v>
      </c>
      <c r="E38" s="10">
        <v>-3906.040908632807</v>
      </c>
      <c r="F38" s="10">
        <v>1284.990822758034</v>
      </c>
      <c r="G38" s="22">
        <v>0</v>
      </c>
      <c r="H38" s="4" t="s">
        <v>410</v>
      </c>
      <c r="I38" s="4" t="s">
        <v>411</v>
      </c>
    </row>
    <row r="39" spans="1:9" ht="40" customHeight="1">
      <c r="A39" s="6" t="s">
        <v>409</v>
      </c>
      <c r="B39" s="7" t="s">
        <v>79</v>
      </c>
      <c r="C39" s="7" t="b">
        <v>0</v>
      </c>
      <c r="D39" s="9">
        <v>2949.195269654422</v>
      </c>
      <c r="E39" s="9">
        <v>-3881.239609117762</v>
      </c>
      <c r="F39" s="9">
        <v>1297.045172468983</v>
      </c>
      <c r="G39" s="21">
        <v>0</v>
      </c>
      <c r="H39" s="7" t="s">
        <v>412</v>
      </c>
      <c r="I39" s="7" t="s">
        <v>411</v>
      </c>
    </row>
    <row r="40" spans="1:9" ht="40" customHeight="1">
      <c r="A40" s="3" t="s">
        <v>409</v>
      </c>
      <c r="B40" s="4" t="s">
        <v>80</v>
      </c>
      <c r="C40" s="4" t="b">
        <v>0</v>
      </c>
      <c r="D40" s="10">
        <v>1744.064678723345</v>
      </c>
      <c r="E40" s="10">
        <v>-3588.453700284431</v>
      </c>
      <c r="F40" s="10">
        <v>881.9981969523202</v>
      </c>
      <c r="G40" s="22">
        <v>0.06517517078138706</v>
      </c>
      <c r="H40" s="4" t="s">
        <v>413</v>
      </c>
      <c r="I40" s="4" t="s">
        <v>411</v>
      </c>
    </row>
    <row r="41" spans="1:9" ht="40" customHeight="1">
      <c r="A41" s="6" t="s">
        <v>414</v>
      </c>
      <c r="B41" s="7" t="s">
        <v>69</v>
      </c>
      <c r="C41" s="7" t="b">
        <v>0</v>
      </c>
      <c r="D41" s="9">
        <v>2691.362087132146</v>
      </c>
      <c r="E41" s="9">
        <v>-2291.097660631233</v>
      </c>
      <c r="F41" s="9">
        <v>1737.907483155917</v>
      </c>
      <c r="G41" s="21">
        <v>0</v>
      </c>
      <c r="H41" s="7" t="s">
        <v>415</v>
      </c>
      <c r="I41" s="7" t="s">
        <v>416</v>
      </c>
    </row>
    <row r="42" spans="1:9" ht="40" customHeight="1">
      <c r="A42" s="3" t="s">
        <v>414</v>
      </c>
      <c r="B42" s="4" t="s">
        <v>79</v>
      </c>
      <c r="C42" s="4" t="b">
        <v>0</v>
      </c>
      <c r="D42" s="10">
        <v>2949.195269654422</v>
      </c>
      <c r="E42" s="10">
        <v>-2145.44150782802</v>
      </c>
      <c r="F42" s="10">
        <v>1877.446801536973</v>
      </c>
      <c r="G42" s="22">
        <v>0</v>
      </c>
      <c r="H42" s="4" t="s">
        <v>417</v>
      </c>
      <c r="I42" s="4" t="s">
        <v>416</v>
      </c>
    </row>
    <row r="43" spans="1:9" ht="40" customHeight="1">
      <c r="A43" s="6" t="s">
        <v>414</v>
      </c>
      <c r="B43" s="7" t="s">
        <v>80</v>
      </c>
      <c r="C43" s="7" t="b">
        <v>0</v>
      </c>
      <c r="D43" s="9">
        <v>1521.232511621942</v>
      </c>
      <c r="E43" s="9">
        <v>-1805.40495694676</v>
      </c>
      <c r="F43" s="9">
        <v>1104.633356889795</v>
      </c>
      <c r="G43" s="21">
        <v>0.06517517078138706</v>
      </c>
      <c r="H43" s="7" t="s">
        <v>418</v>
      </c>
      <c r="I43" s="7" t="s">
        <v>416</v>
      </c>
    </row>
    <row r="44" spans="1:9" ht="40" customHeight="1">
      <c r="A44" s="3" t="s">
        <v>419</v>
      </c>
      <c r="B44" s="4" t="s">
        <v>69</v>
      </c>
      <c r="C44" s="4" t="b">
        <v>0</v>
      </c>
      <c r="D44" s="10">
        <v>2691.362087132146</v>
      </c>
      <c r="E44" s="10">
        <v>-1723.022825244246</v>
      </c>
      <c r="F44" s="10">
        <v>941.4810052664604</v>
      </c>
      <c r="G44" s="22">
        <v>0</v>
      </c>
      <c r="H44" s="4" t="s">
        <v>420</v>
      </c>
      <c r="I44" s="4" t="s">
        <v>421</v>
      </c>
    </row>
    <row r="45" spans="1:9" ht="40" customHeight="1">
      <c r="A45" s="6" t="s">
        <v>419</v>
      </c>
      <c r="B45" s="7" t="s">
        <v>79</v>
      </c>
      <c r="C45" s="7" t="b">
        <v>0</v>
      </c>
      <c r="D45" s="9">
        <v>2949.195269654422</v>
      </c>
      <c r="E45" s="9">
        <v>-1672.836177380809</v>
      </c>
      <c r="F45" s="9">
        <v>972.410010541553</v>
      </c>
      <c r="G45" s="21">
        <v>0</v>
      </c>
      <c r="H45" s="7" t="s">
        <v>422</v>
      </c>
      <c r="I45" s="7" t="s">
        <v>421</v>
      </c>
    </row>
    <row r="46" spans="1:9" ht="40" customHeight="1">
      <c r="A46" s="3" t="s">
        <v>419</v>
      </c>
      <c r="B46" s="4" t="s">
        <v>80</v>
      </c>
      <c r="C46" s="4" t="b">
        <v>0</v>
      </c>
      <c r="D46" s="10">
        <v>1521.232511621942</v>
      </c>
      <c r="E46" s="10">
        <v>-1507.745151887609</v>
      </c>
      <c r="F46" s="10">
        <v>650.553870736932</v>
      </c>
      <c r="G46" s="22">
        <v>0.06517517078138706</v>
      </c>
      <c r="H46" s="4" t="s">
        <v>423</v>
      </c>
      <c r="I46" s="4" t="s">
        <v>421</v>
      </c>
    </row>
    <row r="47" spans="1:9" ht="40" customHeight="1">
      <c r="A47" s="6" t="s">
        <v>424</v>
      </c>
      <c r="B47" s="7" t="s">
        <v>69</v>
      </c>
      <c r="C47" s="7" t="b">
        <v>0</v>
      </c>
      <c r="D47" s="9">
        <v>2719.108088030416</v>
      </c>
      <c r="E47" s="9">
        <v>-1911.976415341282</v>
      </c>
      <c r="F47" s="9">
        <v>1217.803147117675</v>
      </c>
      <c r="G47" s="21">
        <v>0</v>
      </c>
      <c r="H47" s="7" t="s">
        <v>425</v>
      </c>
      <c r="I47" s="7" t="s">
        <v>426</v>
      </c>
    </row>
    <row r="48" spans="1:9" ht="40" customHeight="1">
      <c r="A48" s="3" t="s">
        <v>424</v>
      </c>
      <c r="B48" s="4" t="s">
        <v>79</v>
      </c>
      <c r="C48" s="4" t="b">
        <v>0</v>
      </c>
      <c r="D48" s="10">
        <v>2979.599344599313</v>
      </c>
      <c r="E48" s="10">
        <v>-1847.548621074964</v>
      </c>
      <c r="F48" s="10">
        <v>1272.021327475656</v>
      </c>
      <c r="G48" s="22">
        <v>0</v>
      </c>
      <c r="H48" s="4" t="s">
        <v>427</v>
      </c>
      <c r="I48" s="4" t="s">
        <v>426</v>
      </c>
    </row>
    <row r="49" spans="1:9" ht="40" customHeight="1">
      <c r="A49" s="6" t="s">
        <v>424</v>
      </c>
      <c r="B49" s="7" t="s">
        <v>80</v>
      </c>
      <c r="C49" s="7" t="b">
        <v>0</v>
      </c>
      <c r="D49" s="9">
        <v>1536.915321020107</v>
      </c>
      <c r="E49" s="9">
        <v>-1620.207801340978</v>
      </c>
      <c r="F49" s="9">
        <v>803.7529626238404</v>
      </c>
      <c r="G49" s="21">
        <v>0.06517517078138706</v>
      </c>
      <c r="H49" s="7" t="s">
        <v>428</v>
      </c>
      <c r="I49" s="7" t="s">
        <v>426</v>
      </c>
    </row>
    <row r="50" spans="1:9" ht="40" customHeight="1">
      <c r="A50" s="3" t="s">
        <v>429</v>
      </c>
      <c r="B50" s="4" t="s">
        <v>69</v>
      </c>
      <c r="C50" s="4" t="b">
        <v>0</v>
      </c>
      <c r="D50" s="10">
        <v>2955.215677817686</v>
      </c>
      <c r="E50" s="10">
        <v>-2165.054329628795</v>
      </c>
      <c r="F50" s="10">
        <v>1299.118601040411</v>
      </c>
      <c r="G50" s="22">
        <v>0</v>
      </c>
      <c r="H50" s="4" t="s">
        <v>430</v>
      </c>
      <c r="I50" s="4" t="s">
        <v>431</v>
      </c>
    </row>
    <row r="51" spans="1:9" ht="40" customHeight="1">
      <c r="A51" s="6" t="s">
        <v>429</v>
      </c>
      <c r="B51" s="7" t="s">
        <v>79</v>
      </c>
      <c r="C51" s="7" t="b">
        <v>0</v>
      </c>
      <c r="D51" s="9">
        <v>2955.215677817686</v>
      </c>
      <c r="E51" s="9">
        <v>-2165.054329628795</v>
      </c>
      <c r="F51" s="9">
        <v>1299.118601040411</v>
      </c>
      <c r="G51" s="21">
        <v>0</v>
      </c>
      <c r="H51" s="7" t="s">
        <v>430</v>
      </c>
      <c r="I51" s="7" t="s">
        <v>431</v>
      </c>
    </row>
    <row r="52" spans="1:9" ht="40" customHeight="1">
      <c r="A52" s="3" t="s">
        <v>429</v>
      </c>
      <c r="B52" s="4" t="s">
        <v>80</v>
      </c>
      <c r="C52" s="4" t="b">
        <v>0</v>
      </c>
      <c r="D52" s="10">
        <v>1785.086102307483</v>
      </c>
      <c r="E52" s="10">
        <v>-1847.467121280419</v>
      </c>
      <c r="F52" s="10">
        <v>896.1259752346971</v>
      </c>
      <c r="G52" s="22">
        <v>0.06517517078138706</v>
      </c>
      <c r="H52" s="4" t="s">
        <v>430</v>
      </c>
      <c r="I52" s="4" t="s">
        <v>431</v>
      </c>
    </row>
    <row r="53" spans="1:9" ht="40" customHeight="1">
      <c r="A53" s="6" t="s">
        <v>432</v>
      </c>
      <c r="B53" s="7" t="s">
        <v>69</v>
      </c>
      <c r="C53" s="7" t="b">
        <v>0</v>
      </c>
      <c r="D53" s="9">
        <v>3303.60698509133</v>
      </c>
      <c r="E53" s="9">
        <v>-2070.616429990379</v>
      </c>
      <c r="F53" s="9">
        <v>1419.104567265454</v>
      </c>
      <c r="G53" s="21">
        <v>0</v>
      </c>
      <c r="H53" s="7" t="s">
        <v>433</v>
      </c>
      <c r="I53" s="7" t="s">
        <v>434</v>
      </c>
    </row>
    <row r="54" spans="1:9" ht="40" customHeight="1">
      <c r="A54" s="3" t="s">
        <v>432</v>
      </c>
      <c r="B54" s="4" t="s">
        <v>79</v>
      </c>
      <c r="C54" s="4" t="b">
        <v>0</v>
      </c>
      <c r="D54" s="10">
        <v>3561.440167613605</v>
      </c>
      <c r="E54" s="10">
        <v>-1957.876003869844</v>
      </c>
      <c r="F54" s="10">
        <v>1487.631085704072</v>
      </c>
      <c r="G54" s="22">
        <v>0</v>
      </c>
      <c r="H54" s="4" t="s">
        <v>435</v>
      </c>
      <c r="I54" s="4" t="s">
        <v>434</v>
      </c>
    </row>
    <row r="55" spans="1:9" ht="40" customHeight="1">
      <c r="A55" s="6" t="s">
        <v>432</v>
      </c>
      <c r="B55" s="7" t="s">
        <v>80</v>
      </c>
      <c r="C55" s="7" t="b">
        <v>0</v>
      </c>
      <c r="D55" s="9">
        <v>2133.477409581126</v>
      </c>
      <c r="E55" s="9">
        <v>-1755.846723914081</v>
      </c>
      <c r="F55" s="9">
        <v>1015.700372361521</v>
      </c>
      <c r="G55" s="21">
        <v>0.06517517078138706</v>
      </c>
      <c r="H55" s="7" t="s">
        <v>436</v>
      </c>
      <c r="I55" s="7" t="s">
        <v>434</v>
      </c>
    </row>
    <row r="56" spans="1:9" ht="40" customHeight="1">
      <c r="A56" s="3" t="s">
        <v>437</v>
      </c>
      <c r="B56" s="4" t="s">
        <v>69</v>
      </c>
      <c r="C56" s="4" t="b">
        <v>0</v>
      </c>
      <c r="D56" s="10">
        <v>3485.399842234187</v>
      </c>
      <c r="E56" s="10">
        <v>-2119.957192933236</v>
      </c>
      <c r="F56" s="10">
        <v>1481.714027265454</v>
      </c>
      <c r="G56" s="22">
        <v>0</v>
      </c>
      <c r="H56" s="4" t="s">
        <v>438</v>
      </c>
      <c r="I56" s="4" t="s">
        <v>439</v>
      </c>
    </row>
    <row r="57" spans="1:9" ht="40" customHeight="1">
      <c r="A57" s="6" t="s">
        <v>437</v>
      </c>
      <c r="B57" s="7" t="s">
        <v>79</v>
      </c>
      <c r="C57" s="7" t="b">
        <v>0</v>
      </c>
      <c r="D57" s="9">
        <v>3743.233024756462</v>
      </c>
      <c r="E57" s="9">
        <v>-1988.665816235596</v>
      </c>
      <c r="F57" s="9">
        <v>1555.910183912637</v>
      </c>
      <c r="G57" s="21">
        <v>0</v>
      </c>
      <c r="H57" s="7" t="s">
        <v>435</v>
      </c>
      <c r="I57" s="7" t="s">
        <v>439</v>
      </c>
    </row>
    <row r="58" spans="1:9" ht="40" customHeight="1">
      <c r="A58" s="3" t="s">
        <v>437</v>
      </c>
      <c r="B58" s="4" t="s">
        <v>80</v>
      </c>
      <c r="C58" s="4" t="b">
        <v>0</v>
      </c>
      <c r="D58" s="10">
        <v>2315.270266723983</v>
      </c>
      <c r="E58" s="10">
        <v>-1802.369984584861</v>
      </c>
      <c r="F58" s="10">
        <v>1078.72140145974</v>
      </c>
      <c r="G58" s="22">
        <v>0.06517517078138706</v>
      </c>
      <c r="H58" s="4" t="s">
        <v>440</v>
      </c>
      <c r="I58" s="4" t="s">
        <v>439</v>
      </c>
    </row>
    <row r="59" spans="1:9" ht="40" customHeight="1">
      <c r="A59" s="6" t="s">
        <v>441</v>
      </c>
      <c r="B59" s="7" t="s">
        <v>69</v>
      </c>
      <c r="C59" s="7" t="b">
        <v>0</v>
      </c>
      <c r="D59" s="9">
        <v>2875.035556519901</v>
      </c>
      <c r="E59" s="9">
        <v>-1954.29700141895</v>
      </c>
      <c r="F59" s="9">
        <v>1271.504567265454</v>
      </c>
      <c r="G59" s="21">
        <v>0</v>
      </c>
      <c r="H59" s="7" t="s">
        <v>442</v>
      </c>
      <c r="I59" s="7" t="s">
        <v>443</v>
      </c>
    </row>
    <row r="60" spans="1:9" ht="40" customHeight="1">
      <c r="A60" s="3" t="s">
        <v>441</v>
      </c>
      <c r="B60" s="4" t="s">
        <v>79</v>
      </c>
      <c r="C60" s="4" t="b">
        <v>0</v>
      </c>
      <c r="D60" s="10">
        <v>3132.868739042176</v>
      </c>
      <c r="E60" s="10">
        <v>-1883.073223526433</v>
      </c>
      <c r="F60" s="10">
        <v>1327.214862569687</v>
      </c>
      <c r="G60" s="22">
        <v>0</v>
      </c>
      <c r="H60" s="4" t="s">
        <v>444</v>
      </c>
      <c r="I60" s="4" t="s">
        <v>443</v>
      </c>
    </row>
    <row r="61" spans="1:9" ht="40" customHeight="1">
      <c r="A61" s="6" t="s">
        <v>441</v>
      </c>
      <c r="B61" s="7" t="s">
        <v>80</v>
      </c>
      <c r="C61" s="7" t="b">
        <v>0</v>
      </c>
      <c r="D61" s="9">
        <v>1704.905981009697</v>
      </c>
      <c r="E61" s="9">
        <v>-1668.647236186337</v>
      </c>
      <c r="F61" s="9">
        <v>860.9033851522991</v>
      </c>
      <c r="G61" s="21">
        <v>0.06517517078138706</v>
      </c>
      <c r="H61" s="7" t="s">
        <v>445</v>
      </c>
      <c r="I61" s="7" t="s">
        <v>443</v>
      </c>
    </row>
    <row r="62" spans="1:9" ht="40" customHeight="1">
      <c r="A62" s="3" t="s">
        <v>446</v>
      </c>
      <c r="B62" s="4" t="s">
        <v>69</v>
      </c>
      <c r="C62" s="4" t="b">
        <v>0</v>
      </c>
      <c r="D62" s="10">
        <v>2691.362087132146</v>
      </c>
      <c r="E62" s="10">
        <v>-1906.968842065481</v>
      </c>
      <c r="F62" s="10">
        <v>1213.040608408311</v>
      </c>
      <c r="G62" s="22">
        <v>0</v>
      </c>
      <c r="H62" s="4" t="s">
        <v>447</v>
      </c>
      <c r="I62" s="4" t="s">
        <v>448</v>
      </c>
    </row>
    <row r="63" spans="1:9" ht="40" customHeight="1">
      <c r="A63" s="6" t="s">
        <v>446</v>
      </c>
      <c r="B63" s="7" t="s">
        <v>79</v>
      </c>
      <c r="C63" s="7" t="b">
        <v>0</v>
      </c>
      <c r="D63" s="9">
        <v>2949.195269654422</v>
      </c>
      <c r="E63" s="9">
        <v>-1842.265100463844</v>
      </c>
      <c r="F63" s="9">
        <v>1265.771585911401</v>
      </c>
      <c r="G63" s="21">
        <v>0</v>
      </c>
      <c r="H63" s="7" t="s">
        <v>449</v>
      </c>
      <c r="I63" s="7" t="s">
        <v>448</v>
      </c>
    </row>
    <row r="64" spans="1:9" ht="40" customHeight="1">
      <c r="A64" s="3" t="s">
        <v>446</v>
      </c>
      <c r="B64" s="4" t="s">
        <v>80</v>
      </c>
      <c r="C64" s="4" t="b">
        <v>0</v>
      </c>
      <c r="D64" s="10">
        <v>1521.232511621942</v>
      </c>
      <c r="E64" s="10">
        <v>-1617.239570081136</v>
      </c>
      <c r="F64" s="10">
        <v>803.1904655225849</v>
      </c>
      <c r="G64" s="22">
        <v>0.06517517078138706</v>
      </c>
      <c r="H64" s="4" t="s">
        <v>450</v>
      </c>
      <c r="I64" s="4" t="s">
        <v>448</v>
      </c>
    </row>
    <row r="65" spans="1:9" ht="40" customHeight="1">
      <c r="A65" s="6" t="s">
        <v>332</v>
      </c>
      <c r="B65" s="7" t="s">
        <v>69</v>
      </c>
      <c r="C65" s="7" t="b">
        <v>0</v>
      </c>
      <c r="D65" s="9">
        <v>2691.362087132146</v>
      </c>
      <c r="E65" s="9">
        <v>-1944.445817745481</v>
      </c>
      <c r="F65" s="9">
        <v>1208.247424408311</v>
      </c>
      <c r="G65" s="21">
        <v>0</v>
      </c>
      <c r="H65" s="7" t="s">
        <v>367</v>
      </c>
      <c r="I65" s="7" t="s">
        <v>451</v>
      </c>
    </row>
    <row r="66" spans="1:9" ht="40" customHeight="1">
      <c r="A66" s="3" t="s">
        <v>332</v>
      </c>
      <c r="B66" s="4" t="s">
        <v>79</v>
      </c>
      <c r="C66" s="4" t="b">
        <v>0</v>
      </c>
      <c r="D66" s="10">
        <v>2949.195269654422</v>
      </c>
      <c r="E66" s="10">
        <v>-1880.501599852964</v>
      </c>
      <c r="F66" s="10">
        <v>1261.072576855401</v>
      </c>
      <c r="G66" s="22">
        <v>0</v>
      </c>
      <c r="H66" s="4" t="s">
        <v>369</v>
      </c>
      <c r="I66" s="4" t="s">
        <v>451</v>
      </c>
    </row>
    <row r="67" spans="1:9" ht="40" customHeight="1">
      <c r="A67" s="6" t="s">
        <v>332</v>
      </c>
      <c r="B67" s="7" t="s">
        <v>80</v>
      </c>
      <c r="C67" s="7" t="b">
        <v>0</v>
      </c>
      <c r="D67" s="9">
        <v>1521.232511621942</v>
      </c>
      <c r="E67" s="9">
        <v>-1644.893390205397</v>
      </c>
      <c r="F67" s="9">
        <v>798.4176708665848</v>
      </c>
      <c r="G67" s="21">
        <v>0.06517517078138706</v>
      </c>
      <c r="H67" s="7" t="s">
        <v>370</v>
      </c>
      <c r="I67" s="7" t="s">
        <v>451</v>
      </c>
    </row>
    <row r="68" spans="1:9" ht="40" customHeight="1">
      <c r="A68" s="3" t="s">
        <v>452</v>
      </c>
      <c r="B68" s="4" t="s">
        <v>69</v>
      </c>
      <c r="C68" s="4" t="b">
        <v>0</v>
      </c>
      <c r="D68" s="10">
        <v>2436.26004631582</v>
      </c>
      <c r="E68" s="10">
        <v>-2085.20806264344</v>
      </c>
      <c r="F68" s="10">
        <v>1120.390281551168</v>
      </c>
      <c r="G68" s="22">
        <v>0</v>
      </c>
      <c r="H68" s="4" t="s">
        <v>453</v>
      </c>
      <c r="I68" s="4" t="s">
        <v>454</v>
      </c>
    </row>
    <row r="69" spans="1:9" ht="40" customHeight="1">
      <c r="A69" s="6" t="s">
        <v>452</v>
      </c>
      <c r="B69" s="7" t="s">
        <v>79</v>
      </c>
      <c r="C69" s="7" t="b">
        <v>0</v>
      </c>
      <c r="D69" s="9">
        <v>2949.195269654422</v>
      </c>
      <c r="E69" s="9">
        <v>-1986.393361923292</v>
      </c>
      <c r="F69" s="9">
        <v>1203.90714817515</v>
      </c>
      <c r="G69" s="21">
        <v>0</v>
      </c>
      <c r="H69" s="7" t="s">
        <v>455</v>
      </c>
      <c r="I69" s="7" t="s">
        <v>454</v>
      </c>
    </row>
    <row r="70" spans="1:9" ht="40" customHeight="1">
      <c r="A70" s="3" t="s">
        <v>452</v>
      </c>
      <c r="B70" s="4" t="s">
        <v>80</v>
      </c>
      <c r="C70" s="4" t="b">
        <v>0</v>
      </c>
      <c r="D70" s="10">
        <v>1266.130470805616</v>
      </c>
      <c r="E70" s="10">
        <v>-1767.620854295064</v>
      </c>
      <c r="F70" s="10">
        <v>717.3976557454541</v>
      </c>
      <c r="G70" s="22">
        <v>0.06517517078138706</v>
      </c>
      <c r="H70" s="4" t="s">
        <v>456</v>
      </c>
      <c r="I70" s="4" t="s">
        <v>454</v>
      </c>
    </row>
    <row r="71" spans="1:9" ht="40" customHeight="1">
      <c r="A71" s="6" t="s">
        <v>457</v>
      </c>
      <c r="B71" s="7" t="s">
        <v>69</v>
      </c>
      <c r="C71" s="7" t="b">
        <v>0</v>
      </c>
      <c r="D71" s="9">
        <v>2946.464127948473</v>
      </c>
      <c r="E71" s="9">
        <v>-1776.645561623546</v>
      </c>
      <c r="F71" s="9">
        <v>1283.28146674087</v>
      </c>
      <c r="G71" s="21">
        <v>0</v>
      </c>
      <c r="H71" s="7" t="s">
        <v>458</v>
      </c>
      <c r="I71" s="7" t="s">
        <v>459</v>
      </c>
    </row>
    <row r="72" spans="1:9" ht="40" customHeight="1">
      <c r="A72" s="3" t="s">
        <v>457</v>
      </c>
      <c r="B72" s="4" t="s">
        <v>79</v>
      </c>
      <c r="C72" s="4" t="b">
        <v>0</v>
      </c>
      <c r="D72" s="10">
        <v>2949.195269654422</v>
      </c>
      <c r="E72" s="10">
        <v>-1774.756556538059</v>
      </c>
      <c r="F72" s="10">
        <v>1284.210601149234</v>
      </c>
      <c r="G72" s="22">
        <v>0</v>
      </c>
      <c r="H72" s="4" t="s">
        <v>460</v>
      </c>
      <c r="I72" s="4" t="s">
        <v>459</v>
      </c>
    </row>
    <row r="73" spans="1:9" ht="40" customHeight="1">
      <c r="A73" s="6" t="s">
        <v>457</v>
      </c>
      <c r="B73" s="7" t="s">
        <v>80</v>
      </c>
      <c r="C73" s="7" t="b">
        <v>0</v>
      </c>
      <c r="D73" s="9">
        <v>1776.334552438269</v>
      </c>
      <c r="E73" s="9">
        <v>-1439.24337904348</v>
      </c>
      <c r="F73" s="9">
        <v>885.2033851522991</v>
      </c>
      <c r="G73" s="21">
        <v>0.06517517078138706</v>
      </c>
      <c r="H73" s="7" t="s">
        <v>461</v>
      </c>
      <c r="I73" s="7" t="s">
        <v>459</v>
      </c>
    </row>
    <row r="74" spans="1:9" ht="40" customHeight="1">
      <c r="A74" s="3" t="s">
        <v>462</v>
      </c>
      <c r="B74" s="4" t="s">
        <v>69</v>
      </c>
      <c r="C74" s="4" t="b">
        <v>0</v>
      </c>
      <c r="D74" s="10">
        <v>2691.362087132146</v>
      </c>
      <c r="E74" s="10">
        <v>-1904.445817745481</v>
      </c>
      <c r="F74" s="10">
        <v>1208.247424408311</v>
      </c>
      <c r="G74" s="22">
        <v>0</v>
      </c>
      <c r="H74" s="4" t="s">
        <v>367</v>
      </c>
      <c r="I74" s="4" t="s">
        <v>463</v>
      </c>
    </row>
    <row r="75" spans="1:9" ht="40" customHeight="1">
      <c r="A75" s="6" t="s">
        <v>462</v>
      </c>
      <c r="B75" s="7" t="s">
        <v>79</v>
      </c>
      <c r="C75" s="7" t="b">
        <v>0</v>
      </c>
      <c r="D75" s="9">
        <v>2949.195269654422</v>
      </c>
      <c r="E75" s="9">
        <v>-1840.501599852964</v>
      </c>
      <c r="F75" s="9">
        <v>1261.072576855401</v>
      </c>
      <c r="G75" s="21">
        <v>0</v>
      </c>
      <c r="H75" s="7" t="s">
        <v>369</v>
      </c>
      <c r="I75" s="7" t="s">
        <v>463</v>
      </c>
    </row>
    <row r="76" spans="1:9" ht="40" customHeight="1">
      <c r="A76" s="3" t="s">
        <v>462</v>
      </c>
      <c r="B76" s="4" t="s">
        <v>80</v>
      </c>
      <c r="C76" s="4" t="b">
        <v>0</v>
      </c>
      <c r="D76" s="10">
        <v>1521.232511621942</v>
      </c>
      <c r="E76" s="10">
        <v>-1615.685725982255</v>
      </c>
      <c r="F76" s="10">
        <v>798.4176708665848</v>
      </c>
      <c r="G76" s="22">
        <v>0.06517517078138706</v>
      </c>
      <c r="H76" s="4" t="s">
        <v>370</v>
      </c>
      <c r="I76" s="4" t="s">
        <v>463</v>
      </c>
    </row>
    <row r="77" spans="1:9" ht="40" customHeight="1">
      <c r="A77" s="6" t="s">
        <v>464</v>
      </c>
      <c r="B77" s="7" t="s">
        <v>69</v>
      </c>
      <c r="C77" s="7" t="b">
        <v>0</v>
      </c>
      <c r="D77" s="9">
        <v>2529.568306553372</v>
      </c>
      <c r="E77" s="9">
        <v>-247.1233447457614</v>
      </c>
      <c r="F77" s="9">
        <v>1071.76441042648</v>
      </c>
      <c r="G77" s="21">
        <v>0</v>
      </c>
      <c r="H77" s="7" t="s">
        <v>465</v>
      </c>
      <c r="I77" s="7" t="s">
        <v>466</v>
      </c>
    </row>
    <row r="78" spans="1:9" ht="40" customHeight="1">
      <c r="A78" s="3" t="s">
        <v>464</v>
      </c>
      <c r="B78" s="4" t="s">
        <v>79</v>
      </c>
      <c r="C78" s="4" t="b">
        <v>0</v>
      </c>
      <c r="D78" s="10">
        <v>2949.195269654422</v>
      </c>
      <c r="E78" s="10">
        <v>-267.8625010027905</v>
      </c>
      <c r="F78" s="10">
        <v>1106.554842683262</v>
      </c>
      <c r="G78" s="22">
        <v>0</v>
      </c>
      <c r="H78" s="4" t="s">
        <v>467</v>
      </c>
      <c r="I78" s="4" t="s">
        <v>466</v>
      </c>
    </row>
    <row r="79" spans="1:9" ht="40" customHeight="1">
      <c r="A79" s="6" t="s">
        <v>464</v>
      </c>
      <c r="B79" s="7" t="s">
        <v>80</v>
      </c>
      <c r="C79" s="7" t="b">
        <v>0</v>
      </c>
      <c r="D79" s="9">
        <v>1359.438731043168</v>
      </c>
      <c r="E79" s="9">
        <v>0</v>
      </c>
      <c r="F79" s="9">
        <v>651.658727794896</v>
      </c>
      <c r="G79" s="21">
        <v>0.06517517078138706</v>
      </c>
      <c r="H79" s="7" t="s">
        <v>468</v>
      </c>
      <c r="I79" s="7" t="s">
        <v>466</v>
      </c>
    </row>
    <row r="80" spans="1:9" ht="40" customHeight="1">
      <c r="A80" s="3" t="s">
        <v>469</v>
      </c>
      <c r="B80" s="4" t="s">
        <v>69</v>
      </c>
      <c r="C80" s="4" t="b">
        <v>0</v>
      </c>
      <c r="D80" s="10">
        <v>2853.155867710921</v>
      </c>
      <c r="E80" s="10">
        <v>-4027.347640279928</v>
      </c>
      <c r="F80" s="10">
        <v>1263.969202439641</v>
      </c>
      <c r="G80" s="22">
        <v>0</v>
      </c>
      <c r="H80" s="4" t="s">
        <v>470</v>
      </c>
      <c r="I80" s="4" t="s">
        <v>471</v>
      </c>
    </row>
    <row r="81" spans="1:9" ht="40" customHeight="1">
      <c r="A81" s="6" t="s">
        <v>469</v>
      </c>
      <c r="B81" s="7" t="s">
        <v>79</v>
      </c>
      <c r="C81" s="7" t="b">
        <v>0</v>
      </c>
      <c r="D81" s="9">
        <v>2949.195269654422</v>
      </c>
      <c r="E81" s="9">
        <v>-3959.295272535587</v>
      </c>
      <c r="F81" s="9">
        <v>1297.045172468983</v>
      </c>
      <c r="G81" s="21">
        <v>0</v>
      </c>
      <c r="H81" s="7" t="s">
        <v>472</v>
      </c>
      <c r="I81" s="7" t="s">
        <v>471</v>
      </c>
    </row>
    <row r="82" spans="1:9" ht="40" customHeight="1">
      <c r="A82" s="3" t="s">
        <v>469</v>
      </c>
      <c r="B82" s="4" t="s">
        <v>80</v>
      </c>
      <c r="C82" s="4" t="b">
        <v>0</v>
      </c>
      <c r="D82" s="10">
        <v>1683.026292200717</v>
      </c>
      <c r="E82" s="10">
        <v>-3709.760431931552</v>
      </c>
      <c r="F82" s="10">
        <v>860.9765766339269</v>
      </c>
      <c r="G82" s="22">
        <v>0.06517517078138706</v>
      </c>
      <c r="H82" s="4" t="s">
        <v>473</v>
      </c>
      <c r="I82" s="4" t="s">
        <v>471</v>
      </c>
    </row>
    <row r="83" spans="1:9" ht="40" customHeight="1">
      <c r="A83" s="6" t="s">
        <v>333</v>
      </c>
      <c r="B83" s="7" t="s">
        <v>69</v>
      </c>
      <c r="C83" s="7" t="b">
        <v>0</v>
      </c>
      <c r="D83" s="9">
        <v>2306.736139451969</v>
      </c>
      <c r="E83" s="9">
        <v>0</v>
      </c>
      <c r="F83" s="9">
        <v>826.181798106716</v>
      </c>
      <c r="G83" s="21">
        <v>0</v>
      </c>
      <c r="H83" s="7" t="s">
        <v>474</v>
      </c>
      <c r="I83" s="7" t="s">
        <v>475</v>
      </c>
    </row>
    <row r="84" spans="1:9" ht="40" customHeight="1">
      <c r="A84" s="3" t="s">
        <v>333</v>
      </c>
      <c r="B84" s="4" t="s">
        <v>79</v>
      </c>
      <c r="C84" s="4" t="b">
        <v>0</v>
      </c>
      <c r="D84" s="10">
        <v>2949.195269654422</v>
      </c>
      <c r="E84" s="10">
        <v>0</v>
      </c>
      <c r="F84" s="10">
        <v>884.9581971675909</v>
      </c>
      <c r="G84" s="22">
        <v>0</v>
      </c>
      <c r="H84" s="4" t="s">
        <v>474</v>
      </c>
      <c r="I84" s="4" t="s">
        <v>475</v>
      </c>
    </row>
    <row r="85" spans="1:9" ht="25" customHeight="1">
      <c r="A85" s="6" t="s">
        <v>333</v>
      </c>
      <c r="B85" s="7" t="s">
        <v>80</v>
      </c>
      <c r="C85" s="7" t="b">
        <v>1</v>
      </c>
      <c r="D85" s="9">
        <v>1136.606563941765</v>
      </c>
      <c r="E85" s="9">
        <v>750</v>
      </c>
      <c r="F85" s="9">
        <v>402.2895012573041</v>
      </c>
      <c r="G85" s="21">
        <v>0.06517517078138706</v>
      </c>
      <c r="H85" s="7"/>
      <c r="I85" s="7" t="s">
        <v>475</v>
      </c>
    </row>
    <row r="86" spans="1:9" ht="40" customHeight="1">
      <c r="A86" s="3" t="s">
        <v>476</v>
      </c>
      <c r="B86" s="4" t="s">
        <v>69</v>
      </c>
      <c r="C86" s="4" t="b">
        <v>0</v>
      </c>
      <c r="D86" s="10">
        <v>2306.736139451969</v>
      </c>
      <c r="E86" s="10">
        <v>0</v>
      </c>
      <c r="F86" s="10">
        <v>849.8362722482659</v>
      </c>
      <c r="G86" s="22">
        <v>0</v>
      </c>
      <c r="H86" s="4" t="s">
        <v>474</v>
      </c>
      <c r="I86" s="4" t="s">
        <v>477</v>
      </c>
    </row>
    <row r="87" spans="1:9" ht="40" customHeight="1">
      <c r="A87" s="6" t="s">
        <v>476</v>
      </c>
      <c r="B87" s="7" t="s">
        <v>79</v>
      </c>
      <c r="C87" s="7" t="b">
        <v>0</v>
      </c>
      <c r="D87" s="9">
        <v>2949.195269654422</v>
      </c>
      <c r="E87" s="9">
        <v>0</v>
      </c>
      <c r="F87" s="9">
        <v>908.612671309141</v>
      </c>
      <c r="G87" s="21">
        <v>0</v>
      </c>
      <c r="H87" s="7" t="s">
        <v>474</v>
      </c>
      <c r="I87" s="7" t="s">
        <v>477</v>
      </c>
    </row>
    <row r="88" spans="1:9" ht="25" customHeight="1">
      <c r="A88" s="3" t="s">
        <v>476</v>
      </c>
      <c r="B88" s="4" t="s">
        <v>80</v>
      </c>
      <c r="C88" s="4" t="b">
        <v>1</v>
      </c>
      <c r="D88" s="10">
        <v>1136.606563941765</v>
      </c>
      <c r="E88" s="10">
        <v>750</v>
      </c>
      <c r="F88" s="10">
        <v>408.3919612455351</v>
      </c>
      <c r="G88" s="22">
        <v>0.06517517078138706</v>
      </c>
      <c r="H88" s="4"/>
      <c r="I88" s="4" t="s">
        <v>477</v>
      </c>
    </row>
    <row r="89" spans="1:9" ht="40" customHeight="1">
      <c r="A89" s="6" t="s">
        <v>336</v>
      </c>
      <c r="B89" s="7" t="s">
        <v>69</v>
      </c>
      <c r="C89" s="7" t="b">
        <v>0</v>
      </c>
      <c r="D89" s="9">
        <v>2691.362087132146</v>
      </c>
      <c r="E89" s="9">
        <v>-5568.801674711363</v>
      </c>
      <c r="F89" s="9">
        <v>1208.247424408311</v>
      </c>
      <c r="G89" s="21">
        <v>0</v>
      </c>
      <c r="H89" s="7" t="s">
        <v>478</v>
      </c>
      <c r="I89" s="7" t="s">
        <v>479</v>
      </c>
    </row>
    <row r="90" spans="1:9" ht="40" customHeight="1">
      <c r="A90" s="3" t="s">
        <v>336</v>
      </c>
      <c r="B90" s="4" t="s">
        <v>79</v>
      </c>
      <c r="C90" s="4" t="b">
        <v>0</v>
      </c>
      <c r="D90" s="10">
        <v>2949.195269654422</v>
      </c>
      <c r="E90" s="10">
        <v>-5430.516218970519</v>
      </c>
      <c r="F90" s="10">
        <v>1285.644604411951</v>
      </c>
      <c r="G90" s="22">
        <v>0</v>
      </c>
      <c r="H90" s="4" t="s">
        <v>480</v>
      </c>
      <c r="I90" s="4" t="s">
        <v>479</v>
      </c>
    </row>
    <row r="91" spans="1:9" ht="40" customHeight="1">
      <c r="A91" s="6" t="s">
        <v>336</v>
      </c>
      <c r="B91" s="7" t="s">
        <v>80</v>
      </c>
      <c r="C91" s="7" t="b">
        <v>0</v>
      </c>
      <c r="D91" s="9">
        <v>1521.232511621942</v>
      </c>
      <c r="E91" s="9">
        <v>-5186.195046370187</v>
      </c>
      <c r="F91" s="9">
        <v>805.2547986025969</v>
      </c>
      <c r="G91" s="21">
        <v>0.06517517078138706</v>
      </c>
      <c r="H91" s="7" t="s">
        <v>481</v>
      </c>
      <c r="I91" s="7" t="s">
        <v>479</v>
      </c>
    </row>
    <row r="92" spans="1:9" ht="40" customHeight="1">
      <c r="A92" s="3" t="s">
        <v>339</v>
      </c>
      <c r="B92" s="4" t="s">
        <v>69</v>
      </c>
      <c r="C92" s="4" t="b">
        <v>0</v>
      </c>
      <c r="D92" s="10">
        <v>2691.362087132146</v>
      </c>
      <c r="E92" s="10">
        <v>-8703.892225859674</v>
      </c>
      <c r="F92" s="10">
        <v>1208.247424408311</v>
      </c>
      <c r="G92" s="22">
        <v>0</v>
      </c>
      <c r="H92" s="4" t="s">
        <v>482</v>
      </c>
      <c r="I92" s="4" t="s">
        <v>483</v>
      </c>
    </row>
    <row r="93" spans="1:9" ht="40" customHeight="1">
      <c r="A93" s="6" t="s">
        <v>339</v>
      </c>
      <c r="B93" s="7" t="s">
        <v>79</v>
      </c>
      <c r="C93" s="7" t="b">
        <v>0</v>
      </c>
      <c r="D93" s="9">
        <v>2949.195269654422</v>
      </c>
      <c r="E93" s="9">
        <v>-8540.29707154929</v>
      </c>
      <c r="F93" s="9">
        <v>1297.045172468983</v>
      </c>
      <c r="G93" s="21">
        <v>0</v>
      </c>
      <c r="H93" s="7" t="s">
        <v>484</v>
      </c>
      <c r="I93" s="7" t="s">
        <v>483</v>
      </c>
    </row>
    <row r="94" spans="1:9" ht="40" customHeight="1">
      <c r="A94" s="3" t="s">
        <v>339</v>
      </c>
      <c r="B94" s="4" t="s">
        <v>80</v>
      </c>
      <c r="C94" s="4" t="b">
        <v>0</v>
      </c>
      <c r="D94" s="10">
        <v>1521.232511621942</v>
      </c>
      <c r="E94" s="10">
        <v>-8299.612457520898</v>
      </c>
      <c r="F94" s="10">
        <v>805.2547986025969</v>
      </c>
      <c r="G94" s="22">
        <v>0.06517517078138706</v>
      </c>
      <c r="H94" s="4" t="s">
        <v>485</v>
      </c>
      <c r="I94" s="4" t="s">
        <v>483</v>
      </c>
    </row>
    <row r="95" spans="1:9" ht="40" customHeight="1">
      <c r="A95" s="6" t="s">
        <v>342</v>
      </c>
      <c r="B95" s="7" t="s">
        <v>69</v>
      </c>
      <c r="C95" s="7" t="b">
        <v>0</v>
      </c>
      <c r="D95" s="9">
        <v>2691.362087132146</v>
      </c>
      <c r="E95" s="9">
        <v>-2725.338690839778</v>
      </c>
      <c r="F95" s="9">
        <v>1196.495752455156</v>
      </c>
      <c r="G95" s="21">
        <v>0</v>
      </c>
      <c r="H95" s="7" t="s">
        <v>486</v>
      </c>
      <c r="I95" s="7" t="s">
        <v>487</v>
      </c>
    </row>
    <row r="96" spans="1:9" ht="40" customHeight="1">
      <c r="A96" s="3" t="s">
        <v>342</v>
      </c>
      <c r="B96" s="4" t="s">
        <v>79</v>
      </c>
      <c r="C96" s="4" t="b">
        <v>0</v>
      </c>
      <c r="D96" s="10">
        <v>2949.195269654422</v>
      </c>
      <c r="E96" s="10">
        <v>-2716.430622639051</v>
      </c>
      <c r="F96" s="10">
        <v>1224.820045726602</v>
      </c>
      <c r="G96" s="22">
        <v>0</v>
      </c>
      <c r="H96" s="4" t="s">
        <v>488</v>
      </c>
      <c r="I96" s="4" t="s">
        <v>487</v>
      </c>
    </row>
    <row r="97" spans="1:9" ht="40" customHeight="1">
      <c r="A97" s="6" t="s">
        <v>342</v>
      </c>
      <c r="B97" s="7" t="s">
        <v>80</v>
      </c>
      <c r="C97" s="7" t="b">
        <v>0</v>
      </c>
      <c r="D97" s="9">
        <v>1521.232511621942</v>
      </c>
      <c r="E97" s="9">
        <v>-2429.988136341189</v>
      </c>
      <c r="F97" s="9">
        <v>781.3486581411548</v>
      </c>
      <c r="G97" s="21">
        <v>0.06517517078138706</v>
      </c>
      <c r="H97" s="7" t="s">
        <v>489</v>
      </c>
      <c r="I97" s="7" t="s">
        <v>487</v>
      </c>
    </row>
    <row r="98" spans="1:9" ht="40" customHeight="1">
      <c r="A98" s="3" t="s">
        <v>345</v>
      </c>
      <c r="B98" s="4" t="s">
        <v>69</v>
      </c>
      <c r="C98" s="4" t="b">
        <v>0</v>
      </c>
      <c r="D98" s="10">
        <v>2306.736139451969</v>
      </c>
      <c r="E98" s="10">
        <v>0</v>
      </c>
      <c r="F98" s="10">
        <v>865.8439023635244</v>
      </c>
      <c r="G98" s="22">
        <v>0</v>
      </c>
      <c r="H98" s="4" t="s">
        <v>474</v>
      </c>
      <c r="I98" s="4" t="s">
        <v>490</v>
      </c>
    </row>
    <row r="99" spans="1:9" ht="40" customHeight="1">
      <c r="A99" s="6" t="s">
        <v>345</v>
      </c>
      <c r="B99" s="7" t="s">
        <v>79</v>
      </c>
      <c r="C99" s="7" t="b">
        <v>0</v>
      </c>
      <c r="D99" s="9">
        <v>2949.195269654422</v>
      </c>
      <c r="E99" s="9">
        <v>0</v>
      </c>
      <c r="F99" s="9">
        <v>924.6203014243995</v>
      </c>
      <c r="G99" s="21">
        <v>0</v>
      </c>
      <c r="H99" s="7" t="s">
        <v>474</v>
      </c>
      <c r="I99" s="7" t="s">
        <v>490</v>
      </c>
    </row>
    <row r="100" spans="1:9" ht="40" customHeight="1">
      <c r="A100" s="3" t="s">
        <v>345</v>
      </c>
      <c r="B100" s="4" t="s">
        <v>80</v>
      </c>
      <c r="C100" s="4" t="b">
        <v>1</v>
      </c>
      <c r="D100" s="10">
        <v>1136.606563941765</v>
      </c>
      <c r="E100" s="10">
        <v>750</v>
      </c>
      <c r="F100" s="10">
        <v>415.1768454116436</v>
      </c>
      <c r="G100" s="22">
        <v>0.06517517078138706</v>
      </c>
      <c r="H100" s="4"/>
      <c r="I100" s="4" t="s">
        <v>490</v>
      </c>
    </row>
    <row r="101" spans="1:9" ht="40" customHeight="1">
      <c r="A101" s="6" t="s">
        <v>348</v>
      </c>
      <c r="B101" s="7" t="s">
        <v>69</v>
      </c>
      <c r="C101" s="7" t="b">
        <v>0</v>
      </c>
      <c r="D101" s="9">
        <v>2306.736139451969</v>
      </c>
      <c r="E101" s="9">
        <v>0</v>
      </c>
      <c r="F101" s="9">
        <v>886.0199090136566</v>
      </c>
      <c r="G101" s="21">
        <v>0</v>
      </c>
      <c r="H101" s="7" t="s">
        <v>491</v>
      </c>
      <c r="I101" s="7" t="s">
        <v>492</v>
      </c>
    </row>
    <row r="102" spans="1:9" ht="40" customHeight="1">
      <c r="A102" s="3" t="s">
        <v>348</v>
      </c>
      <c r="B102" s="4" t="s">
        <v>79</v>
      </c>
      <c r="C102" s="4" t="b">
        <v>0</v>
      </c>
      <c r="D102" s="10">
        <v>2949.195269654422</v>
      </c>
      <c r="E102" s="10">
        <v>0</v>
      </c>
      <c r="F102" s="10">
        <v>938.3854677981981</v>
      </c>
      <c r="G102" s="22">
        <v>0</v>
      </c>
      <c r="H102" s="4" t="s">
        <v>493</v>
      </c>
      <c r="I102" s="4" t="s">
        <v>492</v>
      </c>
    </row>
    <row r="103" spans="1:9" ht="40" customHeight="1">
      <c r="A103" s="6" t="s">
        <v>348</v>
      </c>
      <c r="B103" s="7" t="s">
        <v>80</v>
      </c>
      <c r="C103" s="7" t="b">
        <v>0</v>
      </c>
      <c r="D103" s="9">
        <v>1136.606563941765</v>
      </c>
      <c r="E103" s="9">
        <v>389.6637479971711</v>
      </c>
      <c r="F103" s="9">
        <v>449.8155128574239</v>
      </c>
      <c r="G103" s="21">
        <v>0.06517517078138706</v>
      </c>
      <c r="H103" s="7" t="s">
        <v>494</v>
      </c>
      <c r="I103" s="7" t="s">
        <v>492</v>
      </c>
    </row>
    <row r="104" spans="1:9" ht="40" customHeight="1">
      <c r="A104" s="3" t="s">
        <v>351</v>
      </c>
      <c r="B104" s="4" t="s">
        <v>69</v>
      </c>
      <c r="C104" s="4" t="b">
        <v>0</v>
      </c>
      <c r="D104" s="10">
        <v>2691.362087132146</v>
      </c>
      <c r="E104" s="10">
        <v>-1904.445817745481</v>
      </c>
      <c r="F104" s="10">
        <v>1208.247424408311</v>
      </c>
      <c r="G104" s="22">
        <v>0</v>
      </c>
      <c r="H104" s="4" t="s">
        <v>367</v>
      </c>
      <c r="I104" s="4" t="s">
        <v>495</v>
      </c>
    </row>
    <row r="105" spans="1:9" ht="40" customHeight="1">
      <c r="A105" s="6" t="s">
        <v>351</v>
      </c>
      <c r="B105" s="7" t="s">
        <v>79</v>
      </c>
      <c r="C105" s="7" t="b">
        <v>0</v>
      </c>
      <c r="D105" s="9">
        <v>2949.195269654422</v>
      </c>
      <c r="E105" s="9">
        <v>-1840.501599852964</v>
      </c>
      <c r="F105" s="9">
        <v>1261.072576855401</v>
      </c>
      <c r="G105" s="21">
        <v>0</v>
      </c>
      <c r="H105" s="7" t="s">
        <v>369</v>
      </c>
      <c r="I105" s="7" t="s">
        <v>495</v>
      </c>
    </row>
    <row r="106" spans="1:9" ht="40" customHeight="1">
      <c r="A106" s="3" t="s">
        <v>351</v>
      </c>
      <c r="B106" s="4" t="s">
        <v>80</v>
      </c>
      <c r="C106" s="4" t="b">
        <v>0</v>
      </c>
      <c r="D106" s="10">
        <v>1521.232511621942</v>
      </c>
      <c r="E106" s="10">
        <v>-1615.685725982255</v>
      </c>
      <c r="F106" s="10">
        <v>798.4176708665848</v>
      </c>
      <c r="G106" s="22">
        <v>0.06517517078138706</v>
      </c>
      <c r="H106" s="4" t="s">
        <v>370</v>
      </c>
      <c r="I106" s="4" t="s">
        <v>495</v>
      </c>
    </row>
    <row r="107" spans="1:9" ht="40" customHeight="1">
      <c r="A107" s="6" t="s">
        <v>496</v>
      </c>
      <c r="B107" s="7" t="s">
        <v>69</v>
      </c>
      <c r="C107" s="7" t="b">
        <v>0</v>
      </c>
      <c r="D107" s="9">
        <v>3045.317718634013</v>
      </c>
      <c r="E107" s="9">
        <v>-1799.112331545413</v>
      </c>
      <c r="F107" s="9">
        <v>1208.470028712544</v>
      </c>
      <c r="G107" s="21">
        <v>0</v>
      </c>
      <c r="H107" s="7" t="s">
        <v>497</v>
      </c>
      <c r="I107" s="7" t="s">
        <v>498</v>
      </c>
    </row>
    <row r="108" spans="1:9" ht="40" customHeight="1">
      <c r="A108" s="3" t="s">
        <v>496</v>
      </c>
      <c r="B108" s="4" t="s">
        <v>79</v>
      </c>
      <c r="C108" s="4" t="b">
        <v>0</v>
      </c>
      <c r="D108" s="10">
        <v>3045.317718634013</v>
      </c>
      <c r="E108" s="10">
        <v>-1799.112331545413</v>
      </c>
      <c r="F108" s="10">
        <v>1208.470028712544</v>
      </c>
      <c r="G108" s="22">
        <v>0</v>
      </c>
      <c r="H108" s="4" t="s">
        <v>497</v>
      </c>
      <c r="I108" s="4" t="s">
        <v>498</v>
      </c>
    </row>
    <row r="109" spans="1:9" ht="40" customHeight="1">
      <c r="A109" s="6" t="s">
        <v>496</v>
      </c>
      <c r="B109" s="7" t="s">
        <v>80</v>
      </c>
      <c r="C109" s="7" t="b">
        <v>0</v>
      </c>
      <c r="D109" s="9">
        <v>1875.188143123809</v>
      </c>
      <c r="E109" s="9">
        <v>-1527.901055883965</v>
      </c>
      <c r="F109" s="9">
        <v>787.0970075347158</v>
      </c>
      <c r="G109" s="21">
        <v>0.06517517078138706</v>
      </c>
      <c r="H109" s="7" t="s">
        <v>497</v>
      </c>
      <c r="I109" s="7" t="s">
        <v>498</v>
      </c>
    </row>
    <row r="110" spans="1:9" ht="40" customHeight="1">
      <c r="A110" s="3" t="s">
        <v>499</v>
      </c>
      <c r="B110" s="4" t="s">
        <v>69</v>
      </c>
      <c r="C110" s="4" t="b">
        <v>0</v>
      </c>
      <c r="D110" s="10">
        <v>2320.37435754031</v>
      </c>
      <c r="E110" s="10">
        <v>-2438.420961107646</v>
      </c>
      <c r="F110" s="10">
        <v>1094.174066771483</v>
      </c>
      <c r="G110" s="22">
        <v>0</v>
      </c>
      <c r="H110" s="4" t="s">
        <v>500</v>
      </c>
      <c r="I110" s="4" t="s">
        <v>501</v>
      </c>
    </row>
    <row r="111" spans="1:9" ht="40" customHeight="1">
      <c r="A111" s="6" t="s">
        <v>499</v>
      </c>
      <c r="B111" s="7" t="s">
        <v>79</v>
      </c>
      <c r="C111" s="7" t="b">
        <v>0</v>
      </c>
      <c r="D111" s="9">
        <v>2949.195269654422</v>
      </c>
      <c r="E111" s="9">
        <v>-2033.237643608386</v>
      </c>
      <c r="F111" s="9">
        <v>1297.045172468983</v>
      </c>
      <c r="G111" s="21">
        <v>0</v>
      </c>
      <c r="H111" s="7" t="s">
        <v>502</v>
      </c>
      <c r="I111" s="7" t="s">
        <v>501</v>
      </c>
    </row>
    <row r="112" spans="1:9" ht="40" customHeight="1">
      <c r="A112" s="3" t="s">
        <v>499</v>
      </c>
      <c r="B112" s="4" t="s">
        <v>80</v>
      </c>
      <c r="C112" s="4" t="b">
        <v>0</v>
      </c>
      <c r="D112" s="10">
        <v>1150.244782030106</v>
      </c>
      <c r="E112" s="10">
        <v>-2161.225387733125</v>
      </c>
      <c r="F112" s="10">
        <v>677.4866245311687</v>
      </c>
      <c r="G112" s="22">
        <v>0.06517517078138706</v>
      </c>
      <c r="H112" s="4" t="s">
        <v>503</v>
      </c>
      <c r="I112" s="4" t="s">
        <v>501</v>
      </c>
    </row>
  </sheetData>
  <autoFilter ref="A4:I112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&amp;LPublic comparisons&amp;RPage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3C5658"/>
  </sheetPr>
  <dimension ref="A1:D27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2.7109375" customWidth="1"/>
    <col min="2" max="2" width="36.7109375" customWidth="1"/>
    <col min="3" max="3" width="95.7109375" customWidth="1"/>
    <col min="4" max="4" width="90.7109375" customWidth="1"/>
  </cols>
  <sheetData>
    <row r="1" spans="1:4" ht="9" customHeight="1"/>
    <row r="2" spans="1:4" ht="42" customHeight="1">
      <c r="A2" s="1" t="s">
        <v>504</v>
      </c>
      <c r="B2" s="1"/>
      <c r="C2" s="1"/>
      <c r="D2" s="1"/>
    </row>
    <row r="3" spans="1:4" ht="30" customHeight="1">
      <c r="A3" s="2" t="s">
        <v>159</v>
      </c>
      <c r="B3" s="2"/>
      <c r="C3" s="2"/>
      <c r="D3" s="2"/>
    </row>
    <row r="4" spans="1:4" ht="34" customHeight="1">
      <c r="A4" s="5" t="s">
        <v>505</v>
      </c>
      <c r="B4" s="5" t="s">
        <v>506</v>
      </c>
      <c r="C4" s="5" t="s">
        <v>507</v>
      </c>
      <c r="D4" s="5" t="s">
        <v>508</v>
      </c>
    </row>
    <row r="5" spans="1:4" ht="55" customHeight="1">
      <c r="A5" s="6" t="s">
        <v>509</v>
      </c>
      <c r="B5" s="7" t="s">
        <v>510</v>
      </c>
      <c r="C5" s="7" t="s">
        <v>511</v>
      </c>
      <c r="D5" s="7" t="s">
        <v>512</v>
      </c>
    </row>
    <row r="6" spans="1:4" ht="40" customHeight="1">
      <c r="A6" s="3" t="s">
        <v>513</v>
      </c>
      <c r="B6" s="4" t="s">
        <v>510</v>
      </c>
      <c r="C6" s="4" t="s">
        <v>514</v>
      </c>
      <c r="D6" s="4" t="s">
        <v>515</v>
      </c>
    </row>
    <row r="7" spans="1:4" ht="40" customHeight="1">
      <c r="A7" s="6" t="s">
        <v>516</v>
      </c>
      <c r="B7" s="7" t="s">
        <v>510</v>
      </c>
      <c r="C7" s="7" t="s">
        <v>514</v>
      </c>
      <c r="D7" s="7" t="s">
        <v>515</v>
      </c>
    </row>
    <row r="8" spans="1:4" ht="55" customHeight="1">
      <c r="A8" s="3" t="s">
        <v>517</v>
      </c>
      <c r="B8" s="4" t="s">
        <v>518</v>
      </c>
      <c r="C8" s="4" t="s">
        <v>519</v>
      </c>
      <c r="D8" s="4" t="s">
        <v>515</v>
      </c>
    </row>
    <row r="9" spans="1:4" ht="70" customHeight="1">
      <c r="A9" s="6" t="s">
        <v>520</v>
      </c>
      <c r="B9" s="7" t="s">
        <v>510</v>
      </c>
      <c r="C9" s="7" t="s">
        <v>521</v>
      </c>
      <c r="D9" s="7" t="s">
        <v>522</v>
      </c>
    </row>
    <row r="10" spans="1:4" ht="70" customHeight="1">
      <c r="A10" s="3" t="s">
        <v>523</v>
      </c>
      <c r="B10" s="4" t="s">
        <v>510</v>
      </c>
      <c r="C10" s="4" t="s">
        <v>524</v>
      </c>
      <c r="D10" s="4" t="s">
        <v>525</v>
      </c>
    </row>
    <row r="11" spans="1:4" ht="55" customHeight="1">
      <c r="A11" s="6" t="s">
        <v>526</v>
      </c>
      <c r="B11" s="7" t="s">
        <v>518</v>
      </c>
      <c r="C11" s="7" t="s">
        <v>519</v>
      </c>
      <c r="D11" s="7" t="s">
        <v>527</v>
      </c>
    </row>
    <row r="12" spans="1:4" ht="70" customHeight="1">
      <c r="A12" s="3" t="s">
        <v>528</v>
      </c>
      <c r="B12" s="4" t="s">
        <v>510</v>
      </c>
      <c r="C12" s="4" t="s">
        <v>521</v>
      </c>
      <c r="D12" s="4" t="s">
        <v>527</v>
      </c>
    </row>
    <row r="13" spans="1:4" ht="70" customHeight="1">
      <c r="A13" s="6" t="s">
        <v>529</v>
      </c>
      <c r="B13" s="7" t="s">
        <v>510</v>
      </c>
      <c r="C13" s="7" t="s">
        <v>521</v>
      </c>
      <c r="D13" s="7" t="s">
        <v>527</v>
      </c>
    </row>
    <row r="14" spans="1:4" ht="55" customHeight="1">
      <c r="A14" s="3" t="s">
        <v>530</v>
      </c>
      <c r="B14" s="4" t="s">
        <v>518</v>
      </c>
      <c r="C14" s="4" t="s">
        <v>531</v>
      </c>
      <c r="D14" s="4" t="s">
        <v>527</v>
      </c>
    </row>
    <row r="15" spans="1:4" ht="55" customHeight="1">
      <c r="A15" s="6" t="s">
        <v>532</v>
      </c>
      <c r="B15" s="7" t="s">
        <v>533</v>
      </c>
      <c r="C15" s="7" t="s">
        <v>534</v>
      </c>
      <c r="D15" s="7" t="s">
        <v>527</v>
      </c>
    </row>
    <row r="16" spans="1:4" ht="55" customHeight="1">
      <c r="A16" s="3" t="s">
        <v>535</v>
      </c>
      <c r="B16" s="4" t="s">
        <v>536</v>
      </c>
      <c r="C16" s="4" t="s">
        <v>537</v>
      </c>
      <c r="D16" s="4" t="s">
        <v>527</v>
      </c>
    </row>
    <row r="17" spans="1:4" ht="40" customHeight="1">
      <c r="A17" s="6" t="s">
        <v>538</v>
      </c>
      <c r="B17" s="7" t="s">
        <v>510</v>
      </c>
      <c r="C17" s="7" t="s">
        <v>514</v>
      </c>
      <c r="D17" s="7" t="s">
        <v>515</v>
      </c>
    </row>
    <row r="18" spans="1:4" ht="40" customHeight="1">
      <c r="A18" s="3" t="s">
        <v>539</v>
      </c>
      <c r="B18" s="4" t="s">
        <v>510</v>
      </c>
      <c r="C18" s="4" t="s">
        <v>514</v>
      </c>
      <c r="D18" s="4" t="s">
        <v>515</v>
      </c>
    </row>
    <row r="19" spans="1:4" ht="70" customHeight="1">
      <c r="A19" s="6" t="s">
        <v>540</v>
      </c>
      <c r="B19" s="7" t="s">
        <v>510</v>
      </c>
      <c r="C19" s="7" t="s">
        <v>521</v>
      </c>
      <c r="D19" s="7" t="s">
        <v>522</v>
      </c>
    </row>
    <row r="20" spans="1:4" ht="70" customHeight="1">
      <c r="A20" s="3" t="s">
        <v>541</v>
      </c>
      <c r="B20" s="4" t="s">
        <v>510</v>
      </c>
      <c r="C20" s="4" t="s">
        <v>524</v>
      </c>
      <c r="D20" s="4" t="s">
        <v>525</v>
      </c>
    </row>
    <row r="21" spans="1:4" ht="55" customHeight="1">
      <c r="A21" s="6" t="s">
        <v>542</v>
      </c>
      <c r="B21" s="7" t="s">
        <v>518</v>
      </c>
      <c r="C21" s="7" t="s">
        <v>519</v>
      </c>
      <c r="D21" s="7" t="s">
        <v>527</v>
      </c>
    </row>
    <row r="22" spans="1:4" ht="70" customHeight="1">
      <c r="A22" s="3" t="s">
        <v>543</v>
      </c>
      <c r="B22" s="4" t="s">
        <v>510</v>
      </c>
      <c r="C22" s="4" t="s">
        <v>521</v>
      </c>
      <c r="D22" s="4" t="s">
        <v>527</v>
      </c>
    </row>
    <row r="23" spans="1:4" ht="70" customHeight="1">
      <c r="A23" s="6" t="s">
        <v>544</v>
      </c>
      <c r="B23" s="7" t="s">
        <v>510</v>
      </c>
      <c r="C23" s="7" t="s">
        <v>521</v>
      </c>
      <c r="D23" s="7" t="s">
        <v>527</v>
      </c>
    </row>
    <row r="24" spans="1:4" ht="55" customHeight="1">
      <c r="A24" s="3" t="s">
        <v>545</v>
      </c>
      <c r="B24" s="4" t="s">
        <v>518</v>
      </c>
      <c r="C24" s="4" t="s">
        <v>531</v>
      </c>
      <c r="D24" s="4" t="s">
        <v>527</v>
      </c>
    </row>
    <row r="25" spans="1:4" ht="55" customHeight="1">
      <c r="A25" s="6" t="s">
        <v>546</v>
      </c>
      <c r="B25" s="7" t="s">
        <v>533</v>
      </c>
      <c r="C25" s="7" t="s">
        <v>534</v>
      </c>
      <c r="D25" s="7" t="s">
        <v>527</v>
      </c>
    </row>
    <row r="26" spans="1:4" ht="55" customHeight="1">
      <c r="A26" s="3" t="s">
        <v>547</v>
      </c>
      <c r="B26" s="4" t="s">
        <v>536</v>
      </c>
      <c r="C26" s="4" t="s">
        <v>537</v>
      </c>
      <c r="D26" s="4" t="s">
        <v>527</v>
      </c>
    </row>
    <row r="27" spans="1:4" ht="55" customHeight="1">
      <c r="A27" s="6" t="s">
        <v>548</v>
      </c>
      <c r="B27" s="7" t="s">
        <v>536</v>
      </c>
      <c r="C27" s="7" t="s">
        <v>537</v>
      </c>
      <c r="D27" s="7" t="s">
        <v>527</v>
      </c>
    </row>
  </sheetData>
  <autoFilter ref="A4:D27"/>
  <mergeCells count="2">
    <mergeCell ref="A2:D2"/>
    <mergeCell ref="A3:D3"/>
  </mergeCells>
  <pageMargins left="0.3" right="0.3" top="0.4" bottom="0.4" header="0.3" footer="0.3"/>
  <pageSetup paperSize="9" scale="85" orientation="landscape"/>
  <headerFooter>
    <oddFooter>&amp;LPublic gap assessment&amp;RPage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3C5658"/>
  </sheetPr>
  <dimension ref="A1:A1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50.7109375" customWidth="1"/>
  </cols>
  <sheetData>
    <row r="1" spans="1:1" ht="9" customHeight="1"/>
    <row r="2" spans="1:1" ht="42" customHeight="1">
      <c r="A2" s="1" t="s">
        <v>549</v>
      </c>
    </row>
    <row r="3" spans="1:1" ht="30" customHeight="1">
      <c r="A3" s="2" t="s">
        <v>550</v>
      </c>
    </row>
    <row r="4" spans="1:1" ht="34" customHeight="1">
      <c r="A4" s="5" t="s">
        <v>551</v>
      </c>
    </row>
    <row r="5" spans="1:1" ht="40" customHeight="1">
      <c r="A5" s="6" t="s">
        <v>58</v>
      </c>
    </row>
    <row r="6" spans="1:1" ht="40" customHeight="1">
      <c r="A6" s="3" t="s">
        <v>552</v>
      </c>
    </row>
    <row r="7" spans="1:1" ht="55" customHeight="1">
      <c r="A7" s="6" t="s">
        <v>553</v>
      </c>
    </row>
    <row r="8" spans="1:1" ht="40" customHeight="1">
      <c r="A8" s="3" t="s">
        <v>554</v>
      </c>
    </row>
    <row r="9" spans="1:1" ht="40" customHeight="1">
      <c r="A9" s="6" t="s">
        <v>555</v>
      </c>
    </row>
    <row r="10" spans="1:1" ht="40" customHeight="1">
      <c r="A10" s="3" t="s">
        <v>556</v>
      </c>
    </row>
    <row r="11" spans="1:1" ht="40" customHeight="1">
      <c r="A11" s="6" t="s">
        <v>557</v>
      </c>
    </row>
    <row r="12" spans="1:1" ht="40" customHeight="1">
      <c r="A12" s="3" t="s">
        <v>558</v>
      </c>
    </row>
    <row r="13" spans="1:1" ht="25" customHeight="1">
      <c r="A13" s="6" t="s">
        <v>559</v>
      </c>
    </row>
    <row r="14" spans="1:1" ht="40" customHeight="1">
      <c r="A14" s="3" t="s">
        <v>560</v>
      </c>
    </row>
    <row r="15" spans="1:1" ht="25" customHeight="1">
      <c r="A15" s="6" t="s">
        <v>561</v>
      </c>
    </row>
    <row r="16" spans="1:1" ht="25" customHeight="1">
      <c r="A16" s="3" t="s">
        <v>562</v>
      </c>
    </row>
    <row r="17" spans="1:1" ht="25" customHeight="1">
      <c r="A17" s="6" t="s">
        <v>563</v>
      </c>
    </row>
    <row r="18" spans="1:1" ht="25" customHeight="1">
      <c r="A18" s="3" t="s">
        <v>564</v>
      </c>
    </row>
    <row r="19" spans="1:1" ht="40" customHeight="1">
      <c r="A19" s="6" t="s">
        <v>565</v>
      </c>
    </row>
  </sheetData>
  <autoFilter ref="A4:A19"/>
  <pageMargins left="0.3" right="0.3" top="0.4" bottom="0.4" header="0.3" footer="0.3"/>
  <pageSetup paperSize="9" scale="85" orientation="landscape"/>
  <headerFooter>
    <oddFooter>&amp;LPublic conventions&amp;RPage &amp;P of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3C5658"/>
  </sheetPr>
  <dimension ref="A1:F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6" width="18.7109375" customWidth="1"/>
  </cols>
  <sheetData>
    <row r="1" spans="1:6" ht="9" customHeight="1"/>
    <row r="2" spans="1:6" ht="62" customHeight="1">
      <c r="A2" s="1" t="s">
        <v>566</v>
      </c>
      <c r="B2" s="1"/>
      <c r="C2" s="1"/>
      <c r="D2" s="1"/>
      <c r="E2" s="1"/>
      <c r="F2" s="1"/>
    </row>
    <row r="3" spans="1:6" ht="30" customHeight="1">
      <c r="A3" s="2" t="s">
        <v>550</v>
      </c>
      <c r="B3" s="2"/>
      <c r="C3" s="2"/>
      <c r="D3" s="2"/>
      <c r="E3" s="2"/>
      <c r="F3" s="2"/>
    </row>
    <row r="4" spans="1:6" ht="34" customHeight="1">
      <c r="A4" s="5" t="s">
        <v>66</v>
      </c>
      <c r="B4" s="5" t="s">
        <v>277</v>
      </c>
      <c r="C4" s="5" t="s">
        <v>301</v>
      </c>
      <c r="D4" s="5" t="s">
        <v>303</v>
      </c>
      <c r="E4" s="5" t="s">
        <v>294</v>
      </c>
      <c r="F4" s="5" t="s">
        <v>306</v>
      </c>
    </row>
  </sheetData>
  <autoFilter ref="A4:F4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&amp;LScenarios&amp;RPage &amp;P of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3C5658"/>
  </sheetPr>
  <dimension ref="A1:H141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4.7109375" customWidth="1"/>
    <col min="2" max="2" width="35.7109375" customWidth="1"/>
    <col min="3" max="3" width="30.7109375" customWidth="1"/>
    <col min="4" max="4" width="22.7109375" customWidth="1"/>
    <col min="5" max="6" width="60.7109375" customWidth="1"/>
    <col min="7" max="8" width="70.7109375" customWidth="1"/>
  </cols>
  <sheetData>
    <row r="1" spans="1:8" ht="9" customHeight="1"/>
    <row r="2" spans="1:8" ht="42" customHeight="1">
      <c r="A2" s="1" t="s">
        <v>567</v>
      </c>
      <c r="B2" s="1"/>
      <c r="C2" s="1"/>
      <c r="D2" s="1"/>
      <c r="E2" s="1"/>
      <c r="F2" s="1"/>
      <c r="G2" s="8"/>
      <c r="H2" s="8"/>
    </row>
    <row r="3" spans="1:8" ht="30" customHeight="1">
      <c r="A3" s="2" t="s">
        <v>550</v>
      </c>
      <c r="B3" s="2"/>
      <c r="C3" s="2"/>
      <c r="D3" s="2"/>
      <c r="E3" s="2"/>
      <c r="F3" s="2"/>
      <c r="G3" s="8"/>
      <c r="H3" s="8"/>
    </row>
    <row r="4" spans="1:8" ht="40" customHeight="1">
      <c r="A4" s="5" t="s">
        <v>568</v>
      </c>
      <c r="B4" s="5" t="s">
        <v>145</v>
      </c>
      <c r="C4" s="5" t="s">
        <v>506</v>
      </c>
      <c r="D4" s="5" t="s">
        <v>569</v>
      </c>
      <c r="E4" s="5" t="s">
        <v>570</v>
      </c>
      <c r="F4" s="5" t="s">
        <v>571</v>
      </c>
      <c r="G4" s="5" t="s">
        <v>572</v>
      </c>
      <c r="H4" s="5" t="s">
        <v>325</v>
      </c>
    </row>
    <row r="5" spans="1:8" ht="55" customHeight="1">
      <c r="A5" s="6" t="s">
        <v>573</v>
      </c>
      <c r="B5" s="9">
        <v>364.075</v>
      </c>
      <c r="C5" s="7" t="s">
        <v>574</v>
      </c>
      <c r="D5" s="7" t="b">
        <v>0</v>
      </c>
      <c r="E5" s="7" t="s">
        <v>575</v>
      </c>
      <c r="F5" s="7" t="s">
        <v>576</v>
      </c>
      <c r="G5" s="7" t="s">
        <v>577</v>
      </c>
      <c r="H5" s="7" t="s">
        <v>578</v>
      </c>
    </row>
    <row r="6" spans="1:8" ht="55" customHeight="1">
      <c r="A6" s="3" t="s">
        <v>579</v>
      </c>
      <c r="B6" s="10">
        <v>365.475</v>
      </c>
      <c r="C6" s="4" t="s">
        <v>574</v>
      </c>
      <c r="D6" s="4" t="b">
        <v>0</v>
      </c>
      <c r="E6" s="4" t="s">
        <v>575</v>
      </c>
      <c r="F6" s="4" t="s">
        <v>576</v>
      </c>
      <c r="G6" s="4" t="s">
        <v>577</v>
      </c>
      <c r="H6" s="4" t="s">
        <v>578</v>
      </c>
    </row>
    <row r="7" spans="1:8" ht="55" customHeight="1">
      <c r="A7" s="6" t="s">
        <v>580</v>
      </c>
      <c r="B7" s="7"/>
      <c r="C7" s="7" t="s">
        <v>581</v>
      </c>
      <c r="D7" s="7" t="b">
        <v>0</v>
      </c>
      <c r="E7" s="7" t="s">
        <v>582</v>
      </c>
      <c r="F7" s="7" t="s">
        <v>576</v>
      </c>
      <c r="G7" s="7" t="s">
        <v>577</v>
      </c>
      <c r="H7" s="7" t="s">
        <v>578</v>
      </c>
    </row>
    <row r="8" spans="1:8" ht="55" customHeight="1">
      <c r="A8" s="3" t="s">
        <v>583</v>
      </c>
      <c r="B8" s="4"/>
      <c r="C8" s="4" t="s">
        <v>581</v>
      </c>
      <c r="D8" s="4" t="b">
        <v>0</v>
      </c>
      <c r="E8" s="4" t="s">
        <v>582</v>
      </c>
      <c r="F8" s="4" t="s">
        <v>576</v>
      </c>
      <c r="G8" s="4" t="s">
        <v>577</v>
      </c>
      <c r="H8" s="4" t="s">
        <v>578</v>
      </c>
    </row>
    <row r="9" spans="1:8" ht="55" customHeight="1">
      <c r="A9" s="6" t="s">
        <v>584</v>
      </c>
      <c r="B9" s="7"/>
      <c r="C9" s="7" t="s">
        <v>581</v>
      </c>
      <c r="D9" s="7" t="b">
        <v>0</v>
      </c>
      <c r="E9" s="7" t="s">
        <v>582</v>
      </c>
      <c r="F9" s="7" t="s">
        <v>576</v>
      </c>
      <c r="G9" s="7" t="s">
        <v>577</v>
      </c>
      <c r="H9" s="7" t="s">
        <v>578</v>
      </c>
    </row>
    <row r="10" spans="1:8" ht="55" customHeight="1">
      <c r="A10" s="3" t="s">
        <v>585</v>
      </c>
      <c r="B10" s="4"/>
      <c r="C10" s="4" t="s">
        <v>581</v>
      </c>
      <c r="D10" s="4" t="b">
        <v>0</v>
      </c>
      <c r="E10" s="4" t="s">
        <v>582</v>
      </c>
      <c r="F10" s="4" t="s">
        <v>576</v>
      </c>
      <c r="G10" s="4" t="s">
        <v>577</v>
      </c>
      <c r="H10" s="4" t="s">
        <v>578</v>
      </c>
    </row>
    <row r="11" spans="1:8" ht="55" customHeight="1">
      <c r="A11" s="6" t="s">
        <v>586</v>
      </c>
      <c r="B11" s="9">
        <v>921.881</v>
      </c>
      <c r="C11" s="7" t="s">
        <v>574</v>
      </c>
      <c r="D11" s="7" t="b">
        <v>0</v>
      </c>
      <c r="E11" s="7" t="s">
        <v>575</v>
      </c>
      <c r="F11" s="7" t="s">
        <v>576</v>
      </c>
      <c r="G11" s="7" t="s">
        <v>577</v>
      </c>
      <c r="H11" s="7" t="s">
        <v>578</v>
      </c>
    </row>
    <row r="12" spans="1:8" ht="55" customHeight="1">
      <c r="A12" s="3" t="s">
        <v>587</v>
      </c>
      <c r="B12" s="10">
        <v>1463.019</v>
      </c>
      <c r="C12" s="4" t="s">
        <v>574</v>
      </c>
      <c r="D12" s="4" t="b">
        <v>0</v>
      </c>
      <c r="E12" s="4" t="s">
        <v>575</v>
      </c>
      <c r="F12" s="4" t="s">
        <v>576</v>
      </c>
      <c r="G12" s="4" t="s">
        <v>577</v>
      </c>
      <c r="H12" s="4" t="s">
        <v>578</v>
      </c>
    </row>
    <row r="13" spans="1:8" ht="55" customHeight="1">
      <c r="A13" s="6" t="s">
        <v>588</v>
      </c>
      <c r="B13" s="7"/>
      <c r="C13" s="7" t="s">
        <v>581</v>
      </c>
      <c r="D13" s="7" t="b">
        <v>0</v>
      </c>
      <c r="E13" s="7" t="s">
        <v>582</v>
      </c>
      <c r="F13" s="7" t="s">
        <v>576</v>
      </c>
      <c r="G13" s="7" t="s">
        <v>577</v>
      </c>
      <c r="H13" s="7" t="s">
        <v>578</v>
      </c>
    </row>
    <row r="14" spans="1:8" ht="55" customHeight="1">
      <c r="A14" s="3" t="s">
        <v>589</v>
      </c>
      <c r="B14" s="4"/>
      <c r="C14" s="4" t="s">
        <v>581</v>
      </c>
      <c r="D14" s="4" t="b">
        <v>0</v>
      </c>
      <c r="E14" s="4" t="s">
        <v>582</v>
      </c>
      <c r="F14" s="4" t="s">
        <v>576</v>
      </c>
      <c r="G14" s="4" t="s">
        <v>577</v>
      </c>
      <c r="H14" s="4" t="s">
        <v>578</v>
      </c>
    </row>
    <row r="15" spans="1:8" ht="55" customHeight="1">
      <c r="A15" s="6" t="s">
        <v>590</v>
      </c>
      <c r="B15" s="9">
        <v>12368.198</v>
      </c>
      <c r="C15" s="7" t="s">
        <v>574</v>
      </c>
      <c r="D15" s="7" t="b">
        <v>0</v>
      </c>
      <c r="E15" s="7" t="s">
        <v>575</v>
      </c>
      <c r="F15" s="7" t="s">
        <v>576</v>
      </c>
      <c r="G15" s="7" t="s">
        <v>577</v>
      </c>
      <c r="H15" s="7" t="s">
        <v>578</v>
      </c>
    </row>
    <row r="16" spans="1:8" ht="55" customHeight="1">
      <c r="A16" s="3" t="s">
        <v>591</v>
      </c>
      <c r="B16" s="10">
        <v>306.612</v>
      </c>
      <c r="C16" s="4" t="s">
        <v>574</v>
      </c>
      <c r="D16" s="4" t="b">
        <v>0</v>
      </c>
      <c r="E16" s="4" t="s">
        <v>575</v>
      </c>
      <c r="F16" s="4" t="s">
        <v>576</v>
      </c>
      <c r="G16" s="4" t="s">
        <v>577</v>
      </c>
      <c r="H16" s="4" t="s">
        <v>578</v>
      </c>
    </row>
    <row r="17" spans="1:8" ht="55" customHeight="1">
      <c r="A17" s="6" t="s">
        <v>592</v>
      </c>
      <c r="B17" s="9">
        <v>587.426</v>
      </c>
      <c r="C17" s="7" t="s">
        <v>574</v>
      </c>
      <c r="D17" s="7" t="b">
        <v>0</v>
      </c>
      <c r="E17" s="7" t="s">
        <v>575</v>
      </c>
      <c r="F17" s="7" t="s">
        <v>576</v>
      </c>
      <c r="G17" s="7" t="s">
        <v>577</v>
      </c>
      <c r="H17" s="7" t="s">
        <v>578</v>
      </c>
    </row>
    <row r="18" spans="1:8" ht="55" customHeight="1">
      <c r="A18" s="3" t="s">
        <v>593</v>
      </c>
      <c r="B18" s="10">
        <v>393.933</v>
      </c>
      <c r="C18" s="4" t="s">
        <v>574</v>
      </c>
      <c r="D18" s="4" t="b">
        <v>0</v>
      </c>
      <c r="E18" s="4" t="s">
        <v>575</v>
      </c>
      <c r="F18" s="4" t="s">
        <v>576</v>
      </c>
      <c r="G18" s="4" t="s">
        <v>577</v>
      </c>
      <c r="H18" s="4" t="s">
        <v>578</v>
      </c>
    </row>
    <row r="19" spans="1:8" ht="55" customHeight="1">
      <c r="A19" s="6" t="s">
        <v>594</v>
      </c>
      <c r="B19" s="7"/>
      <c r="C19" s="7" t="s">
        <v>581</v>
      </c>
      <c r="D19" s="7" t="b">
        <v>0</v>
      </c>
      <c r="E19" s="7" t="s">
        <v>582</v>
      </c>
      <c r="F19" s="7" t="s">
        <v>576</v>
      </c>
      <c r="G19" s="7" t="s">
        <v>577</v>
      </c>
      <c r="H19" s="7" t="s">
        <v>578</v>
      </c>
    </row>
    <row r="20" spans="1:8" ht="55" customHeight="1">
      <c r="A20" s="3" t="s">
        <v>595</v>
      </c>
      <c r="B20" s="4"/>
      <c r="C20" s="4" t="s">
        <v>581</v>
      </c>
      <c r="D20" s="4" t="b">
        <v>0</v>
      </c>
      <c r="E20" s="4" t="s">
        <v>582</v>
      </c>
      <c r="F20" s="4" t="s">
        <v>576</v>
      </c>
      <c r="G20" s="4" t="s">
        <v>577</v>
      </c>
      <c r="H20" s="4" t="s">
        <v>578</v>
      </c>
    </row>
    <row r="21" spans="1:8" ht="55" customHeight="1">
      <c r="A21" s="6" t="s">
        <v>596</v>
      </c>
      <c r="B21" s="9">
        <v>2848.797</v>
      </c>
      <c r="C21" s="7" t="s">
        <v>574</v>
      </c>
      <c r="D21" s="7" t="b">
        <v>0</v>
      </c>
      <c r="E21" s="7" t="s">
        <v>575</v>
      </c>
      <c r="F21" s="7" t="s">
        <v>576</v>
      </c>
      <c r="G21" s="7" t="s">
        <v>577</v>
      </c>
      <c r="H21" s="7" t="s">
        <v>578</v>
      </c>
    </row>
    <row r="22" spans="1:8" ht="55" customHeight="1">
      <c r="A22" s="3" t="s">
        <v>597</v>
      </c>
      <c r="B22" s="4"/>
      <c r="C22" s="4" t="s">
        <v>581</v>
      </c>
      <c r="D22" s="4" t="b">
        <v>0</v>
      </c>
      <c r="E22" s="4" t="s">
        <v>582</v>
      </c>
      <c r="F22" s="4" t="s">
        <v>576</v>
      </c>
      <c r="G22" s="4" t="s">
        <v>577</v>
      </c>
      <c r="H22" s="4" t="s">
        <v>578</v>
      </c>
    </row>
    <row r="23" spans="1:8" ht="55" customHeight="1">
      <c r="A23" s="6" t="s">
        <v>598</v>
      </c>
      <c r="B23" s="9">
        <v>1527.335</v>
      </c>
      <c r="C23" s="7" t="s">
        <v>574</v>
      </c>
      <c r="D23" s="7" t="b">
        <v>0</v>
      </c>
      <c r="E23" s="7" t="s">
        <v>575</v>
      </c>
      <c r="F23" s="7" t="s">
        <v>576</v>
      </c>
      <c r="G23" s="7" t="s">
        <v>577</v>
      </c>
      <c r="H23" s="7" t="s">
        <v>578</v>
      </c>
    </row>
    <row r="24" spans="1:8" ht="55" customHeight="1">
      <c r="A24" s="3" t="s">
        <v>599</v>
      </c>
      <c r="B24" s="10">
        <v>1282.365</v>
      </c>
      <c r="C24" s="4" t="s">
        <v>574</v>
      </c>
      <c r="D24" s="4" t="b">
        <v>0</v>
      </c>
      <c r="E24" s="4" t="s">
        <v>575</v>
      </c>
      <c r="F24" s="4" t="s">
        <v>576</v>
      </c>
      <c r="G24" s="4" t="s">
        <v>577</v>
      </c>
      <c r="H24" s="4" t="s">
        <v>578</v>
      </c>
    </row>
    <row r="25" spans="1:8" ht="55" customHeight="1">
      <c r="A25" s="6" t="s">
        <v>600</v>
      </c>
      <c r="B25" s="9">
        <v>1288.728</v>
      </c>
      <c r="C25" s="7" t="s">
        <v>574</v>
      </c>
      <c r="D25" s="7" t="b">
        <v>0</v>
      </c>
      <c r="E25" s="7" t="s">
        <v>575</v>
      </c>
      <c r="F25" s="7" t="s">
        <v>576</v>
      </c>
      <c r="G25" s="7" t="s">
        <v>577</v>
      </c>
      <c r="H25" s="7" t="s">
        <v>578</v>
      </c>
    </row>
    <row r="26" spans="1:8" ht="55" customHeight="1">
      <c r="A26" s="3" t="s">
        <v>601</v>
      </c>
      <c r="B26" s="10">
        <v>114.877</v>
      </c>
      <c r="C26" s="4" t="s">
        <v>574</v>
      </c>
      <c r="D26" s="4" t="b">
        <v>0</v>
      </c>
      <c r="E26" s="4" t="s">
        <v>575</v>
      </c>
      <c r="F26" s="4" t="s">
        <v>576</v>
      </c>
      <c r="G26" s="4" t="s">
        <v>577</v>
      </c>
      <c r="H26" s="4" t="s">
        <v>578</v>
      </c>
    </row>
    <row r="27" spans="1:8" ht="55" customHeight="1">
      <c r="A27" s="6" t="s">
        <v>602</v>
      </c>
      <c r="B27" s="9">
        <v>12984.399</v>
      </c>
      <c r="C27" s="7" t="s">
        <v>574</v>
      </c>
      <c r="D27" s="7" t="b">
        <v>0</v>
      </c>
      <c r="E27" s="7" t="s">
        <v>575</v>
      </c>
      <c r="F27" s="7" t="s">
        <v>576</v>
      </c>
      <c r="G27" s="7" t="s">
        <v>577</v>
      </c>
      <c r="H27" s="7" t="s">
        <v>578</v>
      </c>
    </row>
    <row r="28" spans="1:8" ht="55" customHeight="1">
      <c r="A28" s="3" t="s">
        <v>603</v>
      </c>
      <c r="B28" s="10">
        <v>243.244</v>
      </c>
      <c r="C28" s="4" t="s">
        <v>574</v>
      </c>
      <c r="D28" s="4" t="b">
        <v>0</v>
      </c>
      <c r="E28" s="4" t="s">
        <v>575</v>
      </c>
      <c r="F28" s="4" t="s">
        <v>576</v>
      </c>
      <c r="G28" s="4" t="s">
        <v>577</v>
      </c>
      <c r="H28" s="4" t="s">
        <v>578</v>
      </c>
    </row>
    <row r="29" spans="1:8" ht="40" customHeight="1">
      <c r="A29" s="6" t="s">
        <v>604</v>
      </c>
      <c r="B29" s="9">
        <v>802.5650000000001</v>
      </c>
      <c r="C29" s="7" t="s">
        <v>574</v>
      </c>
      <c r="D29" s="7" t="b">
        <v>1</v>
      </c>
      <c r="E29" s="7" t="s">
        <v>575</v>
      </c>
      <c r="F29" s="7" t="s">
        <v>576</v>
      </c>
      <c r="G29" s="7" t="s">
        <v>522</v>
      </c>
      <c r="H29" s="7" t="s">
        <v>578</v>
      </c>
    </row>
    <row r="30" spans="1:8" ht="40" customHeight="1">
      <c r="A30" s="3" t="s">
        <v>605</v>
      </c>
      <c r="B30" s="10">
        <v>400.409</v>
      </c>
      <c r="C30" s="4" t="s">
        <v>574</v>
      </c>
      <c r="D30" s="4" t="b">
        <v>1</v>
      </c>
      <c r="E30" s="4" t="s">
        <v>575</v>
      </c>
      <c r="F30" s="4" t="s">
        <v>576</v>
      </c>
      <c r="G30" s="4" t="s">
        <v>522</v>
      </c>
      <c r="H30" s="4" t="s">
        <v>578</v>
      </c>
    </row>
    <row r="31" spans="1:8" ht="55" customHeight="1">
      <c r="A31" s="6" t="s">
        <v>523</v>
      </c>
      <c r="B31" s="7"/>
      <c r="C31" s="7" t="s">
        <v>581</v>
      </c>
      <c r="D31" s="7" t="b">
        <v>1</v>
      </c>
      <c r="E31" s="7" t="s">
        <v>582</v>
      </c>
      <c r="F31" s="7" t="s">
        <v>576</v>
      </c>
      <c r="G31" s="7" t="s">
        <v>525</v>
      </c>
      <c r="H31" s="7" t="s">
        <v>578</v>
      </c>
    </row>
    <row r="32" spans="1:8" ht="85" customHeight="1">
      <c r="A32" s="3" t="s">
        <v>606</v>
      </c>
      <c r="B32" s="10">
        <v>1874.341</v>
      </c>
      <c r="C32" s="4" t="s">
        <v>574</v>
      </c>
      <c r="D32" s="4" t="b">
        <v>1</v>
      </c>
      <c r="E32" s="4" t="s">
        <v>607</v>
      </c>
      <c r="F32" s="4" t="s">
        <v>576</v>
      </c>
      <c r="G32" s="4" t="s">
        <v>522</v>
      </c>
      <c r="H32" s="4" t="s">
        <v>578</v>
      </c>
    </row>
    <row r="33" spans="1:8" ht="40" customHeight="1">
      <c r="A33" s="6" t="s">
        <v>608</v>
      </c>
      <c r="B33" s="9">
        <v>3349.83</v>
      </c>
      <c r="C33" s="7" t="s">
        <v>574</v>
      </c>
      <c r="D33" s="7" t="b">
        <v>1</v>
      </c>
      <c r="E33" s="7" t="s">
        <v>575</v>
      </c>
      <c r="F33" s="7" t="s">
        <v>576</v>
      </c>
      <c r="G33" s="7" t="s">
        <v>522</v>
      </c>
      <c r="H33" s="7" t="s">
        <v>578</v>
      </c>
    </row>
    <row r="34" spans="1:8" ht="40" customHeight="1">
      <c r="A34" s="3" t="s">
        <v>520</v>
      </c>
      <c r="B34" s="4"/>
      <c r="C34" s="4" t="s">
        <v>581</v>
      </c>
      <c r="D34" s="4" t="b">
        <v>1</v>
      </c>
      <c r="E34" s="4" t="s">
        <v>582</v>
      </c>
      <c r="F34" s="4" t="s">
        <v>576</v>
      </c>
      <c r="G34" s="4" t="s">
        <v>522</v>
      </c>
      <c r="H34" s="4" t="s">
        <v>578</v>
      </c>
    </row>
    <row r="35" spans="1:8" ht="40" customHeight="1">
      <c r="A35" s="6" t="s">
        <v>609</v>
      </c>
      <c r="B35" s="9">
        <v>1311.835</v>
      </c>
      <c r="C35" s="7" t="s">
        <v>574</v>
      </c>
      <c r="D35" s="7" t="b">
        <v>1</v>
      </c>
      <c r="E35" s="7" t="s">
        <v>575</v>
      </c>
      <c r="F35" s="7" t="s">
        <v>576</v>
      </c>
      <c r="G35" s="7" t="s">
        <v>522</v>
      </c>
      <c r="H35" s="7" t="s">
        <v>578</v>
      </c>
    </row>
    <row r="36" spans="1:8" ht="40" customHeight="1">
      <c r="A36" s="3" t="s">
        <v>610</v>
      </c>
      <c r="B36" s="10">
        <v>1473.932</v>
      </c>
      <c r="C36" s="4" t="s">
        <v>574</v>
      </c>
      <c r="D36" s="4" t="b">
        <v>1</v>
      </c>
      <c r="E36" s="4" t="s">
        <v>575</v>
      </c>
      <c r="F36" s="4" t="s">
        <v>576</v>
      </c>
      <c r="G36" s="4" t="s">
        <v>522</v>
      </c>
      <c r="H36" s="4" t="s">
        <v>578</v>
      </c>
    </row>
    <row r="37" spans="1:8" ht="40" customHeight="1">
      <c r="A37" s="6" t="s">
        <v>611</v>
      </c>
      <c r="B37" s="9">
        <v>1497.743</v>
      </c>
      <c r="C37" s="7" t="s">
        <v>574</v>
      </c>
      <c r="D37" s="7" t="b">
        <v>1</v>
      </c>
      <c r="E37" s="7" t="s">
        <v>575</v>
      </c>
      <c r="F37" s="7" t="s">
        <v>576</v>
      </c>
      <c r="G37" s="7" t="s">
        <v>522</v>
      </c>
      <c r="H37" s="7" t="s">
        <v>578</v>
      </c>
    </row>
    <row r="38" spans="1:8" ht="40" customHeight="1">
      <c r="A38" s="3" t="s">
        <v>612</v>
      </c>
      <c r="B38" s="10">
        <v>214.25</v>
      </c>
      <c r="C38" s="4" t="s">
        <v>574</v>
      </c>
      <c r="D38" s="4" t="b">
        <v>1</v>
      </c>
      <c r="E38" s="4" t="s">
        <v>575</v>
      </c>
      <c r="F38" s="4" t="s">
        <v>576</v>
      </c>
      <c r="G38" s="4" t="s">
        <v>522</v>
      </c>
      <c r="H38" s="4" t="s">
        <v>578</v>
      </c>
    </row>
    <row r="39" spans="1:8" ht="40" customHeight="1">
      <c r="A39" s="6" t="s">
        <v>613</v>
      </c>
      <c r="B39" s="9">
        <v>13442.849</v>
      </c>
      <c r="C39" s="7" t="s">
        <v>574</v>
      </c>
      <c r="D39" s="7" t="b">
        <v>1</v>
      </c>
      <c r="E39" s="7" t="s">
        <v>575</v>
      </c>
      <c r="F39" s="7" t="s">
        <v>576</v>
      </c>
      <c r="G39" s="7" t="s">
        <v>522</v>
      </c>
      <c r="H39" s="7" t="s">
        <v>578</v>
      </c>
    </row>
    <row r="40" spans="1:8" ht="40" customHeight="1">
      <c r="A40" s="3" t="s">
        <v>614</v>
      </c>
      <c r="B40" s="10">
        <v>399.467</v>
      </c>
      <c r="C40" s="4" t="s">
        <v>574</v>
      </c>
      <c r="D40" s="4" t="b">
        <v>1</v>
      </c>
      <c r="E40" s="4" t="s">
        <v>575</v>
      </c>
      <c r="F40" s="4" t="s">
        <v>576</v>
      </c>
      <c r="G40" s="4" t="s">
        <v>522</v>
      </c>
      <c r="H40" s="4" t="s">
        <v>578</v>
      </c>
    </row>
    <row r="41" spans="1:8" ht="85" customHeight="1">
      <c r="A41" s="6" t="s">
        <v>615</v>
      </c>
      <c r="B41" s="7" t="s">
        <v>616</v>
      </c>
      <c r="C41" s="7" t="s">
        <v>574</v>
      </c>
      <c r="D41" s="7" t="b">
        <v>1</v>
      </c>
      <c r="E41" s="7" t="s">
        <v>617</v>
      </c>
      <c r="F41" s="7" t="s">
        <v>618</v>
      </c>
      <c r="G41" s="7" t="s">
        <v>527</v>
      </c>
      <c r="H41" s="7" t="s">
        <v>619</v>
      </c>
    </row>
    <row r="42" spans="1:8" ht="55" customHeight="1">
      <c r="A42" s="3" t="s">
        <v>530</v>
      </c>
      <c r="B42" s="4"/>
      <c r="C42" s="4" t="s">
        <v>581</v>
      </c>
      <c r="D42" s="4" t="b">
        <v>1</v>
      </c>
      <c r="E42" s="4" t="s">
        <v>582</v>
      </c>
      <c r="F42" s="4" t="s">
        <v>620</v>
      </c>
      <c r="G42" s="4" t="s">
        <v>527</v>
      </c>
      <c r="H42" s="4" t="s">
        <v>619</v>
      </c>
    </row>
    <row r="43" spans="1:8" ht="55" customHeight="1">
      <c r="A43" s="6" t="s">
        <v>529</v>
      </c>
      <c r="B43" s="7"/>
      <c r="C43" s="7" t="s">
        <v>581</v>
      </c>
      <c r="D43" s="7" t="b">
        <v>1</v>
      </c>
      <c r="E43" s="7" t="s">
        <v>582</v>
      </c>
      <c r="F43" s="7" t="s">
        <v>621</v>
      </c>
      <c r="G43" s="7" t="s">
        <v>527</v>
      </c>
      <c r="H43" s="7" t="s">
        <v>619</v>
      </c>
    </row>
    <row r="44" spans="1:8" ht="55" customHeight="1">
      <c r="A44" s="3" t="s">
        <v>535</v>
      </c>
      <c r="B44" s="4"/>
      <c r="C44" s="4" t="s">
        <v>581</v>
      </c>
      <c r="D44" s="4" t="b">
        <v>1</v>
      </c>
      <c r="E44" s="4" t="s">
        <v>582</v>
      </c>
      <c r="F44" s="4" t="s">
        <v>622</v>
      </c>
      <c r="G44" s="4" t="s">
        <v>527</v>
      </c>
      <c r="H44" s="4" t="s">
        <v>619</v>
      </c>
    </row>
    <row r="45" spans="1:8" ht="55" customHeight="1">
      <c r="A45" s="6" t="s">
        <v>526</v>
      </c>
      <c r="B45" s="7"/>
      <c r="C45" s="7" t="s">
        <v>581</v>
      </c>
      <c r="D45" s="7" t="b">
        <v>1</v>
      </c>
      <c r="E45" s="7" t="s">
        <v>582</v>
      </c>
      <c r="F45" s="7" t="s">
        <v>623</v>
      </c>
      <c r="G45" s="7" t="s">
        <v>527</v>
      </c>
      <c r="H45" s="7" t="s">
        <v>619</v>
      </c>
    </row>
    <row r="46" spans="1:8" ht="55" customHeight="1">
      <c r="A46" s="3" t="s">
        <v>528</v>
      </c>
      <c r="B46" s="4"/>
      <c r="C46" s="4" t="s">
        <v>581</v>
      </c>
      <c r="D46" s="4" t="b">
        <v>1</v>
      </c>
      <c r="E46" s="4" t="s">
        <v>582</v>
      </c>
      <c r="F46" s="4" t="s">
        <v>624</v>
      </c>
      <c r="G46" s="4" t="s">
        <v>527</v>
      </c>
      <c r="H46" s="4" t="s">
        <v>619</v>
      </c>
    </row>
    <row r="47" spans="1:8" ht="55" customHeight="1">
      <c r="A47" s="6" t="s">
        <v>532</v>
      </c>
      <c r="B47" s="7"/>
      <c r="C47" s="7" t="s">
        <v>581</v>
      </c>
      <c r="D47" s="7" t="b">
        <v>1</v>
      </c>
      <c r="E47" s="7" t="s">
        <v>582</v>
      </c>
      <c r="F47" s="7" t="s">
        <v>625</v>
      </c>
      <c r="G47" s="7" t="s">
        <v>527</v>
      </c>
      <c r="H47" s="7" t="s">
        <v>619</v>
      </c>
    </row>
    <row r="48" spans="1:8" ht="70" customHeight="1">
      <c r="A48" s="3" t="s">
        <v>626</v>
      </c>
      <c r="B48" s="4" t="s">
        <v>627</v>
      </c>
      <c r="C48" s="4" t="s">
        <v>574</v>
      </c>
      <c r="D48" s="4" t="b">
        <v>1</v>
      </c>
      <c r="E48" s="4" t="s">
        <v>617</v>
      </c>
      <c r="F48" s="4" t="s">
        <v>628</v>
      </c>
      <c r="G48" s="4" t="s">
        <v>527</v>
      </c>
      <c r="H48" s="4" t="s">
        <v>619</v>
      </c>
    </row>
    <row r="49" spans="1:8" ht="40" customHeight="1">
      <c r="A49" s="6" t="s">
        <v>516</v>
      </c>
      <c r="B49" s="7"/>
      <c r="C49" s="7" t="s">
        <v>581</v>
      </c>
      <c r="D49" s="7" t="b">
        <v>1</v>
      </c>
      <c r="E49" s="7" t="s">
        <v>582</v>
      </c>
      <c r="F49" s="7" t="s">
        <v>629</v>
      </c>
      <c r="G49" s="7" t="s">
        <v>515</v>
      </c>
      <c r="H49" s="7" t="s">
        <v>630</v>
      </c>
    </row>
    <row r="50" spans="1:8" ht="55" customHeight="1">
      <c r="A50" s="3" t="s">
        <v>631</v>
      </c>
      <c r="B50" s="10">
        <v>1484.217</v>
      </c>
      <c r="C50" s="4" t="s">
        <v>574</v>
      </c>
      <c r="D50" s="4" t="b">
        <v>0</v>
      </c>
      <c r="E50" s="4" t="s">
        <v>575</v>
      </c>
      <c r="F50" s="4" t="s">
        <v>629</v>
      </c>
      <c r="G50" s="4" t="s">
        <v>632</v>
      </c>
      <c r="H50" s="4" t="s">
        <v>630</v>
      </c>
    </row>
    <row r="51" spans="1:8" ht="40" customHeight="1">
      <c r="A51" s="6" t="s">
        <v>517</v>
      </c>
      <c r="B51" s="7"/>
      <c r="C51" s="7" t="s">
        <v>581</v>
      </c>
      <c r="D51" s="7" t="b">
        <v>1</v>
      </c>
      <c r="E51" s="7" t="s">
        <v>582</v>
      </c>
      <c r="F51" s="7" t="s">
        <v>629</v>
      </c>
      <c r="G51" s="7" t="s">
        <v>515</v>
      </c>
      <c r="H51" s="7" t="s">
        <v>630</v>
      </c>
    </row>
    <row r="52" spans="1:8" ht="40" customHeight="1">
      <c r="A52" s="3" t="s">
        <v>513</v>
      </c>
      <c r="B52" s="4"/>
      <c r="C52" s="4" t="s">
        <v>581</v>
      </c>
      <c r="D52" s="4" t="b">
        <v>1</v>
      </c>
      <c r="E52" s="4" t="s">
        <v>582</v>
      </c>
      <c r="F52" s="4" t="s">
        <v>629</v>
      </c>
      <c r="G52" s="4" t="s">
        <v>515</v>
      </c>
      <c r="H52" s="4" t="s">
        <v>630</v>
      </c>
    </row>
    <row r="53" spans="1:8" ht="85" customHeight="1">
      <c r="A53" s="6" t="s">
        <v>633</v>
      </c>
      <c r="B53" s="7" t="s">
        <v>634</v>
      </c>
      <c r="C53" s="7" t="s">
        <v>635</v>
      </c>
      <c r="D53" s="7" t="b">
        <v>1</v>
      </c>
      <c r="E53" s="7" t="s">
        <v>636</v>
      </c>
      <c r="F53" s="7" t="s">
        <v>637</v>
      </c>
      <c r="G53" s="7" t="s">
        <v>638</v>
      </c>
      <c r="H53" s="7" t="s">
        <v>639</v>
      </c>
    </row>
    <row r="54" spans="1:8" ht="70" customHeight="1">
      <c r="A54" s="3" t="s">
        <v>640</v>
      </c>
      <c r="B54" s="4" t="s">
        <v>641</v>
      </c>
      <c r="C54" s="4" t="s">
        <v>635</v>
      </c>
      <c r="D54" s="4" t="b">
        <v>1</v>
      </c>
      <c r="E54" s="4" t="s">
        <v>642</v>
      </c>
      <c r="F54" s="4" t="s">
        <v>637</v>
      </c>
      <c r="G54" s="4" t="s">
        <v>638</v>
      </c>
      <c r="H54" s="4" t="s">
        <v>639</v>
      </c>
    </row>
    <row r="55" spans="1:8" ht="190" customHeight="1">
      <c r="A55" s="6" t="s">
        <v>643</v>
      </c>
      <c r="B55" s="7" t="s">
        <v>644</v>
      </c>
      <c r="C55" s="7" t="s">
        <v>635</v>
      </c>
      <c r="D55" s="7" t="b">
        <v>1</v>
      </c>
      <c r="E55" s="7" t="s">
        <v>645</v>
      </c>
      <c r="F55" s="7" t="s">
        <v>637</v>
      </c>
      <c r="G55" s="7" t="s">
        <v>638</v>
      </c>
      <c r="H55" s="7" t="s">
        <v>639</v>
      </c>
    </row>
    <row r="56" spans="1:8" ht="310" customHeight="1">
      <c r="A56" s="3" t="s">
        <v>646</v>
      </c>
      <c r="B56" s="4" t="s">
        <v>647</v>
      </c>
      <c r="C56" s="4" t="s">
        <v>635</v>
      </c>
      <c r="D56" s="4" t="b">
        <v>1</v>
      </c>
      <c r="E56" s="4" t="s">
        <v>648</v>
      </c>
      <c r="F56" s="4" t="s">
        <v>637</v>
      </c>
      <c r="G56" s="4" t="s">
        <v>638</v>
      </c>
      <c r="H56" s="4" t="s">
        <v>639</v>
      </c>
    </row>
    <row r="57" spans="1:8" ht="295" customHeight="1">
      <c r="A57" s="6" t="s">
        <v>649</v>
      </c>
      <c r="B57" s="7" t="s">
        <v>650</v>
      </c>
      <c r="C57" s="7" t="s">
        <v>635</v>
      </c>
      <c r="D57" s="7" t="b">
        <v>1</v>
      </c>
      <c r="E57" s="7" t="s">
        <v>651</v>
      </c>
      <c r="F57" s="7" t="s">
        <v>637</v>
      </c>
      <c r="G57" s="7" t="s">
        <v>638</v>
      </c>
      <c r="H57" s="7" t="s">
        <v>639</v>
      </c>
    </row>
    <row r="58" spans="1:8" ht="70" customHeight="1">
      <c r="A58" s="3" t="s">
        <v>652</v>
      </c>
      <c r="B58" s="4" t="s">
        <v>653</v>
      </c>
      <c r="C58" s="4" t="s">
        <v>635</v>
      </c>
      <c r="D58" s="4" t="b">
        <v>1</v>
      </c>
      <c r="E58" s="4" t="s">
        <v>654</v>
      </c>
      <c r="F58" s="4" t="s">
        <v>637</v>
      </c>
      <c r="G58" s="4" t="s">
        <v>638</v>
      </c>
      <c r="H58" s="4" t="s">
        <v>639</v>
      </c>
    </row>
    <row r="59" spans="1:8" ht="55" customHeight="1">
      <c r="A59" s="6" t="s">
        <v>655</v>
      </c>
      <c r="B59" s="9">
        <v>1689.94</v>
      </c>
      <c r="C59" s="7" t="s">
        <v>574</v>
      </c>
      <c r="D59" s="7" t="b">
        <v>0</v>
      </c>
      <c r="E59" s="7" t="s">
        <v>617</v>
      </c>
      <c r="F59" s="7" t="s">
        <v>656</v>
      </c>
      <c r="G59" s="7" t="s">
        <v>657</v>
      </c>
      <c r="H59" s="7" t="s">
        <v>658</v>
      </c>
    </row>
    <row r="60" spans="1:8" ht="85" customHeight="1">
      <c r="A60" s="3" t="s">
        <v>659</v>
      </c>
      <c r="B60" s="4" t="s">
        <v>660</v>
      </c>
      <c r="C60" s="4" t="s">
        <v>574</v>
      </c>
      <c r="D60" s="4" t="b">
        <v>0</v>
      </c>
      <c r="E60" s="4" t="s">
        <v>661</v>
      </c>
      <c r="F60" s="4" t="s">
        <v>656</v>
      </c>
      <c r="G60" s="4" t="s">
        <v>657</v>
      </c>
      <c r="H60" s="4" t="s">
        <v>658</v>
      </c>
    </row>
    <row r="61" spans="1:8" ht="145" customHeight="1">
      <c r="A61" s="6" t="s">
        <v>662</v>
      </c>
      <c r="B61" s="7" t="s">
        <v>663</v>
      </c>
      <c r="C61" s="7" t="s">
        <v>574</v>
      </c>
      <c r="D61" s="7" t="b">
        <v>0</v>
      </c>
      <c r="E61" s="7" t="s">
        <v>664</v>
      </c>
      <c r="F61" s="7" t="s">
        <v>656</v>
      </c>
      <c r="G61" s="7" t="s">
        <v>657</v>
      </c>
      <c r="H61" s="7" t="s">
        <v>658</v>
      </c>
    </row>
    <row r="62" spans="1:8" ht="55" customHeight="1">
      <c r="A62" s="3" t="s">
        <v>665</v>
      </c>
      <c r="B62" s="4" t="s">
        <v>666</v>
      </c>
      <c r="C62" s="4" t="s">
        <v>574</v>
      </c>
      <c r="D62" s="4" t="b">
        <v>0</v>
      </c>
      <c r="E62" s="4" t="s">
        <v>667</v>
      </c>
      <c r="F62" s="4" t="s">
        <v>656</v>
      </c>
      <c r="G62" s="4" t="s">
        <v>657</v>
      </c>
      <c r="H62" s="4" t="s">
        <v>658</v>
      </c>
    </row>
    <row r="63" spans="1:8" ht="100" customHeight="1">
      <c r="A63" s="6" t="s">
        <v>668</v>
      </c>
      <c r="B63" s="7" t="s">
        <v>669</v>
      </c>
      <c r="C63" s="7" t="s">
        <v>574</v>
      </c>
      <c r="D63" s="7" t="b">
        <v>0</v>
      </c>
      <c r="E63" s="7" t="s">
        <v>617</v>
      </c>
      <c r="F63" s="7" t="s">
        <v>656</v>
      </c>
      <c r="G63" s="7" t="s">
        <v>657</v>
      </c>
      <c r="H63" s="7" t="s">
        <v>658</v>
      </c>
    </row>
    <row r="64" spans="1:8" ht="115" customHeight="1">
      <c r="A64" s="3" t="s">
        <v>670</v>
      </c>
      <c r="B64" s="4" t="s">
        <v>671</v>
      </c>
      <c r="C64" s="4" t="s">
        <v>574</v>
      </c>
      <c r="D64" s="4" t="b">
        <v>0</v>
      </c>
      <c r="E64" s="4" t="s">
        <v>672</v>
      </c>
      <c r="F64" s="4" t="s">
        <v>656</v>
      </c>
      <c r="G64" s="4" t="s">
        <v>657</v>
      </c>
      <c r="H64" s="4" t="s">
        <v>658</v>
      </c>
    </row>
    <row r="65" spans="1:8" ht="55" customHeight="1">
      <c r="A65" s="6" t="s">
        <v>673</v>
      </c>
      <c r="B65" s="7" t="s">
        <v>674</v>
      </c>
      <c r="C65" s="7" t="s">
        <v>574</v>
      </c>
      <c r="D65" s="7" t="b">
        <v>0</v>
      </c>
      <c r="E65" s="7" t="s">
        <v>617</v>
      </c>
      <c r="F65" s="7" t="s">
        <v>656</v>
      </c>
      <c r="G65" s="7" t="s">
        <v>657</v>
      </c>
      <c r="H65" s="7" t="s">
        <v>658</v>
      </c>
    </row>
    <row r="66" spans="1:8" ht="55" customHeight="1">
      <c r="A66" s="3" t="s">
        <v>675</v>
      </c>
      <c r="B66" s="4" t="s">
        <v>676</v>
      </c>
      <c r="C66" s="4" t="s">
        <v>574</v>
      </c>
      <c r="D66" s="4" t="b">
        <v>0</v>
      </c>
      <c r="E66" s="4" t="s">
        <v>667</v>
      </c>
      <c r="F66" s="4" t="s">
        <v>656</v>
      </c>
      <c r="G66" s="4" t="s">
        <v>657</v>
      </c>
      <c r="H66" s="4" t="s">
        <v>658</v>
      </c>
    </row>
    <row r="67" spans="1:8" ht="85" customHeight="1">
      <c r="A67" s="6" t="s">
        <v>677</v>
      </c>
      <c r="B67" s="7" t="s">
        <v>678</v>
      </c>
      <c r="C67" s="7" t="s">
        <v>574</v>
      </c>
      <c r="D67" s="7" t="b">
        <v>0</v>
      </c>
      <c r="E67" s="7" t="s">
        <v>667</v>
      </c>
      <c r="F67" s="7" t="s">
        <v>656</v>
      </c>
      <c r="G67" s="7" t="s">
        <v>657</v>
      </c>
      <c r="H67" s="7" t="s">
        <v>658</v>
      </c>
    </row>
    <row r="68" spans="1:8" ht="55" customHeight="1">
      <c r="A68" s="3" t="s">
        <v>679</v>
      </c>
      <c r="B68" s="4" t="s">
        <v>680</v>
      </c>
      <c r="C68" s="4" t="s">
        <v>574</v>
      </c>
      <c r="D68" s="4" t="b">
        <v>0</v>
      </c>
      <c r="E68" s="4" t="s">
        <v>681</v>
      </c>
      <c r="F68" s="4" t="s">
        <v>656</v>
      </c>
      <c r="G68" s="4" t="s">
        <v>657</v>
      </c>
      <c r="H68" s="4" t="s">
        <v>658</v>
      </c>
    </row>
    <row r="69" spans="1:8" ht="55" customHeight="1">
      <c r="A69" s="6" t="s">
        <v>682</v>
      </c>
      <c r="B69" s="9">
        <v>180</v>
      </c>
      <c r="C69" s="7" t="s">
        <v>574</v>
      </c>
      <c r="D69" s="7" t="b">
        <v>0</v>
      </c>
      <c r="E69" s="7" t="s">
        <v>617</v>
      </c>
      <c r="F69" s="7" t="s">
        <v>656</v>
      </c>
      <c r="G69" s="7" t="s">
        <v>657</v>
      </c>
      <c r="H69" s="7" t="s">
        <v>658</v>
      </c>
    </row>
    <row r="70" spans="1:8" ht="55" customHeight="1">
      <c r="A70" s="3" t="s">
        <v>683</v>
      </c>
      <c r="B70" s="4" t="s">
        <v>684</v>
      </c>
      <c r="C70" s="4" t="s">
        <v>574</v>
      </c>
      <c r="D70" s="4" t="b">
        <v>0</v>
      </c>
      <c r="E70" s="4" t="s">
        <v>685</v>
      </c>
      <c r="F70" s="4" t="s">
        <v>656</v>
      </c>
      <c r="G70" s="4" t="s">
        <v>657</v>
      </c>
      <c r="H70" s="4" t="s">
        <v>658</v>
      </c>
    </row>
    <row r="71" spans="1:8" ht="55" customHeight="1">
      <c r="A71" s="6" t="s">
        <v>686</v>
      </c>
      <c r="B71" s="7" t="s">
        <v>687</v>
      </c>
      <c r="C71" s="7" t="s">
        <v>574</v>
      </c>
      <c r="D71" s="7" t="b">
        <v>0</v>
      </c>
      <c r="E71" s="7" t="s">
        <v>688</v>
      </c>
      <c r="F71" s="7" t="s">
        <v>656</v>
      </c>
      <c r="G71" s="7" t="s">
        <v>657</v>
      </c>
      <c r="H71" s="7" t="s">
        <v>658</v>
      </c>
    </row>
    <row r="72" spans="1:8" ht="145" customHeight="1">
      <c r="A72" s="3" t="s">
        <v>689</v>
      </c>
      <c r="B72" s="4" t="s">
        <v>690</v>
      </c>
      <c r="C72" s="4" t="s">
        <v>574</v>
      </c>
      <c r="D72" s="4" t="b">
        <v>0</v>
      </c>
      <c r="E72" s="4" t="s">
        <v>691</v>
      </c>
      <c r="F72" s="4" t="s">
        <v>656</v>
      </c>
      <c r="G72" s="4" t="s">
        <v>657</v>
      </c>
      <c r="H72" s="4" t="s">
        <v>658</v>
      </c>
    </row>
    <row r="73" spans="1:8" ht="55" customHeight="1">
      <c r="A73" s="6" t="s">
        <v>692</v>
      </c>
      <c r="B73" s="9">
        <v>401</v>
      </c>
      <c r="C73" s="7" t="s">
        <v>574</v>
      </c>
      <c r="D73" s="7" t="b">
        <v>0</v>
      </c>
      <c r="E73" s="7" t="s">
        <v>693</v>
      </c>
      <c r="F73" s="7" t="s">
        <v>656</v>
      </c>
      <c r="G73" s="7" t="s">
        <v>657</v>
      </c>
      <c r="H73" s="7" t="s">
        <v>658</v>
      </c>
    </row>
    <row r="74" spans="1:8" ht="115" customHeight="1">
      <c r="A74" s="3" t="s">
        <v>694</v>
      </c>
      <c r="B74" s="4" t="s">
        <v>695</v>
      </c>
      <c r="C74" s="4" t="s">
        <v>574</v>
      </c>
      <c r="D74" s="4" t="b">
        <v>0</v>
      </c>
      <c r="E74" s="4" t="s">
        <v>696</v>
      </c>
      <c r="F74" s="4" t="s">
        <v>656</v>
      </c>
      <c r="G74" s="4" t="s">
        <v>657</v>
      </c>
      <c r="H74" s="4" t="s">
        <v>658</v>
      </c>
    </row>
    <row r="75" spans="1:8" ht="55" customHeight="1">
      <c r="A75" s="6" t="s">
        <v>697</v>
      </c>
      <c r="B75" s="9">
        <v>50</v>
      </c>
      <c r="C75" s="7" t="s">
        <v>574</v>
      </c>
      <c r="D75" s="7" t="b">
        <v>0</v>
      </c>
      <c r="E75" s="7" t="s">
        <v>693</v>
      </c>
      <c r="F75" s="7" t="s">
        <v>656</v>
      </c>
      <c r="G75" s="7" t="s">
        <v>657</v>
      </c>
      <c r="H75" s="7" t="s">
        <v>658</v>
      </c>
    </row>
    <row r="76" spans="1:8" ht="100" customHeight="1">
      <c r="A76" s="3" t="s">
        <v>698</v>
      </c>
      <c r="B76" s="4" t="s">
        <v>699</v>
      </c>
      <c r="C76" s="4" t="s">
        <v>574</v>
      </c>
      <c r="D76" s="4" t="b">
        <v>0</v>
      </c>
      <c r="E76" s="4" t="s">
        <v>700</v>
      </c>
      <c r="F76" s="4" t="s">
        <v>656</v>
      </c>
      <c r="G76" s="4" t="s">
        <v>657</v>
      </c>
      <c r="H76" s="4" t="s">
        <v>658</v>
      </c>
    </row>
    <row r="77" spans="1:8" ht="160" customHeight="1">
      <c r="A77" s="6" t="s">
        <v>701</v>
      </c>
      <c r="B77" s="7" t="s">
        <v>702</v>
      </c>
      <c r="C77" s="7" t="s">
        <v>574</v>
      </c>
      <c r="D77" s="7" t="b">
        <v>0</v>
      </c>
      <c r="E77" s="7" t="s">
        <v>693</v>
      </c>
      <c r="F77" s="7" t="s">
        <v>656</v>
      </c>
      <c r="G77" s="7" t="s">
        <v>657</v>
      </c>
      <c r="H77" s="7" t="s">
        <v>658</v>
      </c>
    </row>
    <row r="78" spans="1:8" ht="55" customHeight="1">
      <c r="A78" s="3" t="s">
        <v>703</v>
      </c>
      <c r="B78" s="10">
        <v>7</v>
      </c>
      <c r="C78" s="4" t="s">
        <v>574</v>
      </c>
      <c r="D78" s="4" t="b">
        <v>0</v>
      </c>
      <c r="E78" s="4" t="s">
        <v>700</v>
      </c>
      <c r="F78" s="4" t="s">
        <v>656</v>
      </c>
      <c r="G78" s="4" t="s">
        <v>657</v>
      </c>
      <c r="H78" s="4" t="s">
        <v>658</v>
      </c>
    </row>
    <row r="79" spans="1:8" ht="55" customHeight="1">
      <c r="A79" s="6" t="s">
        <v>704</v>
      </c>
      <c r="B79" s="9">
        <v>400</v>
      </c>
      <c r="C79" s="7" t="s">
        <v>574</v>
      </c>
      <c r="D79" s="7" t="b">
        <v>0</v>
      </c>
      <c r="E79" s="7" t="s">
        <v>693</v>
      </c>
      <c r="F79" s="7" t="s">
        <v>656</v>
      </c>
      <c r="G79" s="7" t="s">
        <v>657</v>
      </c>
      <c r="H79" s="7" t="s">
        <v>658</v>
      </c>
    </row>
    <row r="80" spans="1:8" ht="130" customHeight="1">
      <c r="A80" s="3" t="s">
        <v>705</v>
      </c>
      <c r="B80" s="4" t="s">
        <v>706</v>
      </c>
      <c r="C80" s="4" t="s">
        <v>574</v>
      </c>
      <c r="D80" s="4" t="b">
        <v>0</v>
      </c>
      <c r="E80" s="4" t="s">
        <v>707</v>
      </c>
      <c r="F80" s="4" t="s">
        <v>656</v>
      </c>
      <c r="G80" s="4" t="s">
        <v>657</v>
      </c>
      <c r="H80" s="4" t="s">
        <v>658</v>
      </c>
    </row>
    <row r="81" spans="1:8" ht="85" customHeight="1">
      <c r="A81" s="6" t="s">
        <v>708</v>
      </c>
      <c r="B81" s="7" t="s">
        <v>709</v>
      </c>
      <c r="C81" s="7" t="s">
        <v>574</v>
      </c>
      <c r="D81" s="7" t="b">
        <v>0</v>
      </c>
      <c r="E81" s="7" t="s">
        <v>710</v>
      </c>
      <c r="F81" s="7" t="s">
        <v>656</v>
      </c>
      <c r="G81" s="7" t="s">
        <v>657</v>
      </c>
      <c r="H81" s="7" t="s">
        <v>658</v>
      </c>
    </row>
    <row r="82" spans="1:8" ht="55" customHeight="1">
      <c r="A82" s="3" t="s">
        <v>711</v>
      </c>
      <c r="B82" s="4" t="s">
        <v>712</v>
      </c>
      <c r="C82" s="4" t="s">
        <v>574</v>
      </c>
      <c r="D82" s="4" t="b">
        <v>0</v>
      </c>
      <c r="E82" s="4" t="s">
        <v>693</v>
      </c>
      <c r="F82" s="4" t="s">
        <v>656</v>
      </c>
      <c r="G82" s="4" t="s">
        <v>657</v>
      </c>
      <c r="H82" s="4" t="s">
        <v>658</v>
      </c>
    </row>
    <row r="83" spans="1:8" ht="55" customHeight="1">
      <c r="A83" s="6" t="s">
        <v>713</v>
      </c>
      <c r="B83" s="7" t="s">
        <v>714</v>
      </c>
      <c r="C83" s="7" t="s">
        <v>574</v>
      </c>
      <c r="D83" s="7" t="b">
        <v>0</v>
      </c>
      <c r="E83" s="7" t="s">
        <v>715</v>
      </c>
      <c r="F83" s="7" t="s">
        <v>656</v>
      </c>
      <c r="G83" s="7" t="s">
        <v>657</v>
      </c>
      <c r="H83" s="7" t="s">
        <v>658</v>
      </c>
    </row>
    <row r="84" spans="1:8" ht="55" customHeight="1">
      <c r="A84" s="3" t="s">
        <v>716</v>
      </c>
      <c r="B84" s="4" t="s">
        <v>717</v>
      </c>
      <c r="C84" s="4" t="s">
        <v>574</v>
      </c>
      <c r="D84" s="4" t="b">
        <v>0</v>
      </c>
      <c r="E84" s="4" t="s">
        <v>718</v>
      </c>
      <c r="F84" s="4" t="s">
        <v>656</v>
      </c>
      <c r="G84" s="4" t="s">
        <v>657</v>
      </c>
      <c r="H84" s="4" t="s">
        <v>658</v>
      </c>
    </row>
    <row r="85" spans="1:8" ht="145" customHeight="1">
      <c r="A85" s="6" t="s">
        <v>719</v>
      </c>
      <c r="B85" s="7" t="s">
        <v>720</v>
      </c>
      <c r="C85" s="7" t="s">
        <v>574</v>
      </c>
      <c r="D85" s="7" t="b">
        <v>0</v>
      </c>
      <c r="E85" s="7" t="s">
        <v>721</v>
      </c>
      <c r="F85" s="7" t="s">
        <v>656</v>
      </c>
      <c r="G85" s="7" t="s">
        <v>657</v>
      </c>
      <c r="H85" s="7" t="s">
        <v>658</v>
      </c>
    </row>
    <row r="86" spans="1:8" ht="190" customHeight="1">
      <c r="A86" s="3" t="s">
        <v>722</v>
      </c>
      <c r="B86" s="4" t="s">
        <v>723</v>
      </c>
      <c r="C86" s="4" t="s">
        <v>574</v>
      </c>
      <c r="D86" s="4" t="b">
        <v>0</v>
      </c>
      <c r="E86" s="4" t="s">
        <v>721</v>
      </c>
      <c r="F86" s="4" t="s">
        <v>656</v>
      </c>
      <c r="G86" s="4" t="s">
        <v>657</v>
      </c>
      <c r="H86" s="4" t="s">
        <v>658</v>
      </c>
    </row>
    <row r="87" spans="1:8" ht="55" customHeight="1">
      <c r="A87" s="6" t="s">
        <v>724</v>
      </c>
      <c r="B87" s="9">
        <v>285</v>
      </c>
      <c r="C87" s="7" t="s">
        <v>574</v>
      </c>
      <c r="D87" s="7" t="b">
        <v>0</v>
      </c>
      <c r="E87" s="7" t="s">
        <v>725</v>
      </c>
      <c r="F87" s="7" t="s">
        <v>576</v>
      </c>
      <c r="G87" s="7" t="s">
        <v>577</v>
      </c>
      <c r="H87" s="7" t="s">
        <v>578</v>
      </c>
    </row>
    <row r="88" spans="1:8" ht="55" customHeight="1">
      <c r="A88" s="3" t="s">
        <v>726</v>
      </c>
      <c r="B88" s="10">
        <v>208</v>
      </c>
      <c r="C88" s="4" t="s">
        <v>574</v>
      </c>
      <c r="D88" s="4" t="b">
        <v>0</v>
      </c>
      <c r="E88" s="4" t="s">
        <v>725</v>
      </c>
      <c r="F88" s="4" t="s">
        <v>576</v>
      </c>
      <c r="G88" s="4" t="s">
        <v>577</v>
      </c>
      <c r="H88" s="4" t="s">
        <v>578</v>
      </c>
    </row>
    <row r="89" spans="1:8" ht="55" customHeight="1">
      <c r="A89" s="6" t="s">
        <v>727</v>
      </c>
      <c r="B89" s="7"/>
      <c r="C89" s="7" t="s">
        <v>581</v>
      </c>
      <c r="D89" s="7" t="b">
        <v>0</v>
      </c>
      <c r="E89" s="7" t="s">
        <v>582</v>
      </c>
      <c r="F89" s="7" t="s">
        <v>576</v>
      </c>
      <c r="G89" s="7" t="s">
        <v>577</v>
      </c>
      <c r="H89" s="7" t="s">
        <v>578</v>
      </c>
    </row>
    <row r="90" spans="1:8" ht="55" customHeight="1">
      <c r="A90" s="3" t="s">
        <v>728</v>
      </c>
      <c r="B90" s="4"/>
      <c r="C90" s="4" t="s">
        <v>581</v>
      </c>
      <c r="D90" s="4" t="b">
        <v>0</v>
      </c>
      <c r="E90" s="4" t="s">
        <v>582</v>
      </c>
      <c r="F90" s="4" t="s">
        <v>576</v>
      </c>
      <c r="G90" s="4" t="s">
        <v>577</v>
      </c>
      <c r="H90" s="4" t="s">
        <v>578</v>
      </c>
    </row>
    <row r="91" spans="1:8" ht="55" customHeight="1">
      <c r="A91" s="6" t="s">
        <v>729</v>
      </c>
      <c r="B91" s="7"/>
      <c r="C91" s="7" t="s">
        <v>581</v>
      </c>
      <c r="D91" s="7" t="b">
        <v>0</v>
      </c>
      <c r="E91" s="7" t="s">
        <v>582</v>
      </c>
      <c r="F91" s="7" t="s">
        <v>576</v>
      </c>
      <c r="G91" s="7" t="s">
        <v>577</v>
      </c>
      <c r="H91" s="7" t="s">
        <v>578</v>
      </c>
    </row>
    <row r="92" spans="1:8" ht="55" customHeight="1">
      <c r="A92" s="3" t="s">
        <v>730</v>
      </c>
      <c r="B92" s="4"/>
      <c r="C92" s="4" t="s">
        <v>581</v>
      </c>
      <c r="D92" s="4" t="b">
        <v>0</v>
      </c>
      <c r="E92" s="4" t="s">
        <v>582</v>
      </c>
      <c r="F92" s="4" t="s">
        <v>576</v>
      </c>
      <c r="G92" s="4" t="s">
        <v>577</v>
      </c>
      <c r="H92" s="4" t="s">
        <v>578</v>
      </c>
    </row>
    <row r="93" spans="1:8" ht="55" customHeight="1">
      <c r="A93" s="6" t="s">
        <v>731</v>
      </c>
      <c r="B93" s="9">
        <v>173</v>
      </c>
      <c r="C93" s="7" t="s">
        <v>574</v>
      </c>
      <c r="D93" s="7" t="b">
        <v>0</v>
      </c>
      <c r="E93" s="7" t="s">
        <v>725</v>
      </c>
      <c r="F93" s="7" t="s">
        <v>576</v>
      </c>
      <c r="G93" s="7" t="s">
        <v>577</v>
      </c>
      <c r="H93" s="7" t="s">
        <v>578</v>
      </c>
    </row>
    <row r="94" spans="1:8" ht="55" customHeight="1">
      <c r="A94" s="3" t="s">
        <v>732</v>
      </c>
      <c r="B94" s="10">
        <v>581</v>
      </c>
      <c r="C94" s="4" t="s">
        <v>574</v>
      </c>
      <c r="D94" s="4" t="b">
        <v>0</v>
      </c>
      <c r="E94" s="4" t="s">
        <v>725</v>
      </c>
      <c r="F94" s="4" t="s">
        <v>576</v>
      </c>
      <c r="G94" s="4" t="s">
        <v>577</v>
      </c>
      <c r="H94" s="4" t="s">
        <v>578</v>
      </c>
    </row>
    <row r="95" spans="1:8" ht="55" customHeight="1">
      <c r="A95" s="6" t="s">
        <v>733</v>
      </c>
      <c r="B95" s="7"/>
      <c r="C95" s="7" t="s">
        <v>581</v>
      </c>
      <c r="D95" s="7" t="b">
        <v>0</v>
      </c>
      <c r="E95" s="7" t="s">
        <v>582</v>
      </c>
      <c r="F95" s="7" t="s">
        <v>576</v>
      </c>
      <c r="G95" s="7" t="s">
        <v>577</v>
      </c>
      <c r="H95" s="7" t="s">
        <v>578</v>
      </c>
    </row>
    <row r="96" spans="1:8" ht="55" customHeight="1">
      <c r="A96" s="3" t="s">
        <v>734</v>
      </c>
      <c r="B96" s="4"/>
      <c r="C96" s="4" t="s">
        <v>581</v>
      </c>
      <c r="D96" s="4" t="b">
        <v>0</v>
      </c>
      <c r="E96" s="4" t="s">
        <v>582</v>
      </c>
      <c r="F96" s="4" t="s">
        <v>576</v>
      </c>
      <c r="G96" s="4" t="s">
        <v>577</v>
      </c>
      <c r="H96" s="4" t="s">
        <v>578</v>
      </c>
    </row>
    <row r="97" spans="1:8" ht="55" customHeight="1">
      <c r="A97" s="6" t="s">
        <v>735</v>
      </c>
      <c r="B97" s="9">
        <v>8759</v>
      </c>
      <c r="C97" s="7" t="s">
        <v>574</v>
      </c>
      <c r="D97" s="7" t="b">
        <v>0</v>
      </c>
      <c r="E97" s="7" t="s">
        <v>725</v>
      </c>
      <c r="F97" s="7" t="s">
        <v>576</v>
      </c>
      <c r="G97" s="7" t="s">
        <v>577</v>
      </c>
      <c r="H97" s="7" t="s">
        <v>578</v>
      </c>
    </row>
    <row r="98" spans="1:8" ht="55" customHeight="1">
      <c r="A98" s="3" t="s">
        <v>736</v>
      </c>
      <c r="B98" s="10">
        <v>153</v>
      </c>
      <c r="C98" s="4" t="s">
        <v>574</v>
      </c>
      <c r="D98" s="4" t="b">
        <v>0</v>
      </c>
      <c r="E98" s="4" t="s">
        <v>725</v>
      </c>
      <c r="F98" s="4" t="s">
        <v>576</v>
      </c>
      <c r="G98" s="4" t="s">
        <v>577</v>
      </c>
      <c r="H98" s="4" t="s">
        <v>578</v>
      </c>
    </row>
    <row r="99" spans="1:8" ht="55" customHeight="1">
      <c r="A99" s="6" t="s">
        <v>737</v>
      </c>
      <c r="B99" s="9">
        <v>242</v>
      </c>
      <c r="C99" s="7" t="s">
        <v>574</v>
      </c>
      <c r="D99" s="7" t="b">
        <v>0</v>
      </c>
      <c r="E99" s="7" t="s">
        <v>725</v>
      </c>
      <c r="F99" s="7" t="s">
        <v>576</v>
      </c>
      <c r="G99" s="7" t="s">
        <v>577</v>
      </c>
      <c r="H99" s="7" t="s">
        <v>578</v>
      </c>
    </row>
    <row r="100" spans="1:8" ht="55" customHeight="1">
      <c r="A100" s="3" t="s">
        <v>738</v>
      </c>
      <c r="B100" s="10">
        <v>199</v>
      </c>
      <c r="C100" s="4" t="s">
        <v>574</v>
      </c>
      <c r="D100" s="4" t="b">
        <v>0</v>
      </c>
      <c r="E100" s="4" t="s">
        <v>725</v>
      </c>
      <c r="F100" s="4" t="s">
        <v>576</v>
      </c>
      <c r="G100" s="4" t="s">
        <v>577</v>
      </c>
      <c r="H100" s="4" t="s">
        <v>578</v>
      </c>
    </row>
    <row r="101" spans="1:8" ht="55" customHeight="1">
      <c r="A101" s="6" t="s">
        <v>739</v>
      </c>
      <c r="B101" s="7"/>
      <c r="C101" s="7" t="s">
        <v>581</v>
      </c>
      <c r="D101" s="7" t="b">
        <v>0</v>
      </c>
      <c r="E101" s="7" t="s">
        <v>582</v>
      </c>
      <c r="F101" s="7" t="s">
        <v>576</v>
      </c>
      <c r="G101" s="7" t="s">
        <v>577</v>
      </c>
      <c r="H101" s="7" t="s">
        <v>578</v>
      </c>
    </row>
    <row r="102" spans="1:8" ht="55" customHeight="1">
      <c r="A102" s="3" t="s">
        <v>740</v>
      </c>
      <c r="B102" s="4"/>
      <c r="C102" s="4" t="s">
        <v>581</v>
      </c>
      <c r="D102" s="4" t="b">
        <v>0</v>
      </c>
      <c r="E102" s="4" t="s">
        <v>582</v>
      </c>
      <c r="F102" s="4" t="s">
        <v>576</v>
      </c>
      <c r="G102" s="4" t="s">
        <v>577</v>
      </c>
      <c r="H102" s="4" t="s">
        <v>578</v>
      </c>
    </row>
    <row r="103" spans="1:8" ht="55" customHeight="1">
      <c r="A103" s="6" t="s">
        <v>741</v>
      </c>
      <c r="B103" s="9">
        <v>1509</v>
      </c>
      <c r="C103" s="7" t="s">
        <v>574</v>
      </c>
      <c r="D103" s="7" t="b">
        <v>0</v>
      </c>
      <c r="E103" s="7" t="s">
        <v>725</v>
      </c>
      <c r="F103" s="7" t="s">
        <v>576</v>
      </c>
      <c r="G103" s="7" t="s">
        <v>577</v>
      </c>
      <c r="H103" s="7" t="s">
        <v>578</v>
      </c>
    </row>
    <row r="104" spans="1:8" ht="55" customHeight="1">
      <c r="A104" s="3" t="s">
        <v>742</v>
      </c>
      <c r="B104" s="4"/>
      <c r="C104" s="4" t="s">
        <v>581</v>
      </c>
      <c r="D104" s="4" t="b">
        <v>0</v>
      </c>
      <c r="E104" s="4" t="s">
        <v>582</v>
      </c>
      <c r="F104" s="4" t="s">
        <v>576</v>
      </c>
      <c r="G104" s="4" t="s">
        <v>577</v>
      </c>
      <c r="H104" s="4" t="s">
        <v>578</v>
      </c>
    </row>
    <row r="105" spans="1:8" ht="55" customHeight="1">
      <c r="A105" s="6" t="s">
        <v>743</v>
      </c>
      <c r="B105" s="9">
        <v>91</v>
      </c>
      <c r="C105" s="7" t="s">
        <v>574</v>
      </c>
      <c r="D105" s="7" t="b">
        <v>0</v>
      </c>
      <c r="E105" s="7" t="s">
        <v>725</v>
      </c>
      <c r="F105" s="7" t="s">
        <v>576</v>
      </c>
      <c r="G105" s="7" t="s">
        <v>577</v>
      </c>
      <c r="H105" s="7" t="s">
        <v>578</v>
      </c>
    </row>
    <row r="106" spans="1:8" ht="55" customHeight="1">
      <c r="A106" s="3" t="s">
        <v>744</v>
      </c>
      <c r="B106" s="10">
        <v>142</v>
      </c>
      <c r="C106" s="4" t="s">
        <v>574</v>
      </c>
      <c r="D106" s="4" t="b">
        <v>0</v>
      </c>
      <c r="E106" s="4" t="s">
        <v>725</v>
      </c>
      <c r="F106" s="4" t="s">
        <v>576</v>
      </c>
      <c r="G106" s="4" t="s">
        <v>577</v>
      </c>
      <c r="H106" s="4" t="s">
        <v>578</v>
      </c>
    </row>
    <row r="107" spans="1:8" ht="55" customHeight="1">
      <c r="A107" s="6" t="s">
        <v>745</v>
      </c>
      <c r="B107" s="9">
        <v>366</v>
      </c>
      <c r="C107" s="7" t="s">
        <v>574</v>
      </c>
      <c r="D107" s="7" t="b">
        <v>0</v>
      </c>
      <c r="E107" s="7" t="s">
        <v>725</v>
      </c>
      <c r="F107" s="7" t="s">
        <v>576</v>
      </c>
      <c r="G107" s="7" t="s">
        <v>577</v>
      </c>
      <c r="H107" s="7" t="s">
        <v>578</v>
      </c>
    </row>
    <row r="108" spans="1:8" ht="55" customHeight="1">
      <c r="A108" s="3" t="s">
        <v>746</v>
      </c>
      <c r="B108" s="10">
        <v>160</v>
      </c>
      <c r="C108" s="4" t="s">
        <v>574</v>
      </c>
      <c r="D108" s="4" t="b">
        <v>0</v>
      </c>
      <c r="E108" s="4" t="s">
        <v>693</v>
      </c>
      <c r="F108" s="4" t="s">
        <v>576</v>
      </c>
      <c r="G108" s="4" t="s">
        <v>577</v>
      </c>
      <c r="H108" s="4" t="s">
        <v>578</v>
      </c>
    </row>
    <row r="109" spans="1:8" ht="55" customHeight="1">
      <c r="A109" s="6" t="s">
        <v>747</v>
      </c>
      <c r="B109" s="9">
        <v>8168</v>
      </c>
      <c r="C109" s="7" t="s">
        <v>574</v>
      </c>
      <c r="D109" s="7" t="b">
        <v>0</v>
      </c>
      <c r="E109" s="7" t="s">
        <v>725</v>
      </c>
      <c r="F109" s="7" t="s">
        <v>576</v>
      </c>
      <c r="G109" s="7" t="s">
        <v>577</v>
      </c>
      <c r="H109" s="7" t="s">
        <v>578</v>
      </c>
    </row>
    <row r="110" spans="1:8" ht="55" customHeight="1">
      <c r="A110" s="3" t="s">
        <v>748</v>
      </c>
      <c r="B110" s="10">
        <v>97</v>
      </c>
      <c r="C110" s="4" t="s">
        <v>574</v>
      </c>
      <c r="D110" s="4" t="b">
        <v>0</v>
      </c>
      <c r="E110" s="4" t="s">
        <v>725</v>
      </c>
      <c r="F110" s="4" t="s">
        <v>576</v>
      </c>
      <c r="G110" s="4" t="s">
        <v>577</v>
      </c>
      <c r="H110" s="4" t="s">
        <v>578</v>
      </c>
    </row>
    <row r="111" spans="1:8" ht="40" customHeight="1">
      <c r="A111" s="6" t="s">
        <v>749</v>
      </c>
      <c r="B111" s="9">
        <v>240</v>
      </c>
      <c r="C111" s="7" t="s">
        <v>574</v>
      </c>
      <c r="D111" s="7" t="b">
        <v>1</v>
      </c>
      <c r="E111" s="7" t="s">
        <v>725</v>
      </c>
      <c r="F111" s="7" t="s">
        <v>576</v>
      </c>
      <c r="G111" s="7" t="s">
        <v>522</v>
      </c>
      <c r="H111" s="7" t="s">
        <v>578</v>
      </c>
    </row>
    <row r="112" spans="1:8" ht="40" customHeight="1">
      <c r="A112" s="3" t="s">
        <v>750</v>
      </c>
      <c r="B112" s="10">
        <v>202</v>
      </c>
      <c r="C112" s="4" t="s">
        <v>574</v>
      </c>
      <c r="D112" s="4" t="b">
        <v>1</v>
      </c>
      <c r="E112" s="4" t="s">
        <v>725</v>
      </c>
      <c r="F112" s="4" t="s">
        <v>576</v>
      </c>
      <c r="G112" s="4" t="s">
        <v>522</v>
      </c>
      <c r="H112" s="4" t="s">
        <v>578</v>
      </c>
    </row>
    <row r="113" spans="1:8" ht="55" customHeight="1">
      <c r="A113" s="6" t="s">
        <v>541</v>
      </c>
      <c r="B113" s="7"/>
      <c r="C113" s="7" t="s">
        <v>581</v>
      </c>
      <c r="D113" s="7" t="b">
        <v>1</v>
      </c>
      <c r="E113" s="7" t="s">
        <v>582</v>
      </c>
      <c r="F113" s="7" t="s">
        <v>576</v>
      </c>
      <c r="G113" s="7" t="s">
        <v>525</v>
      </c>
      <c r="H113" s="7" t="s">
        <v>578</v>
      </c>
    </row>
    <row r="114" spans="1:8" ht="70" customHeight="1">
      <c r="A114" s="3" t="s">
        <v>751</v>
      </c>
      <c r="B114" s="10">
        <v>305</v>
      </c>
      <c r="C114" s="4" t="s">
        <v>574</v>
      </c>
      <c r="D114" s="4" t="b">
        <v>1</v>
      </c>
      <c r="E114" s="4" t="s">
        <v>752</v>
      </c>
      <c r="F114" s="4" t="s">
        <v>576</v>
      </c>
      <c r="G114" s="4" t="s">
        <v>522</v>
      </c>
      <c r="H114" s="4" t="s">
        <v>578</v>
      </c>
    </row>
    <row r="115" spans="1:8" ht="40" customHeight="1">
      <c r="A115" s="6" t="s">
        <v>753</v>
      </c>
      <c r="B115" s="9">
        <v>1525</v>
      </c>
      <c r="C115" s="7" t="s">
        <v>574</v>
      </c>
      <c r="D115" s="7" t="b">
        <v>1</v>
      </c>
      <c r="E115" s="7" t="s">
        <v>725</v>
      </c>
      <c r="F115" s="7" t="s">
        <v>576</v>
      </c>
      <c r="G115" s="7" t="s">
        <v>522</v>
      </c>
      <c r="H115" s="7" t="s">
        <v>578</v>
      </c>
    </row>
    <row r="116" spans="1:8" ht="40" customHeight="1">
      <c r="A116" s="3" t="s">
        <v>540</v>
      </c>
      <c r="B116" s="4"/>
      <c r="C116" s="4" t="s">
        <v>581</v>
      </c>
      <c r="D116" s="4" t="b">
        <v>1</v>
      </c>
      <c r="E116" s="4" t="s">
        <v>582</v>
      </c>
      <c r="F116" s="4" t="s">
        <v>576</v>
      </c>
      <c r="G116" s="4" t="s">
        <v>522</v>
      </c>
      <c r="H116" s="4" t="s">
        <v>578</v>
      </c>
    </row>
    <row r="117" spans="1:8" ht="40" customHeight="1">
      <c r="A117" s="6" t="s">
        <v>754</v>
      </c>
      <c r="B117" s="9">
        <v>345</v>
      </c>
      <c r="C117" s="7" t="s">
        <v>574</v>
      </c>
      <c r="D117" s="7" t="b">
        <v>1</v>
      </c>
      <c r="E117" s="7" t="s">
        <v>725</v>
      </c>
      <c r="F117" s="7" t="s">
        <v>576</v>
      </c>
      <c r="G117" s="7" t="s">
        <v>522</v>
      </c>
      <c r="H117" s="7" t="s">
        <v>578</v>
      </c>
    </row>
    <row r="118" spans="1:8" ht="40" customHeight="1">
      <c r="A118" s="3" t="s">
        <v>755</v>
      </c>
      <c r="B118" s="10">
        <v>103</v>
      </c>
      <c r="C118" s="4" t="s">
        <v>574</v>
      </c>
      <c r="D118" s="4" t="b">
        <v>1</v>
      </c>
      <c r="E118" s="4" t="s">
        <v>725</v>
      </c>
      <c r="F118" s="4" t="s">
        <v>576</v>
      </c>
      <c r="G118" s="4" t="s">
        <v>522</v>
      </c>
      <c r="H118" s="4" t="s">
        <v>578</v>
      </c>
    </row>
    <row r="119" spans="1:8" ht="40" customHeight="1">
      <c r="A119" s="6" t="s">
        <v>756</v>
      </c>
      <c r="B119" s="9">
        <v>378</v>
      </c>
      <c r="C119" s="7" t="s">
        <v>574</v>
      </c>
      <c r="D119" s="7" t="b">
        <v>1</v>
      </c>
      <c r="E119" s="7" t="s">
        <v>725</v>
      </c>
      <c r="F119" s="7" t="s">
        <v>576</v>
      </c>
      <c r="G119" s="7" t="s">
        <v>522</v>
      </c>
      <c r="H119" s="7" t="s">
        <v>578</v>
      </c>
    </row>
    <row r="120" spans="1:8" ht="40" customHeight="1">
      <c r="A120" s="3" t="s">
        <v>757</v>
      </c>
      <c r="B120" s="10">
        <v>156</v>
      </c>
      <c r="C120" s="4" t="s">
        <v>574</v>
      </c>
      <c r="D120" s="4" t="b">
        <v>1</v>
      </c>
      <c r="E120" s="4" t="s">
        <v>693</v>
      </c>
      <c r="F120" s="4" t="s">
        <v>576</v>
      </c>
      <c r="G120" s="4" t="s">
        <v>522</v>
      </c>
      <c r="H120" s="4" t="s">
        <v>578</v>
      </c>
    </row>
    <row r="121" spans="1:8" ht="40" customHeight="1">
      <c r="A121" s="6" t="s">
        <v>758</v>
      </c>
      <c r="B121" s="9">
        <v>7988</v>
      </c>
      <c r="C121" s="7" t="s">
        <v>574</v>
      </c>
      <c r="D121" s="7" t="b">
        <v>1</v>
      </c>
      <c r="E121" s="7" t="s">
        <v>725</v>
      </c>
      <c r="F121" s="7" t="s">
        <v>576</v>
      </c>
      <c r="G121" s="7" t="s">
        <v>522</v>
      </c>
      <c r="H121" s="7" t="s">
        <v>578</v>
      </c>
    </row>
    <row r="122" spans="1:8" ht="40" customHeight="1">
      <c r="A122" s="3" t="s">
        <v>759</v>
      </c>
      <c r="B122" s="10">
        <v>76</v>
      </c>
      <c r="C122" s="4" t="s">
        <v>574</v>
      </c>
      <c r="D122" s="4" t="b">
        <v>1</v>
      </c>
      <c r="E122" s="4" t="s">
        <v>725</v>
      </c>
      <c r="F122" s="4" t="s">
        <v>576</v>
      </c>
      <c r="G122" s="4" t="s">
        <v>522</v>
      </c>
      <c r="H122" s="4" t="s">
        <v>578</v>
      </c>
    </row>
    <row r="123" spans="1:8" ht="55" customHeight="1">
      <c r="A123" s="6" t="s">
        <v>547</v>
      </c>
      <c r="B123" s="7"/>
      <c r="C123" s="7" t="s">
        <v>581</v>
      </c>
      <c r="D123" s="7" t="b">
        <v>1</v>
      </c>
      <c r="E123" s="7" t="s">
        <v>582</v>
      </c>
      <c r="F123" s="7" t="s">
        <v>618</v>
      </c>
      <c r="G123" s="7" t="s">
        <v>527</v>
      </c>
      <c r="H123" s="7" t="s">
        <v>619</v>
      </c>
    </row>
    <row r="124" spans="1:8" ht="55" customHeight="1">
      <c r="A124" s="3" t="s">
        <v>545</v>
      </c>
      <c r="B124" s="4"/>
      <c r="C124" s="4" t="s">
        <v>581</v>
      </c>
      <c r="D124" s="4" t="b">
        <v>1</v>
      </c>
      <c r="E124" s="4" t="s">
        <v>582</v>
      </c>
      <c r="F124" s="4" t="s">
        <v>620</v>
      </c>
      <c r="G124" s="4" t="s">
        <v>527</v>
      </c>
      <c r="H124" s="4" t="s">
        <v>619</v>
      </c>
    </row>
    <row r="125" spans="1:8" ht="55" customHeight="1">
      <c r="A125" s="6" t="s">
        <v>544</v>
      </c>
      <c r="B125" s="7"/>
      <c r="C125" s="7" t="s">
        <v>581</v>
      </c>
      <c r="D125" s="7" t="b">
        <v>1</v>
      </c>
      <c r="E125" s="7" t="s">
        <v>582</v>
      </c>
      <c r="F125" s="7" t="s">
        <v>621</v>
      </c>
      <c r="G125" s="7" t="s">
        <v>527</v>
      </c>
      <c r="H125" s="7" t="s">
        <v>619</v>
      </c>
    </row>
    <row r="126" spans="1:8" ht="55" customHeight="1">
      <c r="A126" s="3" t="s">
        <v>548</v>
      </c>
      <c r="B126" s="4"/>
      <c r="C126" s="4" t="s">
        <v>581</v>
      </c>
      <c r="D126" s="4" t="b">
        <v>1</v>
      </c>
      <c r="E126" s="4" t="s">
        <v>582</v>
      </c>
      <c r="F126" s="4" t="s">
        <v>622</v>
      </c>
      <c r="G126" s="4" t="s">
        <v>527</v>
      </c>
      <c r="H126" s="4" t="s">
        <v>619</v>
      </c>
    </row>
    <row r="127" spans="1:8" ht="55" customHeight="1">
      <c r="A127" s="6" t="s">
        <v>542</v>
      </c>
      <c r="B127" s="7"/>
      <c r="C127" s="7" t="s">
        <v>581</v>
      </c>
      <c r="D127" s="7" t="b">
        <v>1</v>
      </c>
      <c r="E127" s="7" t="s">
        <v>582</v>
      </c>
      <c r="F127" s="7" t="s">
        <v>623</v>
      </c>
      <c r="G127" s="7" t="s">
        <v>527</v>
      </c>
      <c r="H127" s="7" t="s">
        <v>619</v>
      </c>
    </row>
    <row r="128" spans="1:8" ht="55" customHeight="1">
      <c r="A128" s="3" t="s">
        <v>543</v>
      </c>
      <c r="B128" s="4"/>
      <c r="C128" s="4" t="s">
        <v>581</v>
      </c>
      <c r="D128" s="4" t="b">
        <v>1</v>
      </c>
      <c r="E128" s="4" t="s">
        <v>582</v>
      </c>
      <c r="F128" s="4" t="s">
        <v>624</v>
      </c>
      <c r="G128" s="4" t="s">
        <v>527</v>
      </c>
      <c r="H128" s="4" t="s">
        <v>619</v>
      </c>
    </row>
    <row r="129" spans="1:8" ht="55" customHeight="1">
      <c r="A129" s="6" t="s">
        <v>546</v>
      </c>
      <c r="B129" s="7"/>
      <c r="C129" s="7" t="s">
        <v>581</v>
      </c>
      <c r="D129" s="7" t="b">
        <v>1</v>
      </c>
      <c r="E129" s="7" t="s">
        <v>582</v>
      </c>
      <c r="F129" s="7" t="s">
        <v>625</v>
      </c>
      <c r="G129" s="7" t="s">
        <v>527</v>
      </c>
      <c r="H129" s="7" t="s">
        <v>619</v>
      </c>
    </row>
    <row r="130" spans="1:8" ht="70" customHeight="1">
      <c r="A130" s="3" t="s">
        <v>760</v>
      </c>
      <c r="B130" s="4" t="s">
        <v>761</v>
      </c>
      <c r="C130" s="4" t="s">
        <v>574</v>
      </c>
      <c r="D130" s="4" t="b">
        <v>1</v>
      </c>
      <c r="E130" s="4" t="s">
        <v>693</v>
      </c>
      <c r="F130" s="4" t="s">
        <v>628</v>
      </c>
      <c r="G130" s="4" t="s">
        <v>527</v>
      </c>
      <c r="H130" s="4" t="s">
        <v>619</v>
      </c>
    </row>
    <row r="131" spans="1:8" ht="40" customHeight="1">
      <c r="A131" s="6" t="s">
        <v>539</v>
      </c>
      <c r="B131" s="7"/>
      <c r="C131" s="7" t="s">
        <v>581</v>
      </c>
      <c r="D131" s="7" t="b">
        <v>1</v>
      </c>
      <c r="E131" s="7" t="s">
        <v>582</v>
      </c>
      <c r="F131" s="7" t="s">
        <v>629</v>
      </c>
      <c r="G131" s="7" t="s">
        <v>515</v>
      </c>
      <c r="H131" s="7" t="s">
        <v>630</v>
      </c>
    </row>
    <row r="132" spans="1:8" ht="55" customHeight="1">
      <c r="A132" s="3" t="s">
        <v>762</v>
      </c>
      <c r="B132" s="10">
        <v>446</v>
      </c>
      <c r="C132" s="4" t="s">
        <v>574</v>
      </c>
      <c r="D132" s="4" t="b">
        <v>0</v>
      </c>
      <c r="E132" s="4" t="s">
        <v>725</v>
      </c>
      <c r="F132" s="4" t="s">
        <v>629</v>
      </c>
      <c r="G132" s="4" t="s">
        <v>632</v>
      </c>
      <c r="H132" s="4" t="s">
        <v>630</v>
      </c>
    </row>
    <row r="133" spans="1:8" ht="70" customHeight="1">
      <c r="A133" s="6" t="s">
        <v>763</v>
      </c>
      <c r="B133" s="9">
        <v>450</v>
      </c>
      <c r="C133" s="7" t="s">
        <v>574</v>
      </c>
      <c r="D133" s="7" t="b">
        <v>1</v>
      </c>
      <c r="E133" s="7" t="s">
        <v>764</v>
      </c>
      <c r="F133" s="7" t="s">
        <v>629</v>
      </c>
      <c r="G133" s="7" t="s">
        <v>515</v>
      </c>
      <c r="H133" s="7" t="s">
        <v>630</v>
      </c>
    </row>
    <row r="134" spans="1:8" ht="40" customHeight="1">
      <c r="A134" s="3" t="s">
        <v>538</v>
      </c>
      <c r="B134" s="4"/>
      <c r="C134" s="4" t="s">
        <v>581</v>
      </c>
      <c r="D134" s="4" t="b">
        <v>1</v>
      </c>
      <c r="E134" s="4" t="s">
        <v>582</v>
      </c>
      <c r="F134" s="4" t="s">
        <v>629</v>
      </c>
      <c r="G134" s="4" t="s">
        <v>515</v>
      </c>
      <c r="H134" s="4" t="s">
        <v>630</v>
      </c>
    </row>
    <row r="135" spans="1:8" ht="40" customHeight="1">
      <c r="A135" s="6" t="s">
        <v>765</v>
      </c>
      <c r="B135" s="9">
        <v>24</v>
      </c>
      <c r="C135" s="7" t="s">
        <v>574</v>
      </c>
      <c r="D135" s="7" t="b">
        <v>1</v>
      </c>
      <c r="E135" s="7" t="s">
        <v>766</v>
      </c>
      <c r="F135" s="7" t="s">
        <v>767</v>
      </c>
      <c r="G135" s="7" t="s">
        <v>512</v>
      </c>
      <c r="H135" s="7" t="s">
        <v>768</v>
      </c>
    </row>
    <row r="136" spans="1:8" ht="40" customHeight="1">
      <c r="A136" s="3" t="s">
        <v>769</v>
      </c>
      <c r="B136" s="4" t="s">
        <v>770</v>
      </c>
      <c r="C136" s="4" t="s">
        <v>574</v>
      </c>
      <c r="D136" s="4" t="b">
        <v>1</v>
      </c>
      <c r="E136" s="4" t="s">
        <v>766</v>
      </c>
      <c r="F136" s="4" t="s">
        <v>767</v>
      </c>
      <c r="G136" s="4" t="s">
        <v>512</v>
      </c>
      <c r="H136" s="4" t="s">
        <v>768</v>
      </c>
    </row>
    <row r="137" spans="1:8" ht="40" customHeight="1">
      <c r="A137" s="6" t="s">
        <v>771</v>
      </c>
      <c r="B137" s="9">
        <v>2500</v>
      </c>
      <c r="C137" s="7" t="s">
        <v>574</v>
      </c>
      <c r="D137" s="7" t="b">
        <v>0</v>
      </c>
      <c r="E137" s="7" t="s">
        <v>766</v>
      </c>
      <c r="F137" s="7" t="s">
        <v>767</v>
      </c>
      <c r="G137" s="7" t="s">
        <v>772</v>
      </c>
      <c r="H137" s="7" t="s">
        <v>768</v>
      </c>
    </row>
    <row r="138" spans="1:8" ht="40" customHeight="1">
      <c r="A138" s="3" t="s">
        <v>773</v>
      </c>
      <c r="B138" s="10">
        <v>2400</v>
      </c>
      <c r="C138" s="4" t="s">
        <v>574</v>
      </c>
      <c r="D138" s="4" t="b">
        <v>0</v>
      </c>
      <c r="E138" s="4" t="s">
        <v>766</v>
      </c>
      <c r="F138" s="4" t="s">
        <v>767</v>
      </c>
      <c r="G138" s="4" t="s">
        <v>772</v>
      </c>
      <c r="H138" s="4" t="s">
        <v>768</v>
      </c>
    </row>
    <row r="139" spans="1:8" ht="40" customHeight="1">
      <c r="A139" s="6" t="s">
        <v>774</v>
      </c>
      <c r="B139" s="9">
        <v>0.1168</v>
      </c>
      <c r="C139" s="7" t="s">
        <v>574</v>
      </c>
      <c r="D139" s="7" t="b">
        <v>1</v>
      </c>
      <c r="E139" s="7" t="s">
        <v>766</v>
      </c>
      <c r="F139" s="7" t="s">
        <v>767</v>
      </c>
      <c r="G139" s="7" t="s">
        <v>512</v>
      </c>
      <c r="H139" s="7" t="s">
        <v>768</v>
      </c>
    </row>
    <row r="140" spans="1:8" ht="40" customHeight="1">
      <c r="A140" s="3" t="s">
        <v>509</v>
      </c>
      <c r="B140" s="4"/>
      <c r="C140" s="4" t="s">
        <v>581</v>
      </c>
      <c r="D140" s="4" t="b">
        <v>1</v>
      </c>
      <c r="E140" s="4" t="s">
        <v>582</v>
      </c>
      <c r="F140" s="4" t="s">
        <v>767</v>
      </c>
      <c r="G140" s="4" t="s">
        <v>512</v>
      </c>
      <c r="H140" s="4" t="s">
        <v>768</v>
      </c>
    </row>
    <row r="141" spans="1:8" ht="40" customHeight="1">
      <c r="A141" s="6" t="s">
        <v>775</v>
      </c>
      <c r="B141" s="7" t="s">
        <v>776</v>
      </c>
      <c r="C141" s="7" t="s">
        <v>574</v>
      </c>
      <c r="D141" s="7" t="b">
        <v>1</v>
      </c>
      <c r="E141" s="7" t="s">
        <v>766</v>
      </c>
      <c r="F141" s="7" t="s">
        <v>767</v>
      </c>
      <c r="G141" s="7" t="s">
        <v>512</v>
      </c>
      <c r="H141" s="7" t="s">
        <v>768</v>
      </c>
    </row>
  </sheetData>
  <autoFilter ref="A4:H141"/>
  <mergeCells count="2">
    <mergeCell ref="A2:F2"/>
    <mergeCell ref="A3:F3"/>
  </mergeCells>
  <conditionalFormatting sqref="C10">
    <cfRule type="cellIs" dxfId="2" priority="6" operator="equal">
      <formula>"missing evidence"</formula>
    </cfRule>
  </conditionalFormatting>
  <conditionalFormatting sqref="C100">
    <cfRule type="cellIs" dxfId="1" priority="96" operator="equal">
      <formula>"verified fact"</formula>
    </cfRule>
  </conditionalFormatting>
  <conditionalFormatting sqref="C101">
    <cfRule type="cellIs" dxfId="2" priority="97" operator="equal">
      <formula>"missing evidence"</formula>
    </cfRule>
  </conditionalFormatting>
  <conditionalFormatting sqref="C102">
    <cfRule type="cellIs" dxfId="2" priority="98" operator="equal">
      <formula>"missing evidence"</formula>
    </cfRule>
  </conditionalFormatting>
  <conditionalFormatting sqref="C103">
    <cfRule type="cellIs" dxfId="1" priority="99" operator="equal">
      <formula>"verified fact"</formula>
    </cfRule>
  </conditionalFormatting>
  <conditionalFormatting sqref="C104">
    <cfRule type="cellIs" dxfId="2" priority="100" operator="equal">
      <formula>"missing evidence"</formula>
    </cfRule>
  </conditionalFormatting>
  <conditionalFormatting sqref="C105">
    <cfRule type="cellIs" dxfId="1" priority="101" operator="equal">
      <formula>"verified fact"</formula>
    </cfRule>
  </conditionalFormatting>
  <conditionalFormatting sqref="C106">
    <cfRule type="cellIs" dxfId="1" priority="102" operator="equal">
      <formula>"verified fact"</formula>
    </cfRule>
  </conditionalFormatting>
  <conditionalFormatting sqref="C107">
    <cfRule type="cellIs" dxfId="1" priority="103" operator="equal">
      <formula>"verified fact"</formula>
    </cfRule>
  </conditionalFormatting>
  <conditionalFormatting sqref="C108">
    <cfRule type="cellIs" dxfId="1" priority="104" operator="equal">
      <formula>"verified fact"</formula>
    </cfRule>
  </conditionalFormatting>
  <conditionalFormatting sqref="C109">
    <cfRule type="cellIs" dxfId="1" priority="105" operator="equal">
      <formula>"verified fact"</formula>
    </cfRule>
  </conditionalFormatting>
  <conditionalFormatting sqref="C11">
    <cfRule type="cellIs" dxfId="1" priority="7" operator="equal">
      <formula>"verified fact"</formula>
    </cfRule>
  </conditionalFormatting>
  <conditionalFormatting sqref="C110">
    <cfRule type="cellIs" dxfId="1" priority="106" operator="equal">
      <formula>"verified fact"</formula>
    </cfRule>
  </conditionalFormatting>
  <conditionalFormatting sqref="C111">
    <cfRule type="cellIs" dxfId="1" priority="107" operator="equal">
      <formula>"verified fact"</formula>
    </cfRule>
  </conditionalFormatting>
  <conditionalFormatting sqref="C112">
    <cfRule type="cellIs" dxfId="1" priority="108" operator="equal">
      <formula>"verified fact"</formula>
    </cfRule>
  </conditionalFormatting>
  <conditionalFormatting sqref="C113">
    <cfRule type="cellIs" dxfId="2" priority="109" operator="equal">
      <formula>"missing evidence"</formula>
    </cfRule>
  </conditionalFormatting>
  <conditionalFormatting sqref="C114">
    <cfRule type="cellIs" dxfId="1" priority="110" operator="equal">
      <formula>"verified fact"</formula>
    </cfRule>
  </conditionalFormatting>
  <conditionalFormatting sqref="C115">
    <cfRule type="cellIs" dxfId="1" priority="111" operator="equal">
      <formula>"verified fact"</formula>
    </cfRule>
  </conditionalFormatting>
  <conditionalFormatting sqref="C116">
    <cfRule type="cellIs" dxfId="2" priority="112" operator="equal">
      <formula>"missing evidence"</formula>
    </cfRule>
  </conditionalFormatting>
  <conditionalFormatting sqref="C117">
    <cfRule type="cellIs" dxfId="1" priority="113" operator="equal">
      <formula>"verified fact"</formula>
    </cfRule>
  </conditionalFormatting>
  <conditionalFormatting sqref="C118">
    <cfRule type="cellIs" dxfId="1" priority="114" operator="equal">
      <formula>"verified fact"</formula>
    </cfRule>
  </conditionalFormatting>
  <conditionalFormatting sqref="C119">
    <cfRule type="cellIs" dxfId="1" priority="115" operator="equal">
      <formula>"verified fact"</formula>
    </cfRule>
  </conditionalFormatting>
  <conditionalFormatting sqref="C12">
    <cfRule type="cellIs" dxfId="1" priority="8" operator="equal">
      <formula>"verified fact"</formula>
    </cfRule>
  </conditionalFormatting>
  <conditionalFormatting sqref="C120">
    <cfRule type="cellIs" dxfId="1" priority="116" operator="equal">
      <formula>"verified fact"</formula>
    </cfRule>
  </conditionalFormatting>
  <conditionalFormatting sqref="C121">
    <cfRule type="cellIs" dxfId="1" priority="117" operator="equal">
      <formula>"verified fact"</formula>
    </cfRule>
  </conditionalFormatting>
  <conditionalFormatting sqref="C122">
    <cfRule type="cellIs" dxfId="1" priority="118" operator="equal">
      <formula>"verified fact"</formula>
    </cfRule>
  </conditionalFormatting>
  <conditionalFormatting sqref="C123">
    <cfRule type="cellIs" dxfId="2" priority="119" operator="equal">
      <formula>"missing evidence"</formula>
    </cfRule>
  </conditionalFormatting>
  <conditionalFormatting sqref="C124">
    <cfRule type="cellIs" dxfId="2" priority="120" operator="equal">
      <formula>"missing evidence"</formula>
    </cfRule>
  </conditionalFormatting>
  <conditionalFormatting sqref="C125">
    <cfRule type="cellIs" dxfId="2" priority="121" operator="equal">
      <formula>"missing evidence"</formula>
    </cfRule>
  </conditionalFormatting>
  <conditionalFormatting sqref="C126">
    <cfRule type="cellIs" dxfId="2" priority="122" operator="equal">
      <formula>"missing evidence"</formula>
    </cfRule>
  </conditionalFormatting>
  <conditionalFormatting sqref="C127">
    <cfRule type="cellIs" dxfId="2" priority="123" operator="equal">
      <formula>"missing evidence"</formula>
    </cfRule>
  </conditionalFormatting>
  <conditionalFormatting sqref="C128">
    <cfRule type="cellIs" dxfId="2" priority="124" operator="equal">
      <formula>"missing evidence"</formula>
    </cfRule>
  </conditionalFormatting>
  <conditionalFormatting sqref="C129">
    <cfRule type="cellIs" dxfId="2" priority="125" operator="equal">
      <formula>"missing evidence"</formula>
    </cfRule>
  </conditionalFormatting>
  <conditionalFormatting sqref="C13">
    <cfRule type="cellIs" dxfId="2" priority="9" operator="equal">
      <formula>"missing evidence"</formula>
    </cfRule>
  </conditionalFormatting>
  <conditionalFormatting sqref="C130">
    <cfRule type="cellIs" dxfId="1" priority="126" operator="equal">
      <formula>"verified fact"</formula>
    </cfRule>
  </conditionalFormatting>
  <conditionalFormatting sqref="C131">
    <cfRule type="cellIs" dxfId="2" priority="127" operator="equal">
      <formula>"missing evidence"</formula>
    </cfRule>
  </conditionalFormatting>
  <conditionalFormatting sqref="C132">
    <cfRule type="cellIs" dxfId="1" priority="128" operator="equal">
      <formula>"verified fact"</formula>
    </cfRule>
  </conditionalFormatting>
  <conditionalFormatting sqref="C133">
    <cfRule type="cellIs" dxfId="1" priority="129" operator="equal">
      <formula>"verified fact"</formula>
    </cfRule>
  </conditionalFormatting>
  <conditionalFormatting sqref="C134">
    <cfRule type="cellIs" dxfId="2" priority="130" operator="equal">
      <formula>"missing evidence"</formula>
    </cfRule>
  </conditionalFormatting>
  <conditionalFormatting sqref="C135">
    <cfRule type="cellIs" dxfId="1" priority="131" operator="equal">
      <formula>"verified fact"</formula>
    </cfRule>
  </conditionalFormatting>
  <conditionalFormatting sqref="C136">
    <cfRule type="cellIs" dxfId="1" priority="132" operator="equal">
      <formula>"verified fact"</formula>
    </cfRule>
  </conditionalFormatting>
  <conditionalFormatting sqref="C137">
    <cfRule type="cellIs" dxfId="1" priority="133" operator="equal">
      <formula>"verified fact"</formula>
    </cfRule>
  </conditionalFormatting>
  <conditionalFormatting sqref="C138">
    <cfRule type="cellIs" dxfId="1" priority="134" operator="equal">
      <formula>"verified fact"</formula>
    </cfRule>
  </conditionalFormatting>
  <conditionalFormatting sqref="C139">
    <cfRule type="cellIs" dxfId="1" priority="135" operator="equal">
      <formula>"verified fact"</formula>
    </cfRule>
  </conditionalFormatting>
  <conditionalFormatting sqref="C14">
    <cfRule type="cellIs" dxfId="2" priority="10" operator="equal">
      <formula>"missing evidence"</formula>
    </cfRule>
  </conditionalFormatting>
  <conditionalFormatting sqref="C140">
    <cfRule type="cellIs" dxfId="2" priority="136" operator="equal">
      <formula>"missing evidence"</formula>
    </cfRule>
  </conditionalFormatting>
  <conditionalFormatting sqref="C141">
    <cfRule type="cellIs" dxfId="1" priority="137" operator="equal">
      <formula>"verified fact"</formula>
    </cfRule>
  </conditionalFormatting>
  <conditionalFormatting sqref="C15">
    <cfRule type="cellIs" dxfId="1" priority="11" operator="equal">
      <formula>"verified fact"</formula>
    </cfRule>
  </conditionalFormatting>
  <conditionalFormatting sqref="C16">
    <cfRule type="cellIs" dxfId="1" priority="12" operator="equal">
      <formula>"verified fact"</formula>
    </cfRule>
  </conditionalFormatting>
  <conditionalFormatting sqref="C17">
    <cfRule type="cellIs" dxfId="1" priority="13" operator="equal">
      <formula>"verified fact"</formula>
    </cfRule>
  </conditionalFormatting>
  <conditionalFormatting sqref="C18">
    <cfRule type="cellIs" dxfId="1" priority="14" operator="equal">
      <formula>"verified fact"</formula>
    </cfRule>
  </conditionalFormatting>
  <conditionalFormatting sqref="C19">
    <cfRule type="cellIs" dxfId="2" priority="15" operator="equal">
      <formula>"missing evidence"</formula>
    </cfRule>
  </conditionalFormatting>
  <conditionalFormatting sqref="C20">
    <cfRule type="cellIs" dxfId="2" priority="16" operator="equal">
      <formula>"missing evidence"</formula>
    </cfRule>
  </conditionalFormatting>
  <conditionalFormatting sqref="C21">
    <cfRule type="cellIs" dxfId="1" priority="17" operator="equal">
      <formula>"verified fact"</formula>
    </cfRule>
  </conditionalFormatting>
  <conditionalFormatting sqref="C22">
    <cfRule type="cellIs" dxfId="2" priority="18" operator="equal">
      <formula>"missing evidence"</formula>
    </cfRule>
  </conditionalFormatting>
  <conditionalFormatting sqref="C23">
    <cfRule type="cellIs" dxfId="1" priority="19" operator="equal">
      <formula>"verified fact"</formula>
    </cfRule>
  </conditionalFormatting>
  <conditionalFormatting sqref="C24">
    <cfRule type="cellIs" dxfId="1" priority="20" operator="equal">
      <formula>"verified fact"</formula>
    </cfRule>
  </conditionalFormatting>
  <conditionalFormatting sqref="C25">
    <cfRule type="cellIs" dxfId="1" priority="21" operator="equal">
      <formula>"verified fact"</formula>
    </cfRule>
  </conditionalFormatting>
  <conditionalFormatting sqref="C26">
    <cfRule type="cellIs" dxfId="1" priority="22" operator="equal">
      <formula>"verified fact"</formula>
    </cfRule>
  </conditionalFormatting>
  <conditionalFormatting sqref="C27">
    <cfRule type="cellIs" dxfId="1" priority="23" operator="equal">
      <formula>"verified fact"</formula>
    </cfRule>
  </conditionalFormatting>
  <conditionalFormatting sqref="C28">
    <cfRule type="cellIs" dxfId="1" priority="24" operator="equal">
      <formula>"verified fact"</formula>
    </cfRule>
  </conditionalFormatting>
  <conditionalFormatting sqref="C29">
    <cfRule type="cellIs" dxfId="1" priority="25" operator="equal">
      <formula>"verified fact"</formula>
    </cfRule>
  </conditionalFormatting>
  <conditionalFormatting sqref="C30">
    <cfRule type="cellIs" dxfId="1" priority="26" operator="equal">
      <formula>"verified fact"</formula>
    </cfRule>
  </conditionalFormatting>
  <conditionalFormatting sqref="C31">
    <cfRule type="cellIs" dxfId="2" priority="27" operator="equal">
      <formula>"missing evidence"</formula>
    </cfRule>
  </conditionalFormatting>
  <conditionalFormatting sqref="C32">
    <cfRule type="cellIs" dxfId="1" priority="28" operator="equal">
      <formula>"verified fact"</formula>
    </cfRule>
  </conditionalFormatting>
  <conditionalFormatting sqref="C33">
    <cfRule type="cellIs" dxfId="1" priority="29" operator="equal">
      <formula>"verified fact"</formula>
    </cfRule>
  </conditionalFormatting>
  <conditionalFormatting sqref="C34">
    <cfRule type="cellIs" dxfId="2" priority="30" operator="equal">
      <formula>"missing evidence"</formula>
    </cfRule>
  </conditionalFormatting>
  <conditionalFormatting sqref="C35">
    <cfRule type="cellIs" dxfId="1" priority="31" operator="equal">
      <formula>"verified fact"</formula>
    </cfRule>
  </conditionalFormatting>
  <conditionalFormatting sqref="C36">
    <cfRule type="cellIs" dxfId="1" priority="32" operator="equal">
      <formula>"verified fact"</formula>
    </cfRule>
  </conditionalFormatting>
  <conditionalFormatting sqref="C37">
    <cfRule type="cellIs" dxfId="1" priority="33" operator="equal">
      <formula>"verified fact"</formula>
    </cfRule>
  </conditionalFormatting>
  <conditionalFormatting sqref="C38">
    <cfRule type="cellIs" dxfId="1" priority="34" operator="equal">
      <formula>"verified fact"</formula>
    </cfRule>
  </conditionalFormatting>
  <conditionalFormatting sqref="C39">
    <cfRule type="cellIs" dxfId="1" priority="35" operator="equal">
      <formula>"verified fact"</formula>
    </cfRule>
  </conditionalFormatting>
  <conditionalFormatting sqref="C40">
    <cfRule type="cellIs" dxfId="1" priority="36" operator="equal">
      <formula>"verified fact"</formula>
    </cfRule>
  </conditionalFormatting>
  <conditionalFormatting sqref="C41">
    <cfRule type="cellIs" dxfId="1" priority="37" operator="equal">
      <formula>"verified fact"</formula>
    </cfRule>
  </conditionalFormatting>
  <conditionalFormatting sqref="C42">
    <cfRule type="cellIs" dxfId="2" priority="38" operator="equal">
      <formula>"missing evidence"</formula>
    </cfRule>
  </conditionalFormatting>
  <conditionalFormatting sqref="C43">
    <cfRule type="cellIs" dxfId="2" priority="39" operator="equal">
      <formula>"missing evidence"</formula>
    </cfRule>
  </conditionalFormatting>
  <conditionalFormatting sqref="C44">
    <cfRule type="cellIs" dxfId="2" priority="40" operator="equal">
      <formula>"missing evidence"</formula>
    </cfRule>
  </conditionalFormatting>
  <conditionalFormatting sqref="C45">
    <cfRule type="cellIs" dxfId="2" priority="41" operator="equal">
      <formula>"missing evidence"</formula>
    </cfRule>
  </conditionalFormatting>
  <conditionalFormatting sqref="C46">
    <cfRule type="cellIs" dxfId="2" priority="42" operator="equal">
      <formula>"missing evidence"</formula>
    </cfRule>
  </conditionalFormatting>
  <conditionalFormatting sqref="C47">
    <cfRule type="cellIs" dxfId="2" priority="43" operator="equal">
      <formula>"missing evidence"</formula>
    </cfRule>
  </conditionalFormatting>
  <conditionalFormatting sqref="C48">
    <cfRule type="cellIs" dxfId="1" priority="44" operator="equal">
      <formula>"verified fact"</formula>
    </cfRule>
  </conditionalFormatting>
  <conditionalFormatting sqref="C49">
    <cfRule type="cellIs" dxfId="2" priority="45" operator="equal">
      <formula>"missing evidence"</formula>
    </cfRule>
  </conditionalFormatting>
  <conditionalFormatting sqref="C5">
    <cfRule type="cellIs" dxfId="1" priority="1" operator="equal">
      <formula>"verified fact"</formula>
    </cfRule>
  </conditionalFormatting>
  <conditionalFormatting sqref="C50">
    <cfRule type="cellIs" dxfId="1" priority="46" operator="equal">
      <formula>"verified fact"</formula>
    </cfRule>
  </conditionalFormatting>
  <conditionalFormatting sqref="C51">
    <cfRule type="cellIs" dxfId="2" priority="47" operator="equal">
      <formula>"missing evidence"</formula>
    </cfRule>
  </conditionalFormatting>
  <conditionalFormatting sqref="C52">
    <cfRule type="cellIs" dxfId="2" priority="48" operator="equal">
      <formula>"missing evidence"</formula>
    </cfRule>
  </conditionalFormatting>
  <conditionalFormatting sqref="C53">
    <cfRule type="cellIs" dxfId="3" priority="49" operator="equal">
      <formula>"explicit modelling assumption"</formula>
    </cfRule>
  </conditionalFormatting>
  <conditionalFormatting sqref="C54">
    <cfRule type="cellIs" dxfId="3" priority="50" operator="equal">
      <formula>"explicit modelling assumption"</formula>
    </cfRule>
  </conditionalFormatting>
  <conditionalFormatting sqref="C55">
    <cfRule type="cellIs" dxfId="3" priority="51" operator="equal">
      <formula>"explicit modelling assumption"</formula>
    </cfRule>
  </conditionalFormatting>
  <conditionalFormatting sqref="C56">
    <cfRule type="cellIs" dxfId="3" priority="52" operator="equal">
      <formula>"explicit modelling assumption"</formula>
    </cfRule>
  </conditionalFormatting>
  <conditionalFormatting sqref="C57">
    <cfRule type="cellIs" dxfId="3" priority="53" operator="equal">
      <formula>"explicit modelling assumption"</formula>
    </cfRule>
  </conditionalFormatting>
  <conditionalFormatting sqref="C58">
    <cfRule type="cellIs" dxfId="3" priority="54" operator="equal">
      <formula>"explicit modelling assumption"</formula>
    </cfRule>
  </conditionalFormatting>
  <conditionalFormatting sqref="C59">
    <cfRule type="cellIs" dxfId="1" priority="55" operator="equal">
      <formula>"verified fact"</formula>
    </cfRule>
  </conditionalFormatting>
  <conditionalFormatting sqref="C6">
    <cfRule type="cellIs" dxfId="1" priority="2" operator="equal">
      <formula>"verified fact"</formula>
    </cfRule>
  </conditionalFormatting>
  <conditionalFormatting sqref="C60">
    <cfRule type="cellIs" dxfId="1" priority="56" operator="equal">
      <formula>"verified fact"</formula>
    </cfRule>
  </conditionalFormatting>
  <conditionalFormatting sqref="C61">
    <cfRule type="cellIs" dxfId="1" priority="57" operator="equal">
      <formula>"verified fact"</formula>
    </cfRule>
  </conditionalFormatting>
  <conditionalFormatting sqref="C62">
    <cfRule type="cellIs" dxfId="1" priority="58" operator="equal">
      <formula>"verified fact"</formula>
    </cfRule>
  </conditionalFormatting>
  <conditionalFormatting sqref="C63">
    <cfRule type="cellIs" dxfId="1" priority="59" operator="equal">
      <formula>"verified fact"</formula>
    </cfRule>
  </conditionalFormatting>
  <conditionalFormatting sqref="C64">
    <cfRule type="cellIs" dxfId="1" priority="60" operator="equal">
      <formula>"verified fact"</formula>
    </cfRule>
  </conditionalFormatting>
  <conditionalFormatting sqref="C65">
    <cfRule type="cellIs" dxfId="1" priority="61" operator="equal">
      <formula>"verified fact"</formula>
    </cfRule>
  </conditionalFormatting>
  <conditionalFormatting sqref="C66">
    <cfRule type="cellIs" dxfId="1" priority="62" operator="equal">
      <formula>"verified fact"</formula>
    </cfRule>
  </conditionalFormatting>
  <conditionalFormatting sqref="C67">
    <cfRule type="cellIs" dxfId="1" priority="63" operator="equal">
      <formula>"verified fact"</formula>
    </cfRule>
  </conditionalFormatting>
  <conditionalFormatting sqref="C68">
    <cfRule type="cellIs" dxfId="1" priority="64" operator="equal">
      <formula>"verified fact"</formula>
    </cfRule>
  </conditionalFormatting>
  <conditionalFormatting sqref="C69">
    <cfRule type="cellIs" dxfId="1" priority="65" operator="equal">
      <formula>"verified fact"</formula>
    </cfRule>
  </conditionalFormatting>
  <conditionalFormatting sqref="C7">
    <cfRule type="cellIs" dxfId="2" priority="3" operator="equal">
      <formula>"missing evidence"</formula>
    </cfRule>
  </conditionalFormatting>
  <conditionalFormatting sqref="C70">
    <cfRule type="cellIs" dxfId="1" priority="66" operator="equal">
      <formula>"verified fact"</formula>
    </cfRule>
  </conditionalFormatting>
  <conditionalFormatting sqref="C71">
    <cfRule type="cellIs" dxfId="1" priority="67" operator="equal">
      <formula>"verified fact"</formula>
    </cfRule>
  </conditionalFormatting>
  <conditionalFormatting sqref="C72">
    <cfRule type="cellIs" dxfId="1" priority="68" operator="equal">
      <formula>"verified fact"</formula>
    </cfRule>
  </conditionalFormatting>
  <conditionalFormatting sqref="C73">
    <cfRule type="cellIs" dxfId="1" priority="69" operator="equal">
      <formula>"verified fact"</formula>
    </cfRule>
  </conditionalFormatting>
  <conditionalFormatting sqref="C74">
    <cfRule type="cellIs" dxfId="1" priority="70" operator="equal">
      <formula>"verified fact"</formula>
    </cfRule>
  </conditionalFormatting>
  <conditionalFormatting sqref="C75">
    <cfRule type="cellIs" dxfId="1" priority="71" operator="equal">
      <formula>"verified fact"</formula>
    </cfRule>
  </conditionalFormatting>
  <conditionalFormatting sqref="C76">
    <cfRule type="cellIs" dxfId="1" priority="72" operator="equal">
      <formula>"verified fact"</formula>
    </cfRule>
  </conditionalFormatting>
  <conditionalFormatting sqref="C77">
    <cfRule type="cellIs" dxfId="1" priority="73" operator="equal">
      <formula>"verified fact"</formula>
    </cfRule>
  </conditionalFormatting>
  <conditionalFormatting sqref="C78">
    <cfRule type="cellIs" dxfId="1" priority="74" operator="equal">
      <formula>"verified fact"</formula>
    </cfRule>
  </conditionalFormatting>
  <conditionalFormatting sqref="C79">
    <cfRule type="cellIs" dxfId="1" priority="75" operator="equal">
      <formula>"verified fact"</formula>
    </cfRule>
  </conditionalFormatting>
  <conditionalFormatting sqref="C8">
    <cfRule type="cellIs" dxfId="2" priority="4" operator="equal">
      <formula>"missing evidence"</formula>
    </cfRule>
  </conditionalFormatting>
  <conditionalFormatting sqref="C80">
    <cfRule type="cellIs" dxfId="1" priority="76" operator="equal">
      <formula>"verified fact"</formula>
    </cfRule>
  </conditionalFormatting>
  <conditionalFormatting sqref="C81">
    <cfRule type="cellIs" dxfId="1" priority="77" operator="equal">
      <formula>"verified fact"</formula>
    </cfRule>
  </conditionalFormatting>
  <conditionalFormatting sqref="C82">
    <cfRule type="cellIs" dxfId="1" priority="78" operator="equal">
      <formula>"verified fact"</formula>
    </cfRule>
  </conditionalFormatting>
  <conditionalFormatting sqref="C83">
    <cfRule type="cellIs" dxfId="1" priority="79" operator="equal">
      <formula>"verified fact"</formula>
    </cfRule>
  </conditionalFormatting>
  <conditionalFormatting sqref="C84">
    <cfRule type="cellIs" dxfId="1" priority="80" operator="equal">
      <formula>"verified fact"</formula>
    </cfRule>
  </conditionalFormatting>
  <conditionalFormatting sqref="C85">
    <cfRule type="cellIs" dxfId="1" priority="81" operator="equal">
      <formula>"verified fact"</formula>
    </cfRule>
  </conditionalFormatting>
  <conditionalFormatting sqref="C86">
    <cfRule type="cellIs" dxfId="1" priority="82" operator="equal">
      <formula>"verified fact"</formula>
    </cfRule>
  </conditionalFormatting>
  <conditionalFormatting sqref="C87">
    <cfRule type="cellIs" dxfId="1" priority="83" operator="equal">
      <formula>"verified fact"</formula>
    </cfRule>
  </conditionalFormatting>
  <conditionalFormatting sqref="C88">
    <cfRule type="cellIs" dxfId="1" priority="84" operator="equal">
      <formula>"verified fact"</formula>
    </cfRule>
  </conditionalFormatting>
  <conditionalFormatting sqref="C89">
    <cfRule type="cellIs" dxfId="2" priority="85" operator="equal">
      <formula>"missing evidence"</formula>
    </cfRule>
  </conditionalFormatting>
  <conditionalFormatting sqref="C9">
    <cfRule type="cellIs" dxfId="2" priority="5" operator="equal">
      <formula>"missing evidence"</formula>
    </cfRule>
  </conditionalFormatting>
  <conditionalFormatting sqref="C90">
    <cfRule type="cellIs" dxfId="2" priority="86" operator="equal">
      <formula>"missing evidence"</formula>
    </cfRule>
  </conditionalFormatting>
  <conditionalFormatting sqref="C91">
    <cfRule type="cellIs" dxfId="2" priority="87" operator="equal">
      <formula>"missing evidence"</formula>
    </cfRule>
  </conditionalFormatting>
  <conditionalFormatting sqref="C92">
    <cfRule type="cellIs" dxfId="2" priority="88" operator="equal">
      <formula>"missing evidence"</formula>
    </cfRule>
  </conditionalFormatting>
  <conditionalFormatting sqref="C93">
    <cfRule type="cellIs" dxfId="1" priority="89" operator="equal">
      <formula>"verified fact"</formula>
    </cfRule>
  </conditionalFormatting>
  <conditionalFormatting sqref="C94">
    <cfRule type="cellIs" dxfId="1" priority="90" operator="equal">
      <formula>"verified fact"</formula>
    </cfRule>
  </conditionalFormatting>
  <conditionalFormatting sqref="C95">
    <cfRule type="cellIs" dxfId="2" priority="91" operator="equal">
      <formula>"missing evidence"</formula>
    </cfRule>
  </conditionalFormatting>
  <conditionalFormatting sqref="C96">
    <cfRule type="cellIs" dxfId="2" priority="92" operator="equal">
      <formula>"missing evidence"</formula>
    </cfRule>
  </conditionalFormatting>
  <conditionalFormatting sqref="C97">
    <cfRule type="cellIs" dxfId="1" priority="93" operator="equal">
      <formula>"verified fact"</formula>
    </cfRule>
  </conditionalFormatting>
  <conditionalFormatting sqref="C98">
    <cfRule type="cellIs" dxfId="1" priority="94" operator="equal">
      <formula>"verified fact"</formula>
    </cfRule>
  </conditionalFormatting>
  <conditionalFormatting sqref="C99">
    <cfRule type="cellIs" dxfId="1" priority="95" operator="equal">
      <formula>"verified fact"</formula>
    </cfRule>
  </conditionalFormatting>
  <pageMargins left="0.3" right="0.3" top="0.4" bottom="0.4" header="0.3" footer="0.3"/>
  <pageSetup paperSize="9" scale="85" orientation="landscape"/>
  <headerFooter>
    <oddFooter>&amp;LEvidence&amp;RPage &amp;P of &amp;N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3C5658"/>
  </sheetPr>
  <dimension ref="A1:G2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5.7109375" customWidth="1"/>
    <col min="2" max="2" width="38.7109375" customWidth="1"/>
    <col min="3" max="3" width="20.7109375" customWidth="1"/>
    <col min="4" max="4" width="28.7109375" customWidth="1"/>
    <col min="5" max="5" width="80.7109375" customWidth="1"/>
    <col min="6" max="6" width="55.7109375" customWidth="1"/>
    <col min="7" max="7" width="60.7109375" customWidth="1"/>
  </cols>
  <sheetData>
    <row r="1" spans="1:7" ht="9" customHeight="1"/>
    <row r="2" spans="1:7" ht="42" customHeight="1">
      <c r="A2" s="1" t="s">
        <v>777</v>
      </c>
      <c r="B2" s="1"/>
      <c r="C2" s="1"/>
      <c r="D2" s="1"/>
      <c r="E2" s="1"/>
      <c r="F2" s="1"/>
      <c r="G2" s="8"/>
    </row>
    <row r="3" spans="1:7" ht="30" customHeight="1">
      <c r="A3" s="2" t="s">
        <v>550</v>
      </c>
      <c r="B3" s="2"/>
      <c r="C3" s="2"/>
      <c r="D3" s="2"/>
      <c r="E3" s="2"/>
      <c r="F3" s="2"/>
      <c r="G3" s="8"/>
    </row>
    <row r="4" spans="1:7" ht="34" customHeight="1">
      <c r="A4" s="5" t="s">
        <v>778</v>
      </c>
      <c r="B4" s="5" t="s">
        <v>779</v>
      </c>
      <c r="C4" s="5" t="s">
        <v>780</v>
      </c>
      <c r="D4" s="5" t="s">
        <v>781</v>
      </c>
      <c r="E4" s="5" t="s">
        <v>782</v>
      </c>
      <c r="F4" s="5" t="s">
        <v>783</v>
      </c>
      <c r="G4" s="5" t="s">
        <v>784</v>
      </c>
    </row>
    <row r="5" spans="1:7" ht="40" customHeight="1">
      <c r="A5" s="6" t="s">
        <v>785</v>
      </c>
      <c r="B5" s="7" t="s">
        <v>786</v>
      </c>
      <c r="C5" s="7" t="s">
        <v>52</v>
      </c>
      <c r="D5" s="7" t="s">
        <v>787</v>
      </c>
      <c r="E5" s="7" t="s">
        <v>788</v>
      </c>
      <c r="F5" s="7" t="s">
        <v>789</v>
      </c>
      <c r="G5" s="7" t="s">
        <v>790</v>
      </c>
    </row>
    <row r="6" spans="1:7" ht="40" customHeight="1">
      <c r="A6" s="3" t="s">
        <v>791</v>
      </c>
      <c r="B6" s="4" t="s">
        <v>792</v>
      </c>
      <c r="C6" s="4" t="s">
        <v>793</v>
      </c>
      <c r="D6" s="4" t="s">
        <v>787</v>
      </c>
      <c r="E6" s="4" t="s">
        <v>794</v>
      </c>
      <c r="F6" s="4" t="s">
        <v>789</v>
      </c>
      <c r="G6" s="4" t="s">
        <v>795</v>
      </c>
    </row>
    <row r="7" spans="1:7" ht="40" customHeight="1">
      <c r="A7" s="6" t="s">
        <v>796</v>
      </c>
      <c r="B7" s="7" t="s">
        <v>797</v>
      </c>
      <c r="C7" s="7" t="s">
        <v>793</v>
      </c>
      <c r="D7" s="7" t="s">
        <v>787</v>
      </c>
      <c r="E7" s="7" t="s">
        <v>798</v>
      </c>
      <c r="F7" s="7" t="s">
        <v>789</v>
      </c>
      <c r="G7" s="7" t="s">
        <v>799</v>
      </c>
    </row>
    <row r="8" spans="1:7" ht="130" customHeight="1">
      <c r="A8" s="3" t="s">
        <v>800</v>
      </c>
      <c r="B8" s="4" t="s">
        <v>801</v>
      </c>
      <c r="C8" s="4" t="s">
        <v>793</v>
      </c>
      <c r="D8" s="4" t="s">
        <v>787</v>
      </c>
      <c r="E8" s="4" t="s">
        <v>794</v>
      </c>
      <c r="F8" s="4" t="s">
        <v>789</v>
      </c>
      <c r="G8" s="4" t="s">
        <v>802</v>
      </c>
    </row>
    <row r="9" spans="1:7" ht="145" customHeight="1">
      <c r="A9" s="6" t="s">
        <v>803</v>
      </c>
      <c r="B9" s="7" t="s">
        <v>804</v>
      </c>
      <c r="C9" s="7" t="s">
        <v>793</v>
      </c>
      <c r="D9" s="7" t="s">
        <v>787</v>
      </c>
      <c r="E9" s="7" t="s">
        <v>798</v>
      </c>
      <c r="F9" s="7" t="s">
        <v>789</v>
      </c>
      <c r="G9" s="7" t="s">
        <v>805</v>
      </c>
    </row>
    <row r="10" spans="1:7" ht="70" customHeight="1">
      <c r="A10" s="3" t="s">
        <v>806</v>
      </c>
      <c r="B10" s="4" t="s">
        <v>807</v>
      </c>
      <c r="C10" s="4" t="s">
        <v>52</v>
      </c>
      <c r="D10" s="4" t="s">
        <v>787</v>
      </c>
      <c r="E10" s="4" t="s">
        <v>808</v>
      </c>
      <c r="F10" s="4" t="s">
        <v>789</v>
      </c>
      <c r="G10" s="4" t="s">
        <v>809</v>
      </c>
    </row>
    <row r="11" spans="1:7" ht="40" customHeight="1">
      <c r="A11" s="6" t="s">
        <v>810</v>
      </c>
      <c r="B11" s="7" t="s">
        <v>811</v>
      </c>
      <c r="C11" s="7" t="s">
        <v>812</v>
      </c>
      <c r="D11" s="7" t="s">
        <v>787</v>
      </c>
      <c r="E11" s="7" t="s">
        <v>813</v>
      </c>
      <c r="F11" s="7" t="s">
        <v>789</v>
      </c>
      <c r="G11" s="7" t="s">
        <v>814</v>
      </c>
    </row>
    <row r="12" spans="1:7" ht="40" customHeight="1">
      <c r="A12" s="3" t="s">
        <v>815</v>
      </c>
      <c r="B12" s="4" t="s">
        <v>816</v>
      </c>
      <c r="C12" s="4" t="s">
        <v>817</v>
      </c>
      <c r="D12" s="4" t="s">
        <v>787</v>
      </c>
      <c r="E12" s="4" t="s">
        <v>818</v>
      </c>
      <c r="F12" s="4" t="s">
        <v>789</v>
      </c>
      <c r="G12" s="4" t="s">
        <v>819</v>
      </c>
    </row>
    <row r="13" spans="1:7" ht="40" customHeight="1">
      <c r="A13" s="6" t="s">
        <v>820</v>
      </c>
      <c r="B13" s="7" t="s">
        <v>821</v>
      </c>
      <c r="C13" s="7" t="s">
        <v>812</v>
      </c>
      <c r="D13" s="7" t="s">
        <v>787</v>
      </c>
      <c r="E13" s="7" t="s">
        <v>822</v>
      </c>
      <c r="F13" s="7" t="s">
        <v>789</v>
      </c>
      <c r="G13" s="7" t="s">
        <v>823</v>
      </c>
    </row>
    <row r="14" spans="1:7" ht="40" customHeight="1">
      <c r="A14" s="3" t="s">
        <v>824</v>
      </c>
      <c r="B14" s="4" t="s">
        <v>825</v>
      </c>
      <c r="C14" s="4" t="s">
        <v>826</v>
      </c>
      <c r="D14" s="4" t="s">
        <v>787</v>
      </c>
      <c r="E14" s="4" t="s">
        <v>827</v>
      </c>
      <c r="F14" s="4" t="s">
        <v>789</v>
      </c>
      <c r="G14" s="4" t="s">
        <v>828</v>
      </c>
    </row>
    <row r="15" spans="1:7" ht="40" customHeight="1">
      <c r="A15" s="6" t="s">
        <v>829</v>
      </c>
      <c r="B15" s="7" t="s">
        <v>830</v>
      </c>
      <c r="C15" s="7" t="s">
        <v>831</v>
      </c>
      <c r="D15" s="7" t="s">
        <v>787</v>
      </c>
      <c r="E15" s="7" t="s">
        <v>832</v>
      </c>
      <c r="F15" s="7" t="s">
        <v>789</v>
      </c>
      <c r="G15" s="7" t="s">
        <v>833</v>
      </c>
    </row>
    <row r="16" spans="1:7" ht="40" customHeight="1">
      <c r="A16" s="3" t="s">
        <v>834</v>
      </c>
      <c r="B16" s="4" t="s">
        <v>835</v>
      </c>
      <c r="C16" s="4" t="s">
        <v>836</v>
      </c>
      <c r="D16" s="4" t="s">
        <v>787</v>
      </c>
      <c r="E16" s="4" t="s">
        <v>837</v>
      </c>
      <c r="F16" s="4" t="s">
        <v>789</v>
      </c>
      <c r="G16" s="4" t="s">
        <v>838</v>
      </c>
    </row>
    <row r="17" spans="1:7" ht="40" customHeight="1">
      <c r="A17" s="6" t="s">
        <v>839</v>
      </c>
      <c r="B17" s="7" t="s">
        <v>840</v>
      </c>
      <c r="C17" s="7" t="s">
        <v>52</v>
      </c>
      <c r="D17" s="7" t="s">
        <v>787</v>
      </c>
      <c r="E17" s="7" t="s">
        <v>841</v>
      </c>
      <c r="F17" s="7" t="s">
        <v>789</v>
      </c>
      <c r="G17" s="7" t="s">
        <v>842</v>
      </c>
    </row>
    <row r="18" spans="1:7" ht="40" customHeight="1">
      <c r="A18" s="3" t="s">
        <v>843</v>
      </c>
      <c r="B18" s="4" t="s">
        <v>844</v>
      </c>
      <c r="C18" s="4" t="s">
        <v>52</v>
      </c>
      <c r="D18" s="4" t="s">
        <v>787</v>
      </c>
      <c r="E18" s="4" t="s">
        <v>845</v>
      </c>
      <c r="F18" s="4" t="s">
        <v>789</v>
      </c>
      <c r="G18" s="4" t="s">
        <v>846</v>
      </c>
    </row>
    <row r="19" spans="1:7" ht="55" customHeight="1">
      <c r="A19" s="6" t="s">
        <v>847</v>
      </c>
      <c r="B19" s="7" t="s">
        <v>801</v>
      </c>
      <c r="C19" s="7" t="s">
        <v>793</v>
      </c>
      <c r="D19" s="7" t="s">
        <v>848</v>
      </c>
      <c r="E19" s="7" t="s">
        <v>794</v>
      </c>
      <c r="F19" s="7" t="s">
        <v>789</v>
      </c>
      <c r="G19" s="7" t="s">
        <v>849</v>
      </c>
    </row>
    <row r="20" spans="1:7" ht="55" customHeight="1">
      <c r="A20" s="3" t="s">
        <v>850</v>
      </c>
      <c r="B20" s="4" t="s">
        <v>804</v>
      </c>
      <c r="C20" s="4" t="s">
        <v>793</v>
      </c>
      <c r="D20" s="4" t="s">
        <v>848</v>
      </c>
      <c r="E20" s="4" t="s">
        <v>798</v>
      </c>
      <c r="F20" s="4" t="s">
        <v>789</v>
      </c>
      <c r="G20" s="4" t="s">
        <v>851</v>
      </c>
    </row>
    <row r="21" spans="1:7" ht="40" customHeight="1">
      <c r="A21" s="6" t="s">
        <v>852</v>
      </c>
      <c r="B21" s="7" t="s">
        <v>830</v>
      </c>
      <c r="C21" s="7" t="s">
        <v>831</v>
      </c>
      <c r="D21" s="7" t="s">
        <v>848</v>
      </c>
      <c r="E21" s="7" t="s">
        <v>832</v>
      </c>
      <c r="F21" s="7" t="s">
        <v>789</v>
      </c>
      <c r="G21" s="7" t="s">
        <v>853</v>
      </c>
    </row>
    <row r="22" spans="1:7" ht="55" customHeight="1">
      <c r="A22" s="3" t="s">
        <v>854</v>
      </c>
      <c r="B22" s="4" t="s">
        <v>835</v>
      </c>
      <c r="C22" s="4" t="s">
        <v>836</v>
      </c>
      <c r="D22" s="4" t="s">
        <v>848</v>
      </c>
      <c r="E22" s="4" t="s">
        <v>837</v>
      </c>
      <c r="F22" s="4" t="s">
        <v>789</v>
      </c>
      <c r="G22" s="4" t="s">
        <v>855</v>
      </c>
    </row>
    <row r="23" spans="1:7" ht="55" customHeight="1">
      <c r="A23" s="6" t="s">
        <v>856</v>
      </c>
      <c r="B23" s="7" t="s">
        <v>804</v>
      </c>
      <c r="C23" s="7" t="s">
        <v>793</v>
      </c>
      <c r="D23" s="7" t="s">
        <v>857</v>
      </c>
      <c r="E23" s="7" t="s">
        <v>798</v>
      </c>
      <c r="F23" s="7" t="s">
        <v>789</v>
      </c>
      <c r="G23" s="7" t="s">
        <v>858</v>
      </c>
    </row>
    <row r="24" spans="1:7" ht="100" customHeight="1">
      <c r="A24" s="3" t="s">
        <v>859</v>
      </c>
      <c r="B24" s="4" t="s">
        <v>801</v>
      </c>
      <c r="C24" s="4" t="s">
        <v>793</v>
      </c>
      <c r="D24" s="4" t="s">
        <v>857</v>
      </c>
      <c r="E24" s="4" t="s">
        <v>794</v>
      </c>
      <c r="F24" s="4" t="s">
        <v>789</v>
      </c>
      <c r="G24" s="4" t="s">
        <v>860</v>
      </c>
    </row>
  </sheetData>
  <autoFilter ref="A4:G24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&amp;LSources&amp;RPage &amp;P of &amp;N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3C5658"/>
  </sheetPr>
  <dimension ref="A1:G1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8.7109375" customWidth="1"/>
    <col min="2" max="2" width="20.7109375" customWidth="1"/>
    <col min="3" max="4" width="22.7109375" customWidth="1"/>
    <col min="5" max="5" width="65.7109375" customWidth="1"/>
    <col min="6" max="6" width="70.7109375" customWidth="1"/>
    <col min="7" max="7" width="80.7109375" customWidth="1"/>
  </cols>
  <sheetData>
    <row r="1" spans="1:7" ht="9" customHeight="1"/>
    <row r="2" spans="1:7" ht="42" customHeight="1">
      <c r="A2" s="1" t="s">
        <v>861</v>
      </c>
      <c r="B2" s="1"/>
      <c r="C2" s="1"/>
      <c r="D2" s="1"/>
      <c r="E2" s="1"/>
      <c r="F2" s="1"/>
      <c r="G2" s="8"/>
    </row>
    <row r="3" spans="1:7" ht="30" customHeight="1">
      <c r="A3" s="2" t="s">
        <v>550</v>
      </c>
      <c r="B3" s="2"/>
      <c r="C3" s="2"/>
      <c r="D3" s="2"/>
      <c r="E3" s="2"/>
      <c r="F3" s="2"/>
      <c r="G3" s="8"/>
    </row>
    <row r="4" spans="1:7" ht="34" customHeight="1">
      <c r="A4" s="5" t="s">
        <v>862</v>
      </c>
      <c r="B4" s="5" t="s">
        <v>161</v>
      </c>
      <c r="C4" s="5" t="s">
        <v>145</v>
      </c>
      <c r="D4" s="5" t="s">
        <v>863</v>
      </c>
      <c r="E4" s="5" t="s">
        <v>864</v>
      </c>
      <c r="F4" s="5" t="s">
        <v>865</v>
      </c>
      <c r="G4" s="5" t="s">
        <v>162</v>
      </c>
    </row>
    <row r="5" spans="1:7" ht="40" customHeight="1">
      <c r="A5" s="6" t="s">
        <v>866</v>
      </c>
      <c r="B5" s="7" t="s">
        <v>867</v>
      </c>
      <c r="C5" s="27">
        <v>1874.341</v>
      </c>
      <c r="D5" s="7" t="s">
        <v>68</v>
      </c>
      <c r="E5" s="7" t="s">
        <v>868</v>
      </c>
      <c r="F5" s="7" t="s">
        <v>869</v>
      </c>
      <c r="G5" s="7" t="s">
        <v>870</v>
      </c>
    </row>
    <row r="6" spans="1:7" ht="40" customHeight="1">
      <c r="A6" s="3" t="s">
        <v>871</v>
      </c>
      <c r="B6" s="4" t="s">
        <v>867</v>
      </c>
      <c r="C6" s="28">
        <v>509.27</v>
      </c>
      <c r="D6" s="4" t="s">
        <v>68</v>
      </c>
      <c r="E6" s="4" t="s">
        <v>872</v>
      </c>
      <c r="F6" s="4" t="s">
        <v>873</v>
      </c>
      <c r="G6" s="4" t="s">
        <v>874</v>
      </c>
    </row>
    <row r="7" spans="1:7" ht="40" customHeight="1">
      <c r="A7" s="6" t="s">
        <v>875</v>
      </c>
      <c r="B7" s="7" t="s">
        <v>867</v>
      </c>
      <c r="C7" s="27">
        <v>2066.337</v>
      </c>
      <c r="D7" s="7" t="s">
        <v>68</v>
      </c>
      <c r="E7" s="7" t="s">
        <v>876</v>
      </c>
      <c r="F7" s="7" t="s">
        <v>877</v>
      </c>
      <c r="G7" s="7" t="s">
        <v>878</v>
      </c>
    </row>
    <row r="8" spans="1:7" ht="40" customHeight="1">
      <c r="A8" s="3" t="s">
        <v>879</v>
      </c>
      <c r="B8" s="4" t="s">
        <v>867</v>
      </c>
      <c r="C8" s="28">
        <v>394.5319999999999</v>
      </c>
      <c r="D8" s="4" t="s">
        <v>68</v>
      </c>
      <c r="E8" s="4" t="s">
        <v>880</v>
      </c>
      <c r="F8" s="4" t="s">
        <v>881</v>
      </c>
      <c r="G8" s="4" t="s">
        <v>882</v>
      </c>
    </row>
    <row r="9" spans="1:7" ht="40" customHeight="1">
      <c r="A9" s="6" t="s">
        <v>883</v>
      </c>
      <c r="B9" s="7" t="s">
        <v>867</v>
      </c>
      <c r="C9" s="27">
        <v>305</v>
      </c>
      <c r="D9" s="7" t="s">
        <v>68</v>
      </c>
      <c r="E9" s="7" t="s">
        <v>868</v>
      </c>
      <c r="F9" s="7" t="s">
        <v>884</v>
      </c>
      <c r="G9" s="7" t="s">
        <v>870</v>
      </c>
    </row>
    <row r="10" spans="1:7" ht="40" customHeight="1">
      <c r="A10" s="3" t="s">
        <v>885</v>
      </c>
      <c r="B10" s="4" t="s">
        <v>867</v>
      </c>
      <c r="C10" s="28">
        <v>105</v>
      </c>
      <c r="D10" s="4" t="s">
        <v>68</v>
      </c>
      <c r="E10" s="4" t="s">
        <v>872</v>
      </c>
      <c r="F10" s="4" t="s">
        <v>886</v>
      </c>
      <c r="G10" s="4" t="s">
        <v>874</v>
      </c>
    </row>
    <row r="11" spans="1:7" ht="40" customHeight="1">
      <c r="A11" s="6" t="s">
        <v>887</v>
      </c>
      <c r="B11" s="7" t="s">
        <v>867</v>
      </c>
      <c r="C11" s="27">
        <v>1303</v>
      </c>
      <c r="D11" s="7" t="s">
        <v>68</v>
      </c>
      <c r="E11" s="7" t="s">
        <v>876</v>
      </c>
      <c r="F11" s="7" t="s">
        <v>888</v>
      </c>
      <c r="G11" s="7" t="s">
        <v>878</v>
      </c>
    </row>
    <row r="12" spans="1:7" ht="40" customHeight="1">
      <c r="A12" s="3" t="s">
        <v>889</v>
      </c>
      <c r="B12" s="4" t="s">
        <v>867</v>
      </c>
      <c r="C12" s="28">
        <v>192</v>
      </c>
      <c r="D12" s="4" t="s">
        <v>68</v>
      </c>
      <c r="E12" s="4" t="s">
        <v>880</v>
      </c>
      <c r="F12" s="4" t="s">
        <v>890</v>
      </c>
      <c r="G12" s="4" t="s">
        <v>882</v>
      </c>
    </row>
    <row r="13" spans="1:7" ht="25" customHeight="1">
      <c r="A13" s="6" t="s">
        <v>891</v>
      </c>
      <c r="B13" s="7" t="s">
        <v>867</v>
      </c>
      <c r="C13" s="27">
        <v>0</v>
      </c>
      <c r="D13" s="7" t="s">
        <v>68</v>
      </c>
      <c r="E13" s="7" t="s">
        <v>892</v>
      </c>
      <c r="F13" s="7" t="s">
        <v>893</v>
      </c>
      <c r="G13" s="7" t="s">
        <v>894</v>
      </c>
    </row>
    <row r="14" spans="1:7" ht="40" customHeight="1">
      <c r="A14" s="3" t="s">
        <v>895</v>
      </c>
      <c r="B14" s="4" t="s">
        <v>867</v>
      </c>
      <c r="C14" s="28">
        <v>450</v>
      </c>
      <c r="D14" s="4" t="s">
        <v>68</v>
      </c>
      <c r="E14" s="4" t="s">
        <v>896</v>
      </c>
      <c r="F14" s="4" t="s">
        <v>897</v>
      </c>
      <c r="G14" s="4" t="s">
        <v>898</v>
      </c>
    </row>
    <row r="15" spans="1:7" ht="40" customHeight="1">
      <c r="A15" s="6" t="s">
        <v>899</v>
      </c>
      <c r="B15" s="7" t="s">
        <v>867</v>
      </c>
      <c r="C15" s="27">
        <v>0</v>
      </c>
      <c r="D15" s="7" t="s">
        <v>68</v>
      </c>
      <c r="E15" s="7" t="s">
        <v>900</v>
      </c>
      <c r="F15" s="7" t="s">
        <v>901</v>
      </c>
      <c r="G15" s="7" t="s">
        <v>902</v>
      </c>
    </row>
    <row r="16" spans="1:7" ht="40" customHeight="1">
      <c r="A16" s="3" t="s">
        <v>903</v>
      </c>
      <c r="B16" s="4" t="s">
        <v>867</v>
      </c>
      <c r="C16" s="28">
        <v>2293.453968</v>
      </c>
      <c r="D16" s="4" t="s">
        <v>68</v>
      </c>
      <c r="E16" s="4" t="s">
        <v>904</v>
      </c>
      <c r="F16" s="4" t="s">
        <v>905</v>
      </c>
      <c r="G16" s="4" t="s">
        <v>906</v>
      </c>
    </row>
    <row r="17" spans="1:7" ht="40" customHeight="1">
      <c r="A17" s="6" t="s">
        <v>907</v>
      </c>
      <c r="B17" s="7" t="s">
        <v>867</v>
      </c>
      <c r="C17" s="27">
        <v>11.1614759776</v>
      </c>
      <c r="D17" s="7" t="s">
        <v>908</v>
      </c>
      <c r="E17" s="7" t="s">
        <v>909</v>
      </c>
      <c r="F17" s="7" t="s">
        <v>910</v>
      </c>
      <c r="G17" s="7" t="s">
        <v>911</v>
      </c>
    </row>
    <row r="18" spans="1:7" ht="25" customHeight="1">
      <c r="A18" s="3" t="s">
        <v>912</v>
      </c>
      <c r="B18" s="4" t="s">
        <v>867</v>
      </c>
      <c r="C18" s="28">
        <v>54.375</v>
      </c>
      <c r="D18" s="4" t="s">
        <v>68</v>
      </c>
      <c r="E18" s="4" t="s">
        <v>913</v>
      </c>
      <c r="F18" s="4" t="s">
        <v>914</v>
      </c>
      <c r="G18" s="4" t="s">
        <v>915</v>
      </c>
    </row>
    <row r="19" spans="1:7" ht="25" customHeight="1">
      <c r="A19" s="6" t="s">
        <v>916</v>
      </c>
      <c r="B19" s="7" t="s">
        <v>867</v>
      </c>
      <c r="C19" s="27">
        <v>16</v>
      </c>
      <c r="D19" s="7" t="s">
        <v>68</v>
      </c>
      <c r="E19" s="7" t="s">
        <v>917</v>
      </c>
      <c r="F19" s="7" t="s">
        <v>918</v>
      </c>
      <c r="G19" s="7" t="s">
        <v>919</v>
      </c>
    </row>
  </sheetData>
  <autoFilter ref="A4:G19"/>
  <mergeCells count="2">
    <mergeCell ref="A2:F2"/>
    <mergeCell ref="A3:F3"/>
  </mergeCells>
  <conditionalFormatting sqref="B10">
    <cfRule type="cellIs" dxfId="1" priority="6" operator="equal">
      <formula>"Supported"</formula>
    </cfRule>
  </conditionalFormatting>
  <conditionalFormatting sqref="B11">
    <cfRule type="cellIs" dxfId="1" priority="7" operator="equal">
      <formula>"Supported"</formula>
    </cfRule>
  </conditionalFormatting>
  <conditionalFormatting sqref="B12">
    <cfRule type="cellIs" dxfId="1" priority="8" operator="equal">
      <formula>"Supported"</formula>
    </cfRule>
  </conditionalFormatting>
  <conditionalFormatting sqref="B13">
    <cfRule type="cellIs" dxfId="1" priority="9" operator="equal">
      <formula>"Supported"</formula>
    </cfRule>
  </conditionalFormatting>
  <conditionalFormatting sqref="B14">
    <cfRule type="cellIs" dxfId="1" priority="10" operator="equal">
      <formula>"Supported"</formula>
    </cfRule>
  </conditionalFormatting>
  <conditionalFormatting sqref="B15">
    <cfRule type="cellIs" dxfId="1" priority="11" operator="equal">
      <formula>"Supported"</formula>
    </cfRule>
  </conditionalFormatting>
  <conditionalFormatting sqref="B16">
    <cfRule type="cellIs" dxfId="1" priority="12" operator="equal">
      <formula>"Supported"</formula>
    </cfRule>
  </conditionalFormatting>
  <conditionalFormatting sqref="B17">
    <cfRule type="cellIs" dxfId="1" priority="13" operator="equal">
      <formula>"Supported"</formula>
    </cfRule>
  </conditionalFormatting>
  <conditionalFormatting sqref="B18">
    <cfRule type="cellIs" dxfId="1" priority="14" operator="equal">
      <formula>"Supported"</formula>
    </cfRule>
  </conditionalFormatting>
  <conditionalFormatting sqref="B19">
    <cfRule type="cellIs" dxfId="1" priority="15" operator="equal">
      <formula>"Supported"</formula>
    </cfRule>
  </conditionalFormatting>
  <conditionalFormatting sqref="B5">
    <cfRule type="cellIs" dxfId="1" priority="1" operator="equal">
      <formula>"Supported"</formula>
    </cfRule>
  </conditionalFormatting>
  <conditionalFormatting sqref="B6">
    <cfRule type="cellIs" dxfId="1" priority="2" operator="equal">
      <formula>"Supported"</formula>
    </cfRule>
  </conditionalFormatting>
  <conditionalFormatting sqref="B7">
    <cfRule type="cellIs" dxfId="1" priority="3" operator="equal">
      <formula>"Supported"</formula>
    </cfRule>
  </conditionalFormatting>
  <conditionalFormatting sqref="B8">
    <cfRule type="cellIs" dxfId="1" priority="4" operator="equal">
      <formula>"Supported"</formula>
    </cfRule>
  </conditionalFormatting>
  <conditionalFormatting sqref="B9">
    <cfRule type="cellIs" dxfId="1" priority="5" operator="equal">
      <formula>"Supported"</formula>
    </cfRule>
  </conditionalFormatting>
  <pageMargins left="0.3" right="0.3" top="0.4" bottom="0.4" header="0.3" footer="0.3"/>
  <pageSetup paperSize="9" scale="85" orientation="landscape"/>
  <headerFooter>
    <oddFooter>&amp;LHistorical calculations&amp;RPage &amp;P of &amp;N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>
    <tabColor rgb="FF3C5658"/>
  </sheetPr>
  <dimension ref="A1:J4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2" width="20.7109375" customWidth="1"/>
    <col min="3" max="3" width="28.7109375" customWidth="1"/>
    <col min="4" max="4" width="35.7109375" customWidth="1"/>
    <col min="5" max="5" width="70.7109375" customWidth="1"/>
    <col min="6" max="6" width="85.7109375" customWidth="1"/>
    <col min="7" max="8" width="90.7109375" customWidth="1"/>
    <col min="9" max="9" width="80.7109375" customWidth="1"/>
    <col min="10" max="10" width="90.7109375" customWidth="1"/>
  </cols>
  <sheetData>
    <row r="1" spans="1:10" ht="9" customHeight="1"/>
    <row r="2" spans="1:10" ht="42" customHeight="1">
      <c r="A2" s="1" t="s">
        <v>920</v>
      </c>
      <c r="B2" s="1"/>
      <c r="C2" s="1"/>
      <c r="D2" s="1"/>
      <c r="E2" s="1"/>
      <c r="F2" s="1"/>
      <c r="G2" s="8"/>
      <c r="H2" s="8"/>
      <c r="I2" s="8"/>
      <c r="J2" s="8"/>
    </row>
    <row r="3" spans="1:10" ht="30" customHeight="1">
      <c r="A3" s="2" t="s">
        <v>550</v>
      </c>
      <c r="B3" s="2"/>
      <c r="C3" s="2"/>
      <c r="D3" s="2"/>
      <c r="E3" s="2"/>
      <c r="F3" s="2"/>
      <c r="G3" s="8"/>
      <c r="H3" s="8"/>
      <c r="I3" s="8"/>
      <c r="J3" s="8"/>
    </row>
    <row r="4" spans="1:10" ht="34" customHeight="1">
      <c r="A4" s="5" t="s">
        <v>568</v>
      </c>
      <c r="B4" s="5" t="s">
        <v>161</v>
      </c>
      <c r="C4" s="5" t="s">
        <v>506</v>
      </c>
      <c r="D4" s="5" t="s">
        <v>921</v>
      </c>
      <c r="E4" s="5" t="s">
        <v>572</v>
      </c>
      <c r="F4" s="5" t="s">
        <v>922</v>
      </c>
      <c r="G4" s="5" t="s">
        <v>923</v>
      </c>
      <c r="H4" s="5" t="s">
        <v>924</v>
      </c>
      <c r="I4" s="5" t="s">
        <v>925</v>
      </c>
      <c r="J4" s="5" t="s">
        <v>325</v>
      </c>
    </row>
    <row r="5" spans="1:10" ht="55" customHeight="1">
      <c r="A5" s="6" t="s">
        <v>509</v>
      </c>
      <c r="B5" s="7" t="s">
        <v>926</v>
      </c>
      <c r="C5" s="7" t="s">
        <v>581</v>
      </c>
      <c r="D5" s="7" t="s">
        <v>927</v>
      </c>
      <c r="E5" s="7" t="s">
        <v>512</v>
      </c>
      <c r="F5" s="7" t="s">
        <v>928</v>
      </c>
      <c r="G5" s="7" t="s">
        <v>929</v>
      </c>
      <c r="H5" s="7" t="s">
        <v>930</v>
      </c>
      <c r="I5" s="7" t="s">
        <v>808</v>
      </c>
      <c r="J5" s="7" t="s">
        <v>931</v>
      </c>
    </row>
    <row r="6" spans="1:10" ht="40" customHeight="1">
      <c r="A6" s="3" t="s">
        <v>513</v>
      </c>
      <c r="B6" s="4" t="s">
        <v>926</v>
      </c>
      <c r="C6" s="4" t="s">
        <v>581</v>
      </c>
      <c r="D6" s="4" t="s">
        <v>927</v>
      </c>
      <c r="E6" s="4" t="s">
        <v>515</v>
      </c>
      <c r="F6" s="4" t="s">
        <v>932</v>
      </c>
      <c r="G6" s="4" t="s">
        <v>933</v>
      </c>
      <c r="H6" s="4" t="s">
        <v>934</v>
      </c>
      <c r="I6" s="4" t="s">
        <v>794</v>
      </c>
      <c r="J6" s="4" t="s">
        <v>935</v>
      </c>
    </row>
    <row r="7" spans="1:10" ht="40" customHeight="1">
      <c r="A7" s="6" t="s">
        <v>516</v>
      </c>
      <c r="B7" s="7" t="s">
        <v>926</v>
      </c>
      <c r="C7" s="7" t="s">
        <v>581</v>
      </c>
      <c r="D7" s="7" t="s">
        <v>927</v>
      </c>
      <c r="E7" s="7" t="s">
        <v>515</v>
      </c>
      <c r="F7" s="7" t="s">
        <v>932</v>
      </c>
      <c r="G7" s="7" t="s">
        <v>933</v>
      </c>
      <c r="H7" s="7" t="s">
        <v>934</v>
      </c>
      <c r="I7" s="7" t="s">
        <v>794</v>
      </c>
      <c r="J7" s="7" t="s">
        <v>935</v>
      </c>
    </row>
    <row r="8" spans="1:10" ht="40" customHeight="1">
      <c r="A8" s="3" t="s">
        <v>517</v>
      </c>
      <c r="B8" s="4" t="s">
        <v>926</v>
      </c>
      <c r="C8" s="4" t="s">
        <v>581</v>
      </c>
      <c r="D8" s="4" t="s">
        <v>927</v>
      </c>
      <c r="E8" s="4" t="s">
        <v>515</v>
      </c>
      <c r="F8" s="4" t="s">
        <v>936</v>
      </c>
      <c r="G8" s="4" t="s">
        <v>937</v>
      </c>
      <c r="H8" s="4" t="s">
        <v>930</v>
      </c>
      <c r="I8" s="4" t="s">
        <v>794</v>
      </c>
      <c r="J8" s="4" t="s">
        <v>938</v>
      </c>
    </row>
    <row r="9" spans="1:10" ht="40" customHeight="1">
      <c r="A9" s="6" t="s">
        <v>606</v>
      </c>
      <c r="B9" s="7" t="s">
        <v>939</v>
      </c>
      <c r="C9" s="7" t="s">
        <v>574</v>
      </c>
      <c r="D9" s="7" t="s">
        <v>927</v>
      </c>
      <c r="E9" s="7" t="s">
        <v>522</v>
      </c>
      <c r="F9" s="7" t="s">
        <v>940</v>
      </c>
      <c r="G9" s="7" t="s">
        <v>941</v>
      </c>
      <c r="H9" s="7" t="s">
        <v>930</v>
      </c>
      <c r="I9" s="7" t="s">
        <v>794</v>
      </c>
      <c r="J9" s="7" t="s">
        <v>942</v>
      </c>
    </row>
    <row r="10" spans="1:10" ht="40" customHeight="1">
      <c r="A10" s="3" t="s">
        <v>520</v>
      </c>
      <c r="B10" s="4" t="s">
        <v>926</v>
      </c>
      <c r="C10" s="4" t="s">
        <v>581</v>
      </c>
      <c r="D10" s="4" t="s">
        <v>927</v>
      </c>
      <c r="E10" s="4" t="s">
        <v>522</v>
      </c>
      <c r="F10" s="4" t="s">
        <v>943</v>
      </c>
      <c r="G10" s="4" t="s">
        <v>944</v>
      </c>
      <c r="H10" s="4" t="s">
        <v>930</v>
      </c>
      <c r="I10" s="4" t="s">
        <v>794</v>
      </c>
      <c r="J10" s="4" t="s">
        <v>945</v>
      </c>
    </row>
    <row r="11" spans="1:10" ht="70" customHeight="1">
      <c r="A11" s="6" t="s">
        <v>523</v>
      </c>
      <c r="B11" s="7" t="s">
        <v>926</v>
      </c>
      <c r="C11" s="7" t="s">
        <v>581</v>
      </c>
      <c r="D11" s="7" t="s">
        <v>927</v>
      </c>
      <c r="E11" s="7" t="s">
        <v>525</v>
      </c>
      <c r="F11" s="7" t="s">
        <v>946</v>
      </c>
      <c r="G11" s="7" t="s">
        <v>947</v>
      </c>
      <c r="H11" s="7" t="s">
        <v>930</v>
      </c>
      <c r="I11" s="7" t="s">
        <v>794</v>
      </c>
      <c r="J11" s="7" t="s">
        <v>948</v>
      </c>
    </row>
    <row r="12" spans="1:10" ht="55" customHeight="1">
      <c r="A12" s="3" t="s">
        <v>526</v>
      </c>
      <c r="B12" s="4" t="s">
        <v>926</v>
      </c>
      <c r="C12" s="4" t="s">
        <v>581</v>
      </c>
      <c r="D12" s="4" t="s">
        <v>949</v>
      </c>
      <c r="E12" s="4" t="s">
        <v>527</v>
      </c>
      <c r="F12" s="4" t="s">
        <v>950</v>
      </c>
      <c r="G12" s="4" t="s">
        <v>951</v>
      </c>
      <c r="H12" s="4" t="s">
        <v>930</v>
      </c>
      <c r="I12" s="4" t="s">
        <v>794</v>
      </c>
      <c r="J12" s="4" t="s">
        <v>952</v>
      </c>
    </row>
    <row r="13" spans="1:10" ht="55" customHeight="1">
      <c r="A13" s="6" t="s">
        <v>528</v>
      </c>
      <c r="B13" s="7" t="s">
        <v>926</v>
      </c>
      <c r="C13" s="7" t="s">
        <v>581</v>
      </c>
      <c r="D13" s="7" t="s">
        <v>949</v>
      </c>
      <c r="E13" s="7" t="s">
        <v>527</v>
      </c>
      <c r="F13" s="7" t="s">
        <v>953</v>
      </c>
      <c r="G13" s="7" t="s">
        <v>954</v>
      </c>
      <c r="H13" s="7" t="s">
        <v>930</v>
      </c>
      <c r="I13" s="7" t="s">
        <v>794</v>
      </c>
      <c r="J13" s="7" t="s">
        <v>955</v>
      </c>
    </row>
    <row r="14" spans="1:10" ht="55" customHeight="1">
      <c r="A14" s="3" t="s">
        <v>529</v>
      </c>
      <c r="B14" s="4" t="s">
        <v>926</v>
      </c>
      <c r="C14" s="4" t="s">
        <v>581</v>
      </c>
      <c r="D14" s="4" t="s">
        <v>949</v>
      </c>
      <c r="E14" s="4" t="s">
        <v>527</v>
      </c>
      <c r="F14" s="4" t="s">
        <v>956</v>
      </c>
      <c r="G14" s="4" t="s">
        <v>957</v>
      </c>
      <c r="H14" s="4" t="s">
        <v>930</v>
      </c>
      <c r="I14" s="4" t="s">
        <v>794</v>
      </c>
      <c r="J14" s="4" t="s">
        <v>958</v>
      </c>
    </row>
    <row r="15" spans="1:10" ht="55" customHeight="1">
      <c r="A15" s="6" t="s">
        <v>530</v>
      </c>
      <c r="B15" s="7" t="s">
        <v>926</v>
      </c>
      <c r="C15" s="7" t="s">
        <v>581</v>
      </c>
      <c r="D15" s="7" t="s">
        <v>949</v>
      </c>
      <c r="E15" s="7" t="s">
        <v>527</v>
      </c>
      <c r="F15" s="7" t="s">
        <v>959</v>
      </c>
      <c r="G15" s="7" t="s">
        <v>960</v>
      </c>
      <c r="H15" s="7" t="s">
        <v>930</v>
      </c>
      <c r="I15" s="7" t="s">
        <v>808</v>
      </c>
      <c r="J15" s="7" t="s">
        <v>961</v>
      </c>
    </row>
    <row r="16" spans="1:10" ht="55" customHeight="1">
      <c r="A16" s="3" t="s">
        <v>532</v>
      </c>
      <c r="B16" s="4" t="s">
        <v>926</v>
      </c>
      <c r="C16" s="4" t="s">
        <v>581</v>
      </c>
      <c r="D16" s="4" t="s">
        <v>949</v>
      </c>
      <c r="E16" s="4" t="s">
        <v>527</v>
      </c>
      <c r="F16" s="4" t="s">
        <v>962</v>
      </c>
      <c r="G16" s="4" t="s">
        <v>963</v>
      </c>
      <c r="H16" s="4" t="s">
        <v>964</v>
      </c>
      <c r="I16" s="4" t="s">
        <v>813</v>
      </c>
      <c r="J16" s="4" t="s">
        <v>965</v>
      </c>
    </row>
    <row r="17" spans="1:10" ht="55" customHeight="1">
      <c r="A17" s="6" t="s">
        <v>626</v>
      </c>
      <c r="B17" s="7" t="s">
        <v>939</v>
      </c>
      <c r="C17" s="7" t="s">
        <v>574</v>
      </c>
      <c r="D17" s="7" t="s">
        <v>949</v>
      </c>
      <c r="E17" s="7" t="s">
        <v>527</v>
      </c>
      <c r="F17" s="7" t="s">
        <v>966</v>
      </c>
      <c r="G17" s="7" t="s">
        <v>941</v>
      </c>
      <c r="H17" s="7" t="s">
        <v>930</v>
      </c>
      <c r="I17" s="7" t="s">
        <v>794</v>
      </c>
      <c r="J17" s="7" t="s">
        <v>967</v>
      </c>
    </row>
    <row r="18" spans="1:10" ht="55" customHeight="1">
      <c r="A18" s="3" t="s">
        <v>615</v>
      </c>
      <c r="B18" s="4" t="s">
        <v>939</v>
      </c>
      <c r="C18" s="4" t="s">
        <v>574</v>
      </c>
      <c r="D18" s="4" t="s">
        <v>949</v>
      </c>
      <c r="E18" s="4" t="s">
        <v>527</v>
      </c>
      <c r="F18" s="4" t="s">
        <v>968</v>
      </c>
      <c r="G18" s="4" t="s">
        <v>941</v>
      </c>
      <c r="H18" s="4" t="s">
        <v>969</v>
      </c>
      <c r="I18" s="4" t="s">
        <v>794</v>
      </c>
      <c r="J18" s="4" t="s">
        <v>970</v>
      </c>
    </row>
    <row r="19" spans="1:10" ht="55" customHeight="1">
      <c r="A19" s="6" t="s">
        <v>535</v>
      </c>
      <c r="B19" s="7" t="s">
        <v>926</v>
      </c>
      <c r="C19" s="7" t="s">
        <v>581</v>
      </c>
      <c r="D19" s="7" t="s">
        <v>949</v>
      </c>
      <c r="E19" s="7" t="s">
        <v>527</v>
      </c>
      <c r="F19" s="7" t="s">
        <v>971</v>
      </c>
      <c r="G19" s="7" t="s">
        <v>972</v>
      </c>
      <c r="H19" s="7" t="s">
        <v>930</v>
      </c>
      <c r="I19" s="7" t="s">
        <v>822</v>
      </c>
      <c r="J19" s="7" t="s">
        <v>973</v>
      </c>
    </row>
    <row r="20" spans="1:10" ht="40" customHeight="1">
      <c r="A20" s="3" t="s">
        <v>538</v>
      </c>
      <c r="B20" s="4" t="s">
        <v>926</v>
      </c>
      <c r="C20" s="4" t="s">
        <v>581</v>
      </c>
      <c r="D20" s="4" t="s">
        <v>927</v>
      </c>
      <c r="E20" s="4" t="s">
        <v>515</v>
      </c>
      <c r="F20" s="4" t="s">
        <v>932</v>
      </c>
      <c r="G20" s="4" t="s">
        <v>933</v>
      </c>
      <c r="H20" s="4" t="s">
        <v>934</v>
      </c>
      <c r="I20" s="4" t="s">
        <v>798</v>
      </c>
      <c r="J20" s="4" t="s">
        <v>935</v>
      </c>
    </row>
    <row r="21" spans="1:10" ht="40" customHeight="1">
      <c r="A21" s="6" t="s">
        <v>539</v>
      </c>
      <c r="B21" s="7" t="s">
        <v>926</v>
      </c>
      <c r="C21" s="7" t="s">
        <v>581</v>
      </c>
      <c r="D21" s="7" t="s">
        <v>927</v>
      </c>
      <c r="E21" s="7" t="s">
        <v>515</v>
      </c>
      <c r="F21" s="7" t="s">
        <v>932</v>
      </c>
      <c r="G21" s="7" t="s">
        <v>933</v>
      </c>
      <c r="H21" s="7" t="s">
        <v>934</v>
      </c>
      <c r="I21" s="7" t="s">
        <v>798</v>
      </c>
      <c r="J21" s="7" t="s">
        <v>935</v>
      </c>
    </row>
    <row r="22" spans="1:10" ht="40" customHeight="1">
      <c r="A22" s="3" t="s">
        <v>763</v>
      </c>
      <c r="B22" s="4" t="s">
        <v>939</v>
      </c>
      <c r="C22" s="4" t="s">
        <v>574</v>
      </c>
      <c r="D22" s="4" t="s">
        <v>927</v>
      </c>
      <c r="E22" s="4" t="s">
        <v>515</v>
      </c>
      <c r="F22" s="4" t="s">
        <v>936</v>
      </c>
      <c r="G22" s="4" t="s">
        <v>941</v>
      </c>
      <c r="H22" s="4" t="s">
        <v>930</v>
      </c>
      <c r="I22" s="4" t="s">
        <v>798</v>
      </c>
      <c r="J22" s="4" t="s">
        <v>938</v>
      </c>
    </row>
    <row r="23" spans="1:10" ht="40" customHeight="1">
      <c r="A23" s="6" t="s">
        <v>751</v>
      </c>
      <c r="B23" s="7" t="s">
        <v>939</v>
      </c>
      <c r="C23" s="7" t="s">
        <v>574</v>
      </c>
      <c r="D23" s="7" t="s">
        <v>927</v>
      </c>
      <c r="E23" s="7" t="s">
        <v>522</v>
      </c>
      <c r="F23" s="7" t="s">
        <v>940</v>
      </c>
      <c r="G23" s="7" t="s">
        <v>941</v>
      </c>
      <c r="H23" s="7" t="s">
        <v>930</v>
      </c>
      <c r="I23" s="7" t="s">
        <v>798</v>
      </c>
      <c r="J23" s="7" t="s">
        <v>942</v>
      </c>
    </row>
    <row r="24" spans="1:10" ht="40" customHeight="1">
      <c r="A24" s="3" t="s">
        <v>757</v>
      </c>
      <c r="B24" s="4" t="s">
        <v>939</v>
      </c>
      <c r="C24" s="4" t="s">
        <v>574</v>
      </c>
      <c r="D24" s="4" t="s">
        <v>927</v>
      </c>
      <c r="E24" s="4" t="s">
        <v>522</v>
      </c>
      <c r="F24" s="4" t="s">
        <v>974</v>
      </c>
      <c r="G24" s="4" t="s">
        <v>941</v>
      </c>
      <c r="H24" s="4" t="s">
        <v>930</v>
      </c>
      <c r="I24" s="4" t="s">
        <v>798</v>
      </c>
      <c r="J24" s="4" t="s">
        <v>975</v>
      </c>
    </row>
    <row r="25" spans="1:10" ht="40" customHeight="1">
      <c r="A25" s="6" t="s">
        <v>540</v>
      </c>
      <c r="B25" s="7" t="s">
        <v>926</v>
      </c>
      <c r="C25" s="7" t="s">
        <v>581</v>
      </c>
      <c r="D25" s="7" t="s">
        <v>927</v>
      </c>
      <c r="E25" s="7" t="s">
        <v>522</v>
      </c>
      <c r="F25" s="7" t="s">
        <v>943</v>
      </c>
      <c r="G25" s="7" t="s">
        <v>944</v>
      </c>
      <c r="H25" s="7" t="s">
        <v>930</v>
      </c>
      <c r="I25" s="7" t="s">
        <v>798</v>
      </c>
      <c r="J25" s="7" t="s">
        <v>945</v>
      </c>
    </row>
    <row r="26" spans="1:10" ht="55" customHeight="1">
      <c r="A26" s="3" t="s">
        <v>541</v>
      </c>
      <c r="B26" s="4" t="s">
        <v>926</v>
      </c>
      <c r="C26" s="4" t="s">
        <v>581</v>
      </c>
      <c r="D26" s="4" t="s">
        <v>927</v>
      </c>
      <c r="E26" s="4" t="s">
        <v>525</v>
      </c>
      <c r="F26" s="4" t="s">
        <v>976</v>
      </c>
      <c r="G26" s="4" t="s">
        <v>947</v>
      </c>
      <c r="H26" s="4" t="s">
        <v>930</v>
      </c>
      <c r="I26" s="4" t="s">
        <v>798</v>
      </c>
      <c r="J26" s="4" t="s">
        <v>948</v>
      </c>
    </row>
    <row r="27" spans="1:10" ht="55" customHeight="1">
      <c r="A27" s="6" t="s">
        <v>542</v>
      </c>
      <c r="B27" s="7" t="s">
        <v>926</v>
      </c>
      <c r="C27" s="7" t="s">
        <v>581</v>
      </c>
      <c r="D27" s="7" t="s">
        <v>949</v>
      </c>
      <c r="E27" s="7" t="s">
        <v>527</v>
      </c>
      <c r="F27" s="7" t="s">
        <v>950</v>
      </c>
      <c r="G27" s="7" t="s">
        <v>951</v>
      </c>
      <c r="H27" s="7" t="s">
        <v>930</v>
      </c>
      <c r="I27" s="7" t="s">
        <v>798</v>
      </c>
      <c r="J27" s="7" t="s">
        <v>952</v>
      </c>
    </row>
    <row r="28" spans="1:10" ht="55" customHeight="1">
      <c r="A28" s="3" t="s">
        <v>543</v>
      </c>
      <c r="B28" s="4" t="s">
        <v>926</v>
      </c>
      <c r="C28" s="4" t="s">
        <v>581</v>
      </c>
      <c r="D28" s="4" t="s">
        <v>949</v>
      </c>
      <c r="E28" s="4" t="s">
        <v>527</v>
      </c>
      <c r="F28" s="4" t="s">
        <v>953</v>
      </c>
      <c r="G28" s="4" t="s">
        <v>954</v>
      </c>
      <c r="H28" s="4" t="s">
        <v>930</v>
      </c>
      <c r="I28" s="4" t="s">
        <v>798</v>
      </c>
      <c r="J28" s="4" t="s">
        <v>955</v>
      </c>
    </row>
    <row r="29" spans="1:10" ht="55" customHeight="1">
      <c r="A29" s="6" t="s">
        <v>544</v>
      </c>
      <c r="B29" s="7" t="s">
        <v>926</v>
      </c>
      <c r="C29" s="7" t="s">
        <v>581</v>
      </c>
      <c r="D29" s="7" t="s">
        <v>949</v>
      </c>
      <c r="E29" s="7" t="s">
        <v>527</v>
      </c>
      <c r="F29" s="7" t="s">
        <v>956</v>
      </c>
      <c r="G29" s="7" t="s">
        <v>957</v>
      </c>
      <c r="H29" s="7" t="s">
        <v>930</v>
      </c>
      <c r="I29" s="7" t="s">
        <v>798</v>
      </c>
      <c r="J29" s="7" t="s">
        <v>958</v>
      </c>
    </row>
    <row r="30" spans="1:10" ht="55" customHeight="1">
      <c r="A30" s="3" t="s">
        <v>545</v>
      </c>
      <c r="B30" s="4" t="s">
        <v>926</v>
      </c>
      <c r="C30" s="4" t="s">
        <v>581</v>
      </c>
      <c r="D30" s="4" t="s">
        <v>949</v>
      </c>
      <c r="E30" s="4" t="s">
        <v>527</v>
      </c>
      <c r="F30" s="4" t="s">
        <v>959</v>
      </c>
      <c r="G30" s="4" t="s">
        <v>960</v>
      </c>
      <c r="H30" s="4" t="s">
        <v>930</v>
      </c>
      <c r="I30" s="4" t="s">
        <v>808</v>
      </c>
      <c r="J30" s="4" t="s">
        <v>961</v>
      </c>
    </row>
    <row r="31" spans="1:10" ht="55" customHeight="1">
      <c r="A31" s="6" t="s">
        <v>546</v>
      </c>
      <c r="B31" s="7" t="s">
        <v>926</v>
      </c>
      <c r="C31" s="7" t="s">
        <v>581</v>
      </c>
      <c r="D31" s="7" t="s">
        <v>949</v>
      </c>
      <c r="E31" s="7" t="s">
        <v>527</v>
      </c>
      <c r="F31" s="7" t="s">
        <v>962</v>
      </c>
      <c r="G31" s="7" t="s">
        <v>963</v>
      </c>
      <c r="H31" s="7" t="s">
        <v>964</v>
      </c>
      <c r="I31" s="7" t="s">
        <v>818</v>
      </c>
      <c r="J31" s="7" t="s">
        <v>965</v>
      </c>
    </row>
    <row r="32" spans="1:10" ht="55" customHeight="1">
      <c r="A32" s="3" t="s">
        <v>760</v>
      </c>
      <c r="B32" s="4" t="s">
        <v>939</v>
      </c>
      <c r="C32" s="4" t="s">
        <v>574</v>
      </c>
      <c r="D32" s="4" t="s">
        <v>949</v>
      </c>
      <c r="E32" s="4" t="s">
        <v>527</v>
      </c>
      <c r="F32" s="4" t="s">
        <v>966</v>
      </c>
      <c r="G32" s="4" t="s">
        <v>941</v>
      </c>
      <c r="H32" s="4" t="s">
        <v>930</v>
      </c>
      <c r="I32" s="4" t="s">
        <v>798</v>
      </c>
      <c r="J32" s="4" t="s">
        <v>967</v>
      </c>
    </row>
    <row r="33" spans="1:10" ht="55" customHeight="1">
      <c r="A33" s="6" t="s">
        <v>547</v>
      </c>
      <c r="B33" s="7" t="s">
        <v>926</v>
      </c>
      <c r="C33" s="7" t="s">
        <v>581</v>
      </c>
      <c r="D33" s="7" t="s">
        <v>949</v>
      </c>
      <c r="E33" s="7" t="s">
        <v>527</v>
      </c>
      <c r="F33" s="7" t="s">
        <v>968</v>
      </c>
      <c r="G33" s="7" t="s">
        <v>977</v>
      </c>
      <c r="H33" s="7" t="s">
        <v>969</v>
      </c>
      <c r="I33" s="7" t="s">
        <v>798</v>
      </c>
      <c r="J33" s="7" t="s">
        <v>970</v>
      </c>
    </row>
    <row r="34" spans="1:10" ht="55" customHeight="1">
      <c r="A34" s="3" t="s">
        <v>548</v>
      </c>
      <c r="B34" s="4" t="s">
        <v>926</v>
      </c>
      <c r="C34" s="4" t="s">
        <v>581</v>
      </c>
      <c r="D34" s="4" t="s">
        <v>949</v>
      </c>
      <c r="E34" s="4" t="s">
        <v>527</v>
      </c>
      <c r="F34" s="4" t="s">
        <v>971</v>
      </c>
      <c r="G34" s="4" t="s">
        <v>972</v>
      </c>
      <c r="H34" s="4" t="s">
        <v>930</v>
      </c>
      <c r="I34" s="4" t="s">
        <v>827</v>
      </c>
      <c r="J34" s="4" t="s">
        <v>973</v>
      </c>
    </row>
    <row r="35" spans="1:10" ht="85" customHeight="1">
      <c r="A35" s="6" t="s">
        <v>643</v>
      </c>
      <c r="B35" s="7" t="s">
        <v>939</v>
      </c>
      <c r="C35" s="7" t="s">
        <v>635</v>
      </c>
      <c r="D35" s="7" t="s">
        <v>978</v>
      </c>
      <c r="E35" s="7" t="s">
        <v>638</v>
      </c>
      <c r="F35" s="7" t="s">
        <v>645</v>
      </c>
      <c r="G35" s="7" t="s">
        <v>941</v>
      </c>
      <c r="H35" s="7" t="s">
        <v>979</v>
      </c>
      <c r="I35" s="7" t="s">
        <v>980</v>
      </c>
      <c r="J35" s="7" t="s">
        <v>981</v>
      </c>
    </row>
    <row r="36" spans="1:10" ht="55" customHeight="1">
      <c r="A36" s="3" t="s">
        <v>649</v>
      </c>
      <c r="B36" s="4" t="s">
        <v>939</v>
      </c>
      <c r="C36" s="4" t="s">
        <v>635</v>
      </c>
      <c r="D36" s="4" t="s">
        <v>978</v>
      </c>
      <c r="E36" s="4" t="s">
        <v>638</v>
      </c>
      <c r="F36" s="4" t="s">
        <v>651</v>
      </c>
      <c r="G36" s="4" t="s">
        <v>941</v>
      </c>
      <c r="H36" s="4" t="s">
        <v>979</v>
      </c>
      <c r="I36" s="4" t="s">
        <v>980</v>
      </c>
      <c r="J36" s="4" t="s">
        <v>981</v>
      </c>
    </row>
    <row r="37" spans="1:10" ht="40" customHeight="1">
      <c r="A37" s="6" t="s">
        <v>652</v>
      </c>
      <c r="B37" s="7" t="s">
        <v>939</v>
      </c>
      <c r="C37" s="7" t="s">
        <v>635</v>
      </c>
      <c r="D37" s="7" t="s">
        <v>978</v>
      </c>
      <c r="E37" s="7" t="s">
        <v>638</v>
      </c>
      <c r="F37" s="7" t="s">
        <v>654</v>
      </c>
      <c r="G37" s="7" t="s">
        <v>941</v>
      </c>
      <c r="H37" s="7" t="s">
        <v>979</v>
      </c>
      <c r="I37" s="7" t="s">
        <v>980</v>
      </c>
      <c r="J37" s="7" t="s">
        <v>981</v>
      </c>
    </row>
    <row r="38" spans="1:10" ht="70" customHeight="1">
      <c r="A38" s="3" t="s">
        <v>646</v>
      </c>
      <c r="B38" s="4" t="s">
        <v>939</v>
      </c>
      <c r="C38" s="4" t="s">
        <v>635</v>
      </c>
      <c r="D38" s="4" t="s">
        <v>978</v>
      </c>
      <c r="E38" s="4" t="s">
        <v>638</v>
      </c>
      <c r="F38" s="4" t="s">
        <v>648</v>
      </c>
      <c r="G38" s="4" t="s">
        <v>941</v>
      </c>
      <c r="H38" s="4" t="s">
        <v>979</v>
      </c>
      <c r="I38" s="4" t="s">
        <v>980</v>
      </c>
      <c r="J38" s="4" t="s">
        <v>981</v>
      </c>
    </row>
    <row r="39" spans="1:10" ht="40" customHeight="1">
      <c r="A39" s="6" t="s">
        <v>633</v>
      </c>
      <c r="B39" s="7" t="s">
        <v>939</v>
      </c>
      <c r="C39" s="7" t="s">
        <v>635</v>
      </c>
      <c r="D39" s="7" t="s">
        <v>978</v>
      </c>
      <c r="E39" s="7" t="s">
        <v>638</v>
      </c>
      <c r="F39" s="7" t="s">
        <v>636</v>
      </c>
      <c r="G39" s="7" t="s">
        <v>941</v>
      </c>
      <c r="H39" s="7" t="s">
        <v>979</v>
      </c>
      <c r="I39" s="7" t="s">
        <v>980</v>
      </c>
      <c r="J39" s="7" t="s">
        <v>981</v>
      </c>
    </row>
    <row r="40" spans="1:10" ht="40" customHeight="1">
      <c r="A40" s="3" t="s">
        <v>640</v>
      </c>
      <c r="B40" s="4" t="s">
        <v>939</v>
      </c>
      <c r="C40" s="4" t="s">
        <v>635</v>
      </c>
      <c r="D40" s="4" t="s">
        <v>978</v>
      </c>
      <c r="E40" s="4" t="s">
        <v>638</v>
      </c>
      <c r="F40" s="4" t="s">
        <v>642</v>
      </c>
      <c r="G40" s="4" t="s">
        <v>941</v>
      </c>
      <c r="H40" s="4" t="s">
        <v>979</v>
      </c>
      <c r="I40" s="4" t="s">
        <v>980</v>
      </c>
      <c r="J40" s="4" t="s">
        <v>981</v>
      </c>
    </row>
  </sheetData>
  <autoFilter ref="A4:J40"/>
  <mergeCells count="2">
    <mergeCell ref="A2:F2"/>
    <mergeCell ref="A3:F3"/>
  </mergeCells>
  <conditionalFormatting sqref="C10">
    <cfRule type="cellIs" dxfId="2" priority="6" operator="equal">
      <formula>"missing evidence"</formula>
    </cfRule>
  </conditionalFormatting>
  <conditionalFormatting sqref="C11">
    <cfRule type="cellIs" dxfId="2" priority="7" operator="equal">
      <formula>"missing evidence"</formula>
    </cfRule>
  </conditionalFormatting>
  <conditionalFormatting sqref="C12">
    <cfRule type="cellIs" dxfId="2" priority="8" operator="equal">
      <formula>"missing evidence"</formula>
    </cfRule>
  </conditionalFormatting>
  <conditionalFormatting sqref="C13">
    <cfRule type="cellIs" dxfId="2" priority="9" operator="equal">
      <formula>"missing evidence"</formula>
    </cfRule>
  </conditionalFormatting>
  <conditionalFormatting sqref="C14">
    <cfRule type="cellIs" dxfId="2" priority="10" operator="equal">
      <formula>"missing evidence"</formula>
    </cfRule>
  </conditionalFormatting>
  <conditionalFormatting sqref="C15">
    <cfRule type="cellIs" dxfId="2" priority="11" operator="equal">
      <formula>"missing evidence"</formula>
    </cfRule>
  </conditionalFormatting>
  <conditionalFormatting sqref="C16">
    <cfRule type="cellIs" dxfId="2" priority="12" operator="equal">
      <formula>"missing evidence"</formula>
    </cfRule>
  </conditionalFormatting>
  <conditionalFormatting sqref="C17">
    <cfRule type="cellIs" dxfId="1" priority="13" operator="equal">
      <formula>"verified fact"</formula>
    </cfRule>
  </conditionalFormatting>
  <conditionalFormatting sqref="C18">
    <cfRule type="cellIs" dxfId="1" priority="14" operator="equal">
      <formula>"verified fact"</formula>
    </cfRule>
  </conditionalFormatting>
  <conditionalFormatting sqref="C19">
    <cfRule type="cellIs" dxfId="2" priority="15" operator="equal">
      <formula>"missing evidence"</formula>
    </cfRule>
  </conditionalFormatting>
  <conditionalFormatting sqref="C20">
    <cfRule type="cellIs" dxfId="2" priority="16" operator="equal">
      <formula>"missing evidence"</formula>
    </cfRule>
  </conditionalFormatting>
  <conditionalFormatting sqref="C21">
    <cfRule type="cellIs" dxfId="2" priority="17" operator="equal">
      <formula>"missing evidence"</formula>
    </cfRule>
  </conditionalFormatting>
  <conditionalFormatting sqref="C22">
    <cfRule type="cellIs" dxfId="1" priority="18" operator="equal">
      <formula>"verified fact"</formula>
    </cfRule>
  </conditionalFormatting>
  <conditionalFormatting sqref="C23">
    <cfRule type="cellIs" dxfId="1" priority="19" operator="equal">
      <formula>"verified fact"</formula>
    </cfRule>
  </conditionalFormatting>
  <conditionalFormatting sqref="C24">
    <cfRule type="cellIs" dxfId="1" priority="20" operator="equal">
      <formula>"verified fact"</formula>
    </cfRule>
  </conditionalFormatting>
  <conditionalFormatting sqref="C25">
    <cfRule type="cellIs" dxfId="2" priority="21" operator="equal">
      <formula>"missing evidence"</formula>
    </cfRule>
  </conditionalFormatting>
  <conditionalFormatting sqref="C26">
    <cfRule type="cellIs" dxfId="2" priority="22" operator="equal">
      <formula>"missing evidence"</formula>
    </cfRule>
  </conditionalFormatting>
  <conditionalFormatting sqref="C27">
    <cfRule type="cellIs" dxfId="2" priority="23" operator="equal">
      <formula>"missing evidence"</formula>
    </cfRule>
  </conditionalFormatting>
  <conditionalFormatting sqref="C28">
    <cfRule type="cellIs" dxfId="2" priority="24" operator="equal">
      <formula>"missing evidence"</formula>
    </cfRule>
  </conditionalFormatting>
  <conditionalFormatting sqref="C29">
    <cfRule type="cellIs" dxfId="2" priority="25" operator="equal">
      <formula>"missing evidence"</formula>
    </cfRule>
  </conditionalFormatting>
  <conditionalFormatting sqref="C30">
    <cfRule type="cellIs" dxfId="2" priority="26" operator="equal">
      <formula>"missing evidence"</formula>
    </cfRule>
  </conditionalFormatting>
  <conditionalFormatting sqref="C31">
    <cfRule type="cellIs" dxfId="2" priority="27" operator="equal">
      <formula>"missing evidence"</formula>
    </cfRule>
  </conditionalFormatting>
  <conditionalFormatting sqref="C32">
    <cfRule type="cellIs" dxfId="1" priority="28" operator="equal">
      <formula>"verified fact"</formula>
    </cfRule>
  </conditionalFormatting>
  <conditionalFormatting sqref="C33">
    <cfRule type="cellIs" dxfId="2" priority="29" operator="equal">
      <formula>"missing evidence"</formula>
    </cfRule>
  </conditionalFormatting>
  <conditionalFormatting sqref="C34">
    <cfRule type="cellIs" dxfId="2" priority="30" operator="equal">
      <formula>"missing evidence"</formula>
    </cfRule>
  </conditionalFormatting>
  <conditionalFormatting sqref="C35">
    <cfRule type="cellIs" dxfId="3" priority="31" operator="equal">
      <formula>"explicit modelling assumption"</formula>
    </cfRule>
  </conditionalFormatting>
  <conditionalFormatting sqref="C36">
    <cfRule type="cellIs" dxfId="3" priority="32" operator="equal">
      <formula>"explicit modelling assumption"</formula>
    </cfRule>
  </conditionalFormatting>
  <conditionalFormatting sqref="C37">
    <cfRule type="cellIs" dxfId="3" priority="33" operator="equal">
      <formula>"explicit modelling assumption"</formula>
    </cfRule>
  </conditionalFormatting>
  <conditionalFormatting sqref="C38">
    <cfRule type="cellIs" dxfId="3" priority="34" operator="equal">
      <formula>"explicit modelling assumption"</formula>
    </cfRule>
  </conditionalFormatting>
  <conditionalFormatting sqref="C39">
    <cfRule type="cellIs" dxfId="3" priority="35" operator="equal">
      <formula>"explicit modelling assumption"</formula>
    </cfRule>
  </conditionalFormatting>
  <conditionalFormatting sqref="C40">
    <cfRule type="cellIs" dxfId="3" priority="36" operator="equal">
      <formula>"explicit modelling assumption"</formula>
    </cfRule>
  </conditionalFormatting>
  <conditionalFormatting sqref="C5">
    <cfRule type="cellIs" dxfId="2" priority="1" operator="equal">
      <formula>"missing evidence"</formula>
    </cfRule>
  </conditionalFormatting>
  <conditionalFormatting sqref="C6">
    <cfRule type="cellIs" dxfId="2" priority="2" operator="equal">
      <formula>"missing evidence"</formula>
    </cfRule>
  </conditionalFormatting>
  <conditionalFormatting sqref="C7">
    <cfRule type="cellIs" dxfId="2" priority="3" operator="equal">
      <formula>"missing evidence"</formula>
    </cfRule>
  </conditionalFormatting>
  <conditionalFormatting sqref="C8">
    <cfRule type="cellIs" dxfId="2" priority="4" operator="equal">
      <formula>"missing evidence"</formula>
    </cfRule>
  </conditionalFormatting>
  <conditionalFormatting sqref="C9">
    <cfRule type="cellIs" dxfId="1" priority="5" operator="equal">
      <formula>"verified fact"</formula>
    </cfRule>
  </conditionalFormatting>
  <pageMargins left="0.3" right="0.3" top="0.4" bottom="0.4" header="0.3" footer="0.3"/>
  <pageSetup paperSize="9" scale="85" orientation="landscape"/>
  <headerFooter>
    <oddFooter>&amp;LHistorical gap review&amp;RPage &amp;P of &amp;N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>
  <sheetPr>
    <tabColor rgb="FF3C5658"/>
  </sheetPr>
  <dimension ref="A1:H9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5.7109375" customWidth="1"/>
    <col min="2" max="2" width="22.7109375" customWidth="1"/>
    <col min="3" max="3" width="15.7109375" customWidth="1"/>
    <col min="4" max="7" width="22.7109375" customWidth="1"/>
    <col min="8" max="8" width="90.7109375" customWidth="1"/>
  </cols>
  <sheetData>
    <row r="1" spans="1:8" ht="9" customHeight="1"/>
    <row r="2" spans="1:8" ht="42" customHeight="1">
      <c r="A2" s="1" t="s">
        <v>982</v>
      </c>
      <c r="B2" s="1"/>
      <c r="C2" s="1"/>
      <c r="D2" s="1"/>
      <c r="E2" s="1"/>
      <c r="F2" s="1"/>
      <c r="G2" s="8"/>
      <c r="H2" s="8"/>
    </row>
    <row r="3" spans="1:8" ht="30" customHeight="1">
      <c r="A3" s="2" t="s">
        <v>550</v>
      </c>
      <c r="B3" s="2"/>
      <c r="C3" s="2"/>
      <c r="D3" s="2"/>
      <c r="E3" s="2"/>
      <c r="F3" s="2"/>
      <c r="G3" s="8"/>
      <c r="H3" s="8"/>
    </row>
    <row r="4" spans="1:8" ht="34" customHeight="1">
      <c r="A4" s="5" t="s">
        <v>983</v>
      </c>
      <c r="B4" s="5" t="s">
        <v>105</v>
      </c>
      <c r="C4" s="5" t="s">
        <v>277</v>
      </c>
      <c r="D4" s="5" t="s">
        <v>984</v>
      </c>
      <c r="E4" s="5" t="s">
        <v>985</v>
      </c>
      <c r="F4" s="5" t="s">
        <v>278</v>
      </c>
      <c r="G4" s="5" t="s">
        <v>283</v>
      </c>
      <c r="H4" s="5" t="s">
        <v>156</v>
      </c>
    </row>
    <row r="5" spans="1:8" ht="40" customHeight="1">
      <c r="A5" s="6" t="s">
        <v>986</v>
      </c>
      <c r="B5" s="7" t="s">
        <v>110</v>
      </c>
      <c r="C5" s="23">
        <v>1</v>
      </c>
      <c r="D5" s="21">
        <v>0</v>
      </c>
      <c r="E5" s="21">
        <v>0</v>
      </c>
      <c r="F5" s="9">
        <v>13442.849</v>
      </c>
      <c r="G5" s="9">
        <v>1874.341</v>
      </c>
      <c r="H5" s="7" t="s">
        <v>987</v>
      </c>
    </row>
    <row r="6" spans="1:8" ht="40" customHeight="1">
      <c r="A6" s="3" t="s">
        <v>986</v>
      </c>
      <c r="B6" s="4" t="s">
        <v>110</v>
      </c>
      <c r="C6" s="24">
        <v>2</v>
      </c>
      <c r="D6" s="22">
        <v>0</v>
      </c>
      <c r="E6" s="22">
        <v>0</v>
      </c>
      <c r="F6" s="10">
        <v>13442.849</v>
      </c>
      <c r="G6" s="10">
        <v>1874.341</v>
      </c>
      <c r="H6" s="4" t="s">
        <v>987</v>
      </c>
    </row>
    <row r="7" spans="1:8" ht="40" customHeight="1">
      <c r="A7" s="6" t="s">
        <v>986</v>
      </c>
      <c r="B7" s="7" t="s">
        <v>110</v>
      </c>
      <c r="C7" s="23">
        <v>3</v>
      </c>
      <c r="D7" s="21">
        <v>0</v>
      </c>
      <c r="E7" s="21">
        <v>0</v>
      </c>
      <c r="F7" s="9">
        <v>13442.849</v>
      </c>
      <c r="G7" s="9">
        <v>1874.341</v>
      </c>
      <c r="H7" s="7" t="s">
        <v>987</v>
      </c>
    </row>
    <row r="8" spans="1:8" ht="40" customHeight="1">
      <c r="A8" s="3" t="s">
        <v>986</v>
      </c>
      <c r="B8" s="4" t="s">
        <v>110</v>
      </c>
      <c r="C8" s="24">
        <v>4</v>
      </c>
      <c r="D8" s="22">
        <v>0</v>
      </c>
      <c r="E8" s="22">
        <v>0</v>
      </c>
      <c r="F8" s="10">
        <v>13442.849</v>
      </c>
      <c r="G8" s="10">
        <v>1874.341</v>
      </c>
      <c r="H8" s="4" t="s">
        <v>987</v>
      </c>
    </row>
    <row r="9" spans="1:8" ht="40" customHeight="1">
      <c r="A9" s="6" t="s">
        <v>986</v>
      </c>
      <c r="B9" s="7" t="s">
        <v>110</v>
      </c>
      <c r="C9" s="23">
        <v>5</v>
      </c>
      <c r="D9" s="21">
        <v>0</v>
      </c>
      <c r="E9" s="21">
        <v>0</v>
      </c>
      <c r="F9" s="9">
        <v>13442.849</v>
      </c>
      <c r="G9" s="9">
        <v>1874.341</v>
      </c>
      <c r="H9" s="7" t="s">
        <v>987</v>
      </c>
    </row>
    <row r="10" spans="1:8" ht="40" customHeight="1">
      <c r="A10" s="3" t="s">
        <v>986</v>
      </c>
      <c r="B10" s="4" t="s">
        <v>110</v>
      </c>
      <c r="C10" s="24">
        <v>1</v>
      </c>
      <c r="D10" s="22">
        <v>0</v>
      </c>
      <c r="E10" s="22">
        <v>-0.01</v>
      </c>
      <c r="F10" s="10">
        <v>13442.849</v>
      </c>
      <c r="G10" s="10">
        <v>1739.91251</v>
      </c>
      <c r="H10" s="4" t="s">
        <v>987</v>
      </c>
    </row>
    <row r="11" spans="1:8" ht="40" customHeight="1">
      <c r="A11" s="6" t="s">
        <v>986</v>
      </c>
      <c r="B11" s="7" t="s">
        <v>110</v>
      </c>
      <c r="C11" s="23">
        <v>2</v>
      </c>
      <c r="D11" s="21">
        <v>0</v>
      </c>
      <c r="E11" s="21">
        <v>-0.01</v>
      </c>
      <c r="F11" s="9">
        <v>13442.849</v>
      </c>
      <c r="G11" s="9">
        <v>1739.91251</v>
      </c>
      <c r="H11" s="7" t="s">
        <v>987</v>
      </c>
    </row>
    <row r="12" spans="1:8" ht="40" customHeight="1">
      <c r="A12" s="3" t="s">
        <v>986</v>
      </c>
      <c r="B12" s="4" t="s">
        <v>110</v>
      </c>
      <c r="C12" s="24">
        <v>3</v>
      </c>
      <c r="D12" s="22">
        <v>0</v>
      </c>
      <c r="E12" s="22">
        <v>-0.01</v>
      </c>
      <c r="F12" s="10">
        <v>13442.849</v>
      </c>
      <c r="G12" s="10">
        <v>1739.91251</v>
      </c>
      <c r="H12" s="4" t="s">
        <v>987</v>
      </c>
    </row>
    <row r="13" spans="1:8" ht="40" customHeight="1">
      <c r="A13" s="6" t="s">
        <v>986</v>
      </c>
      <c r="B13" s="7" t="s">
        <v>110</v>
      </c>
      <c r="C13" s="23">
        <v>4</v>
      </c>
      <c r="D13" s="21">
        <v>0</v>
      </c>
      <c r="E13" s="21">
        <v>-0.01</v>
      </c>
      <c r="F13" s="9">
        <v>13442.849</v>
      </c>
      <c r="G13" s="9">
        <v>1739.91251</v>
      </c>
      <c r="H13" s="7" t="s">
        <v>987</v>
      </c>
    </row>
    <row r="14" spans="1:8" ht="40" customHeight="1">
      <c r="A14" s="3" t="s">
        <v>986</v>
      </c>
      <c r="B14" s="4" t="s">
        <v>110</v>
      </c>
      <c r="C14" s="24">
        <v>5</v>
      </c>
      <c r="D14" s="22">
        <v>0</v>
      </c>
      <c r="E14" s="22">
        <v>-0.01</v>
      </c>
      <c r="F14" s="10">
        <v>13442.849</v>
      </c>
      <c r="G14" s="10">
        <v>1739.91251</v>
      </c>
      <c r="H14" s="4" t="s">
        <v>987</v>
      </c>
    </row>
    <row r="15" spans="1:8" ht="40" customHeight="1">
      <c r="A15" s="6" t="s">
        <v>986</v>
      </c>
      <c r="B15" s="7" t="s">
        <v>110</v>
      </c>
      <c r="C15" s="23">
        <v>1</v>
      </c>
      <c r="D15" s="21">
        <v>0</v>
      </c>
      <c r="E15" s="21">
        <v>-0.02</v>
      </c>
      <c r="F15" s="9">
        <v>13442.849</v>
      </c>
      <c r="G15" s="9">
        <v>1605.48402</v>
      </c>
      <c r="H15" s="7" t="s">
        <v>987</v>
      </c>
    </row>
    <row r="16" spans="1:8" ht="40" customHeight="1">
      <c r="A16" s="3" t="s">
        <v>986</v>
      </c>
      <c r="B16" s="4" t="s">
        <v>110</v>
      </c>
      <c r="C16" s="24">
        <v>2</v>
      </c>
      <c r="D16" s="22">
        <v>0</v>
      </c>
      <c r="E16" s="22">
        <v>-0.02</v>
      </c>
      <c r="F16" s="10">
        <v>13442.849</v>
      </c>
      <c r="G16" s="10">
        <v>1605.48402</v>
      </c>
      <c r="H16" s="4" t="s">
        <v>987</v>
      </c>
    </row>
    <row r="17" spans="1:8" ht="40" customHeight="1">
      <c r="A17" s="6" t="s">
        <v>986</v>
      </c>
      <c r="B17" s="7" t="s">
        <v>110</v>
      </c>
      <c r="C17" s="23">
        <v>3</v>
      </c>
      <c r="D17" s="21">
        <v>0</v>
      </c>
      <c r="E17" s="21">
        <v>-0.02</v>
      </c>
      <c r="F17" s="9">
        <v>13442.849</v>
      </c>
      <c r="G17" s="9">
        <v>1605.48402</v>
      </c>
      <c r="H17" s="7" t="s">
        <v>987</v>
      </c>
    </row>
    <row r="18" spans="1:8" ht="40" customHeight="1">
      <c r="A18" s="3" t="s">
        <v>986</v>
      </c>
      <c r="B18" s="4" t="s">
        <v>110</v>
      </c>
      <c r="C18" s="24">
        <v>4</v>
      </c>
      <c r="D18" s="22">
        <v>0</v>
      </c>
      <c r="E18" s="22">
        <v>-0.02</v>
      </c>
      <c r="F18" s="10">
        <v>13442.849</v>
      </c>
      <c r="G18" s="10">
        <v>1605.48402</v>
      </c>
      <c r="H18" s="4" t="s">
        <v>987</v>
      </c>
    </row>
    <row r="19" spans="1:8" ht="40" customHeight="1">
      <c r="A19" s="6" t="s">
        <v>986</v>
      </c>
      <c r="B19" s="7" t="s">
        <v>110</v>
      </c>
      <c r="C19" s="23">
        <v>5</v>
      </c>
      <c r="D19" s="21">
        <v>0</v>
      </c>
      <c r="E19" s="21">
        <v>-0.02</v>
      </c>
      <c r="F19" s="9">
        <v>13442.849</v>
      </c>
      <c r="G19" s="9">
        <v>1605.48402</v>
      </c>
      <c r="H19" s="7" t="s">
        <v>987</v>
      </c>
    </row>
    <row r="20" spans="1:8" ht="40" customHeight="1">
      <c r="A20" s="3" t="s">
        <v>986</v>
      </c>
      <c r="B20" s="4" t="s">
        <v>110</v>
      </c>
      <c r="C20" s="24">
        <v>1</v>
      </c>
      <c r="D20" s="22">
        <v>-0.05</v>
      </c>
      <c r="E20" s="22">
        <v>0</v>
      </c>
      <c r="F20" s="10">
        <v>12770.70655</v>
      </c>
      <c r="G20" s="10">
        <v>1780.62395</v>
      </c>
      <c r="H20" s="4" t="s">
        <v>987</v>
      </c>
    </row>
    <row r="21" spans="1:8" ht="40" customHeight="1">
      <c r="A21" s="6" t="s">
        <v>986</v>
      </c>
      <c r="B21" s="7" t="s">
        <v>110</v>
      </c>
      <c r="C21" s="23">
        <v>2</v>
      </c>
      <c r="D21" s="21">
        <v>-0.05</v>
      </c>
      <c r="E21" s="21">
        <v>0</v>
      </c>
      <c r="F21" s="9">
        <v>12132.1712225</v>
      </c>
      <c r="G21" s="9">
        <v>1691.5927525</v>
      </c>
      <c r="H21" s="7" t="s">
        <v>987</v>
      </c>
    </row>
    <row r="22" spans="1:8" ht="40" customHeight="1">
      <c r="A22" s="3" t="s">
        <v>986</v>
      </c>
      <c r="B22" s="4" t="s">
        <v>110</v>
      </c>
      <c r="C22" s="24">
        <v>3</v>
      </c>
      <c r="D22" s="22">
        <v>-0.05</v>
      </c>
      <c r="E22" s="22">
        <v>0</v>
      </c>
      <c r="F22" s="10">
        <v>11525.562661375</v>
      </c>
      <c r="G22" s="10">
        <v>1607.013114875</v>
      </c>
      <c r="H22" s="4" t="s">
        <v>987</v>
      </c>
    </row>
    <row r="23" spans="1:8" ht="40" customHeight="1">
      <c r="A23" s="6" t="s">
        <v>986</v>
      </c>
      <c r="B23" s="7" t="s">
        <v>110</v>
      </c>
      <c r="C23" s="23">
        <v>4</v>
      </c>
      <c r="D23" s="21">
        <v>-0.05</v>
      </c>
      <c r="E23" s="21">
        <v>0</v>
      </c>
      <c r="F23" s="9">
        <v>10949.28452830625</v>
      </c>
      <c r="G23" s="9">
        <v>1526.66245913125</v>
      </c>
      <c r="H23" s="7" t="s">
        <v>987</v>
      </c>
    </row>
    <row r="24" spans="1:8" ht="40" customHeight="1">
      <c r="A24" s="3" t="s">
        <v>986</v>
      </c>
      <c r="B24" s="4" t="s">
        <v>110</v>
      </c>
      <c r="C24" s="24">
        <v>5</v>
      </c>
      <c r="D24" s="22">
        <v>-0.05</v>
      </c>
      <c r="E24" s="22">
        <v>0</v>
      </c>
      <c r="F24" s="10">
        <v>10401.82030189094</v>
      </c>
      <c r="G24" s="10">
        <v>1450.329336174687</v>
      </c>
      <c r="H24" s="4" t="s">
        <v>987</v>
      </c>
    </row>
    <row r="25" spans="1:8" ht="40" customHeight="1">
      <c r="A25" s="6" t="s">
        <v>986</v>
      </c>
      <c r="B25" s="7" t="s">
        <v>110</v>
      </c>
      <c r="C25" s="23">
        <v>1</v>
      </c>
      <c r="D25" s="21">
        <v>-0.05</v>
      </c>
      <c r="E25" s="21">
        <v>-0.01</v>
      </c>
      <c r="F25" s="9">
        <v>12770.70655</v>
      </c>
      <c r="G25" s="9">
        <v>1652.9168845</v>
      </c>
      <c r="H25" s="7" t="s">
        <v>987</v>
      </c>
    </row>
    <row r="26" spans="1:8" ht="40" customHeight="1">
      <c r="A26" s="3" t="s">
        <v>986</v>
      </c>
      <c r="B26" s="4" t="s">
        <v>110</v>
      </c>
      <c r="C26" s="24">
        <v>2</v>
      </c>
      <c r="D26" s="22">
        <v>-0.05</v>
      </c>
      <c r="E26" s="22">
        <v>-0.01</v>
      </c>
      <c r="F26" s="10">
        <v>12132.1712225</v>
      </c>
      <c r="G26" s="10">
        <v>1570.271040275</v>
      </c>
      <c r="H26" s="4" t="s">
        <v>987</v>
      </c>
    </row>
    <row r="27" spans="1:8" ht="40" customHeight="1">
      <c r="A27" s="6" t="s">
        <v>986</v>
      </c>
      <c r="B27" s="7" t="s">
        <v>110</v>
      </c>
      <c r="C27" s="23">
        <v>3</v>
      </c>
      <c r="D27" s="21">
        <v>-0.05</v>
      </c>
      <c r="E27" s="21">
        <v>-0.01</v>
      </c>
      <c r="F27" s="9">
        <v>11525.562661375</v>
      </c>
      <c r="G27" s="9">
        <v>1491.75748826125</v>
      </c>
      <c r="H27" s="7" t="s">
        <v>987</v>
      </c>
    </row>
    <row r="28" spans="1:8" ht="40" customHeight="1">
      <c r="A28" s="3" t="s">
        <v>986</v>
      </c>
      <c r="B28" s="4" t="s">
        <v>110</v>
      </c>
      <c r="C28" s="24">
        <v>4</v>
      </c>
      <c r="D28" s="22">
        <v>-0.05</v>
      </c>
      <c r="E28" s="22">
        <v>-0.01</v>
      </c>
      <c r="F28" s="10">
        <v>10949.28452830625</v>
      </c>
      <c r="G28" s="10">
        <v>1417.169613848187</v>
      </c>
      <c r="H28" s="4" t="s">
        <v>987</v>
      </c>
    </row>
    <row r="29" spans="1:8" ht="40" customHeight="1">
      <c r="A29" s="6" t="s">
        <v>986</v>
      </c>
      <c r="B29" s="7" t="s">
        <v>110</v>
      </c>
      <c r="C29" s="23">
        <v>5</v>
      </c>
      <c r="D29" s="21">
        <v>-0.05</v>
      </c>
      <c r="E29" s="21">
        <v>-0.01</v>
      </c>
      <c r="F29" s="9">
        <v>10401.82030189094</v>
      </c>
      <c r="G29" s="9">
        <v>1346.311133155778</v>
      </c>
      <c r="H29" s="7" t="s">
        <v>987</v>
      </c>
    </row>
    <row r="30" spans="1:8" ht="40" customHeight="1">
      <c r="A30" s="3" t="s">
        <v>986</v>
      </c>
      <c r="B30" s="4" t="s">
        <v>110</v>
      </c>
      <c r="C30" s="24">
        <v>1</v>
      </c>
      <c r="D30" s="22">
        <v>-0.05</v>
      </c>
      <c r="E30" s="22">
        <v>-0.02</v>
      </c>
      <c r="F30" s="10">
        <v>12770.70655</v>
      </c>
      <c r="G30" s="10">
        <v>1525.209819</v>
      </c>
      <c r="H30" s="4" t="s">
        <v>987</v>
      </c>
    </row>
    <row r="31" spans="1:8" ht="40" customHeight="1">
      <c r="A31" s="6" t="s">
        <v>986</v>
      </c>
      <c r="B31" s="7" t="s">
        <v>110</v>
      </c>
      <c r="C31" s="23">
        <v>2</v>
      </c>
      <c r="D31" s="21">
        <v>-0.05</v>
      </c>
      <c r="E31" s="21">
        <v>-0.02</v>
      </c>
      <c r="F31" s="9">
        <v>12132.1712225</v>
      </c>
      <c r="G31" s="9">
        <v>1448.94932805</v>
      </c>
      <c r="H31" s="7" t="s">
        <v>987</v>
      </c>
    </row>
    <row r="32" spans="1:8" ht="40" customHeight="1">
      <c r="A32" s="3" t="s">
        <v>986</v>
      </c>
      <c r="B32" s="4" t="s">
        <v>110</v>
      </c>
      <c r="C32" s="24">
        <v>3</v>
      </c>
      <c r="D32" s="22">
        <v>-0.05</v>
      </c>
      <c r="E32" s="22">
        <v>-0.02</v>
      </c>
      <c r="F32" s="10">
        <v>11525.562661375</v>
      </c>
      <c r="G32" s="10">
        <v>1376.5018616475</v>
      </c>
      <c r="H32" s="4" t="s">
        <v>987</v>
      </c>
    </row>
    <row r="33" spans="1:8" ht="40" customHeight="1">
      <c r="A33" s="6" t="s">
        <v>986</v>
      </c>
      <c r="B33" s="7" t="s">
        <v>110</v>
      </c>
      <c r="C33" s="23">
        <v>4</v>
      </c>
      <c r="D33" s="21">
        <v>-0.05</v>
      </c>
      <c r="E33" s="21">
        <v>-0.02</v>
      </c>
      <c r="F33" s="9">
        <v>10949.28452830625</v>
      </c>
      <c r="G33" s="9">
        <v>1307.676768565125</v>
      </c>
      <c r="H33" s="7" t="s">
        <v>987</v>
      </c>
    </row>
    <row r="34" spans="1:8" ht="40" customHeight="1">
      <c r="A34" s="3" t="s">
        <v>986</v>
      </c>
      <c r="B34" s="4" t="s">
        <v>110</v>
      </c>
      <c r="C34" s="24">
        <v>5</v>
      </c>
      <c r="D34" s="22">
        <v>-0.05</v>
      </c>
      <c r="E34" s="22">
        <v>-0.02</v>
      </c>
      <c r="F34" s="10">
        <v>10401.82030189094</v>
      </c>
      <c r="G34" s="10">
        <v>1242.292930136869</v>
      </c>
      <c r="H34" s="4" t="s">
        <v>987</v>
      </c>
    </row>
    <row r="35" spans="1:8" ht="40" customHeight="1">
      <c r="A35" s="6" t="s">
        <v>986</v>
      </c>
      <c r="B35" s="7" t="s">
        <v>110</v>
      </c>
      <c r="C35" s="23">
        <v>1</v>
      </c>
      <c r="D35" s="21">
        <v>-0.1</v>
      </c>
      <c r="E35" s="21">
        <v>0</v>
      </c>
      <c r="F35" s="9">
        <v>12098.5641</v>
      </c>
      <c r="G35" s="9">
        <v>1686.9069</v>
      </c>
      <c r="H35" s="7" t="s">
        <v>987</v>
      </c>
    </row>
    <row r="36" spans="1:8" ht="40" customHeight="1">
      <c r="A36" s="3" t="s">
        <v>986</v>
      </c>
      <c r="B36" s="4" t="s">
        <v>110</v>
      </c>
      <c r="C36" s="24">
        <v>2</v>
      </c>
      <c r="D36" s="22">
        <v>-0.1</v>
      </c>
      <c r="E36" s="22">
        <v>0</v>
      </c>
      <c r="F36" s="10">
        <v>10888.70769</v>
      </c>
      <c r="G36" s="10">
        <v>1518.21621</v>
      </c>
      <c r="H36" s="4" t="s">
        <v>987</v>
      </c>
    </row>
    <row r="37" spans="1:8" ht="40" customHeight="1">
      <c r="A37" s="6" t="s">
        <v>986</v>
      </c>
      <c r="B37" s="7" t="s">
        <v>110</v>
      </c>
      <c r="C37" s="23">
        <v>3</v>
      </c>
      <c r="D37" s="21">
        <v>-0.1</v>
      </c>
      <c r="E37" s="21">
        <v>0</v>
      </c>
      <c r="F37" s="9">
        <v>9799.836921000002</v>
      </c>
      <c r="G37" s="9">
        <v>1366.394589</v>
      </c>
      <c r="H37" s="7" t="s">
        <v>987</v>
      </c>
    </row>
    <row r="38" spans="1:8" ht="40" customHeight="1">
      <c r="A38" s="3" t="s">
        <v>986</v>
      </c>
      <c r="B38" s="4" t="s">
        <v>110</v>
      </c>
      <c r="C38" s="24">
        <v>4</v>
      </c>
      <c r="D38" s="22">
        <v>-0.1</v>
      </c>
      <c r="E38" s="22">
        <v>0</v>
      </c>
      <c r="F38" s="10">
        <v>8819.8532289</v>
      </c>
      <c r="G38" s="10">
        <v>1229.7551301</v>
      </c>
      <c r="H38" s="4" t="s">
        <v>987</v>
      </c>
    </row>
    <row r="39" spans="1:8" ht="40" customHeight="1">
      <c r="A39" s="6" t="s">
        <v>986</v>
      </c>
      <c r="B39" s="7" t="s">
        <v>110</v>
      </c>
      <c r="C39" s="23">
        <v>5</v>
      </c>
      <c r="D39" s="21">
        <v>-0.1</v>
      </c>
      <c r="E39" s="21">
        <v>0</v>
      </c>
      <c r="F39" s="9">
        <v>7937.867906010001</v>
      </c>
      <c r="G39" s="9">
        <v>1106.77961709</v>
      </c>
      <c r="H39" s="7" t="s">
        <v>987</v>
      </c>
    </row>
    <row r="40" spans="1:8" ht="40" customHeight="1">
      <c r="A40" s="3" t="s">
        <v>986</v>
      </c>
      <c r="B40" s="4" t="s">
        <v>110</v>
      </c>
      <c r="C40" s="24">
        <v>1</v>
      </c>
      <c r="D40" s="22">
        <v>-0.1</v>
      </c>
      <c r="E40" s="22">
        <v>-0.01</v>
      </c>
      <c r="F40" s="10">
        <v>12098.5641</v>
      </c>
      <c r="G40" s="10">
        <v>1565.921259</v>
      </c>
      <c r="H40" s="4" t="s">
        <v>987</v>
      </c>
    </row>
    <row r="41" spans="1:8" ht="40" customHeight="1">
      <c r="A41" s="6" t="s">
        <v>986</v>
      </c>
      <c r="B41" s="7" t="s">
        <v>110</v>
      </c>
      <c r="C41" s="23">
        <v>2</v>
      </c>
      <c r="D41" s="21">
        <v>-0.1</v>
      </c>
      <c r="E41" s="21">
        <v>-0.01</v>
      </c>
      <c r="F41" s="9">
        <v>10888.70769</v>
      </c>
      <c r="G41" s="9">
        <v>1409.3291331</v>
      </c>
      <c r="H41" s="7" t="s">
        <v>987</v>
      </c>
    </row>
    <row r="42" spans="1:8" ht="40" customHeight="1">
      <c r="A42" s="3" t="s">
        <v>986</v>
      </c>
      <c r="B42" s="4" t="s">
        <v>110</v>
      </c>
      <c r="C42" s="24">
        <v>3</v>
      </c>
      <c r="D42" s="22">
        <v>-0.1</v>
      </c>
      <c r="E42" s="22">
        <v>-0.01</v>
      </c>
      <c r="F42" s="10">
        <v>9799.836921000002</v>
      </c>
      <c r="G42" s="10">
        <v>1268.39621979</v>
      </c>
      <c r="H42" s="4" t="s">
        <v>987</v>
      </c>
    </row>
    <row r="43" spans="1:8" ht="40" customHeight="1">
      <c r="A43" s="6" t="s">
        <v>986</v>
      </c>
      <c r="B43" s="7" t="s">
        <v>110</v>
      </c>
      <c r="C43" s="23">
        <v>4</v>
      </c>
      <c r="D43" s="21">
        <v>-0.1</v>
      </c>
      <c r="E43" s="21">
        <v>-0.01</v>
      </c>
      <c r="F43" s="9">
        <v>8819.8532289</v>
      </c>
      <c r="G43" s="9">
        <v>1141.556597811</v>
      </c>
      <c r="H43" s="7" t="s">
        <v>987</v>
      </c>
    </row>
    <row r="44" spans="1:8" ht="40" customHeight="1">
      <c r="A44" s="3" t="s">
        <v>986</v>
      </c>
      <c r="B44" s="4" t="s">
        <v>110</v>
      </c>
      <c r="C44" s="24">
        <v>5</v>
      </c>
      <c r="D44" s="22">
        <v>-0.1</v>
      </c>
      <c r="E44" s="22">
        <v>-0.01</v>
      </c>
      <c r="F44" s="10">
        <v>7937.867906010001</v>
      </c>
      <c r="G44" s="10">
        <v>1027.4009380299</v>
      </c>
      <c r="H44" s="4" t="s">
        <v>987</v>
      </c>
    </row>
    <row r="45" spans="1:8" ht="40" customHeight="1">
      <c r="A45" s="6" t="s">
        <v>986</v>
      </c>
      <c r="B45" s="7" t="s">
        <v>110</v>
      </c>
      <c r="C45" s="23">
        <v>1</v>
      </c>
      <c r="D45" s="21">
        <v>-0.1</v>
      </c>
      <c r="E45" s="21">
        <v>-0.02</v>
      </c>
      <c r="F45" s="9">
        <v>12098.5641</v>
      </c>
      <c r="G45" s="9">
        <v>1444.935618</v>
      </c>
      <c r="H45" s="7" t="s">
        <v>987</v>
      </c>
    </row>
    <row r="46" spans="1:8" ht="40" customHeight="1">
      <c r="A46" s="3" t="s">
        <v>986</v>
      </c>
      <c r="B46" s="4" t="s">
        <v>110</v>
      </c>
      <c r="C46" s="24">
        <v>2</v>
      </c>
      <c r="D46" s="22">
        <v>-0.1</v>
      </c>
      <c r="E46" s="22">
        <v>-0.02</v>
      </c>
      <c r="F46" s="10">
        <v>10888.70769</v>
      </c>
      <c r="G46" s="10">
        <v>1300.4420562</v>
      </c>
      <c r="H46" s="4" t="s">
        <v>987</v>
      </c>
    </row>
    <row r="47" spans="1:8" ht="40" customHeight="1">
      <c r="A47" s="6" t="s">
        <v>986</v>
      </c>
      <c r="B47" s="7" t="s">
        <v>110</v>
      </c>
      <c r="C47" s="23">
        <v>3</v>
      </c>
      <c r="D47" s="21">
        <v>-0.1</v>
      </c>
      <c r="E47" s="21">
        <v>-0.02</v>
      </c>
      <c r="F47" s="9">
        <v>9799.836921000002</v>
      </c>
      <c r="G47" s="9">
        <v>1170.39785058</v>
      </c>
      <c r="H47" s="7" t="s">
        <v>987</v>
      </c>
    </row>
    <row r="48" spans="1:8" ht="40" customHeight="1">
      <c r="A48" s="3" t="s">
        <v>986</v>
      </c>
      <c r="B48" s="4" t="s">
        <v>110</v>
      </c>
      <c r="C48" s="24">
        <v>4</v>
      </c>
      <c r="D48" s="22">
        <v>-0.1</v>
      </c>
      <c r="E48" s="22">
        <v>-0.02</v>
      </c>
      <c r="F48" s="10">
        <v>8819.8532289</v>
      </c>
      <c r="G48" s="10">
        <v>1053.358065522</v>
      </c>
      <c r="H48" s="4" t="s">
        <v>987</v>
      </c>
    </row>
    <row r="49" spans="1:8" ht="40" customHeight="1">
      <c r="A49" s="6" t="s">
        <v>986</v>
      </c>
      <c r="B49" s="7" t="s">
        <v>110</v>
      </c>
      <c r="C49" s="23">
        <v>5</v>
      </c>
      <c r="D49" s="21">
        <v>-0.1</v>
      </c>
      <c r="E49" s="21">
        <v>-0.02</v>
      </c>
      <c r="F49" s="9">
        <v>7937.867906010001</v>
      </c>
      <c r="G49" s="9">
        <v>948.0222589698001</v>
      </c>
      <c r="H49" s="7" t="s">
        <v>987</v>
      </c>
    </row>
    <row r="50" spans="1:8" ht="40" customHeight="1">
      <c r="A50" s="3" t="s">
        <v>986</v>
      </c>
      <c r="B50" s="4" t="s">
        <v>114</v>
      </c>
      <c r="C50" s="24">
        <v>1</v>
      </c>
      <c r="D50" s="22">
        <v>0</v>
      </c>
      <c r="E50" s="22">
        <v>0</v>
      </c>
      <c r="F50" s="10">
        <v>7988</v>
      </c>
      <c r="G50" s="10">
        <v>305</v>
      </c>
      <c r="H50" s="4" t="s">
        <v>987</v>
      </c>
    </row>
    <row r="51" spans="1:8" ht="40" customHeight="1">
      <c r="A51" s="6" t="s">
        <v>986</v>
      </c>
      <c r="B51" s="7" t="s">
        <v>114</v>
      </c>
      <c r="C51" s="23">
        <v>2</v>
      </c>
      <c r="D51" s="21">
        <v>0</v>
      </c>
      <c r="E51" s="21">
        <v>0</v>
      </c>
      <c r="F51" s="9">
        <v>7988</v>
      </c>
      <c r="G51" s="9">
        <v>305</v>
      </c>
      <c r="H51" s="7" t="s">
        <v>987</v>
      </c>
    </row>
    <row r="52" spans="1:8" ht="40" customHeight="1">
      <c r="A52" s="3" t="s">
        <v>986</v>
      </c>
      <c r="B52" s="4" t="s">
        <v>114</v>
      </c>
      <c r="C52" s="24">
        <v>3</v>
      </c>
      <c r="D52" s="22">
        <v>0</v>
      </c>
      <c r="E52" s="22">
        <v>0</v>
      </c>
      <c r="F52" s="10">
        <v>7988</v>
      </c>
      <c r="G52" s="10">
        <v>305</v>
      </c>
      <c r="H52" s="4" t="s">
        <v>987</v>
      </c>
    </row>
    <row r="53" spans="1:8" ht="40" customHeight="1">
      <c r="A53" s="6" t="s">
        <v>986</v>
      </c>
      <c r="B53" s="7" t="s">
        <v>114</v>
      </c>
      <c r="C53" s="23">
        <v>4</v>
      </c>
      <c r="D53" s="21">
        <v>0</v>
      </c>
      <c r="E53" s="21">
        <v>0</v>
      </c>
      <c r="F53" s="9">
        <v>7988</v>
      </c>
      <c r="G53" s="9">
        <v>305</v>
      </c>
      <c r="H53" s="7" t="s">
        <v>987</v>
      </c>
    </row>
    <row r="54" spans="1:8" ht="40" customHeight="1">
      <c r="A54" s="3" t="s">
        <v>986</v>
      </c>
      <c r="B54" s="4" t="s">
        <v>114</v>
      </c>
      <c r="C54" s="24">
        <v>5</v>
      </c>
      <c r="D54" s="22">
        <v>0</v>
      </c>
      <c r="E54" s="22">
        <v>0</v>
      </c>
      <c r="F54" s="10">
        <v>7988</v>
      </c>
      <c r="G54" s="10">
        <v>305</v>
      </c>
      <c r="H54" s="4" t="s">
        <v>987</v>
      </c>
    </row>
    <row r="55" spans="1:8" ht="40" customHeight="1">
      <c r="A55" s="6" t="s">
        <v>986</v>
      </c>
      <c r="B55" s="7" t="s">
        <v>114</v>
      </c>
      <c r="C55" s="23">
        <v>1</v>
      </c>
      <c r="D55" s="21">
        <v>0</v>
      </c>
      <c r="E55" s="21">
        <v>-0.01</v>
      </c>
      <c r="F55" s="9">
        <v>7988</v>
      </c>
      <c r="G55" s="9">
        <v>225.12</v>
      </c>
      <c r="H55" s="7" t="s">
        <v>987</v>
      </c>
    </row>
    <row r="56" spans="1:8" ht="40" customHeight="1">
      <c r="A56" s="3" t="s">
        <v>986</v>
      </c>
      <c r="B56" s="4" t="s">
        <v>114</v>
      </c>
      <c r="C56" s="24">
        <v>2</v>
      </c>
      <c r="D56" s="22">
        <v>0</v>
      </c>
      <c r="E56" s="22">
        <v>-0.01</v>
      </c>
      <c r="F56" s="10">
        <v>7988</v>
      </c>
      <c r="G56" s="10">
        <v>225.12</v>
      </c>
      <c r="H56" s="4" t="s">
        <v>987</v>
      </c>
    </row>
    <row r="57" spans="1:8" ht="40" customHeight="1">
      <c r="A57" s="6" t="s">
        <v>986</v>
      </c>
      <c r="B57" s="7" t="s">
        <v>114</v>
      </c>
      <c r="C57" s="23">
        <v>3</v>
      </c>
      <c r="D57" s="21">
        <v>0</v>
      </c>
      <c r="E57" s="21">
        <v>-0.01</v>
      </c>
      <c r="F57" s="9">
        <v>7988</v>
      </c>
      <c r="G57" s="9">
        <v>225.12</v>
      </c>
      <c r="H57" s="7" t="s">
        <v>987</v>
      </c>
    </row>
    <row r="58" spans="1:8" ht="40" customHeight="1">
      <c r="A58" s="3" t="s">
        <v>986</v>
      </c>
      <c r="B58" s="4" t="s">
        <v>114</v>
      </c>
      <c r="C58" s="24">
        <v>4</v>
      </c>
      <c r="D58" s="22">
        <v>0</v>
      </c>
      <c r="E58" s="22">
        <v>-0.01</v>
      </c>
      <c r="F58" s="10">
        <v>7988</v>
      </c>
      <c r="G58" s="10">
        <v>225.12</v>
      </c>
      <c r="H58" s="4" t="s">
        <v>987</v>
      </c>
    </row>
    <row r="59" spans="1:8" ht="40" customHeight="1">
      <c r="A59" s="6" t="s">
        <v>986</v>
      </c>
      <c r="B59" s="7" t="s">
        <v>114</v>
      </c>
      <c r="C59" s="23">
        <v>5</v>
      </c>
      <c r="D59" s="21">
        <v>0</v>
      </c>
      <c r="E59" s="21">
        <v>-0.01</v>
      </c>
      <c r="F59" s="9">
        <v>7988</v>
      </c>
      <c r="G59" s="9">
        <v>225.12</v>
      </c>
      <c r="H59" s="7" t="s">
        <v>987</v>
      </c>
    </row>
    <row r="60" spans="1:8" ht="40" customHeight="1">
      <c r="A60" s="3" t="s">
        <v>986</v>
      </c>
      <c r="B60" s="4" t="s">
        <v>114</v>
      </c>
      <c r="C60" s="24">
        <v>1</v>
      </c>
      <c r="D60" s="22">
        <v>0</v>
      </c>
      <c r="E60" s="22">
        <v>-0.02</v>
      </c>
      <c r="F60" s="10">
        <v>7988</v>
      </c>
      <c r="G60" s="10">
        <v>145.24</v>
      </c>
      <c r="H60" s="4" t="s">
        <v>987</v>
      </c>
    </row>
    <row r="61" spans="1:8" ht="40" customHeight="1">
      <c r="A61" s="6" t="s">
        <v>986</v>
      </c>
      <c r="B61" s="7" t="s">
        <v>114</v>
      </c>
      <c r="C61" s="23">
        <v>2</v>
      </c>
      <c r="D61" s="21">
        <v>0</v>
      </c>
      <c r="E61" s="21">
        <v>-0.02</v>
      </c>
      <c r="F61" s="9">
        <v>7988</v>
      </c>
      <c r="G61" s="9">
        <v>145.24</v>
      </c>
      <c r="H61" s="7" t="s">
        <v>987</v>
      </c>
    </row>
    <row r="62" spans="1:8" ht="40" customHeight="1">
      <c r="A62" s="3" t="s">
        <v>986</v>
      </c>
      <c r="B62" s="4" t="s">
        <v>114</v>
      </c>
      <c r="C62" s="24">
        <v>3</v>
      </c>
      <c r="D62" s="22">
        <v>0</v>
      </c>
      <c r="E62" s="22">
        <v>-0.02</v>
      </c>
      <c r="F62" s="10">
        <v>7988</v>
      </c>
      <c r="G62" s="10">
        <v>145.24</v>
      </c>
      <c r="H62" s="4" t="s">
        <v>987</v>
      </c>
    </row>
    <row r="63" spans="1:8" ht="40" customHeight="1">
      <c r="A63" s="6" t="s">
        <v>986</v>
      </c>
      <c r="B63" s="7" t="s">
        <v>114</v>
      </c>
      <c r="C63" s="23">
        <v>4</v>
      </c>
      <c r="D63" s="21">
        <v>0</v>
      </c>
      <c r="E63" s="21">
        <v>-0.02</v>
      </c>
      <c r="F63" s="9">
        <v>7988</v>
      </c>
      <c r="G63" s="9">
        <v>145.24</v>
      </c>
      <c r="H63" s="7" t="s">
        <v>987</v>
      </c>
    </row>
    <row r="64" spans="1:8" ht="40" customHeight="1">
      <c r="A64" s="3" t="s">
        <v>986</v>
      </c>
      <c r="B64" s="4" t="s">
        <v>114</v>
      </c>
      <c r="C64" s="24">
        <v>5</v>
      </c>
      <c r="D64" s="22">
        <v>0</v>
      </c>
      <c r="E64" s="22">
        <v>-0.02</v>
      </c>
      <c r="F64" s="10">
        <v>7988</v>
      </c>
      <c r="G64" s="10">
        <v>145.24</v>
      </c>
      <c r="H64" s="4" t="s">
        <v>987</v>
      </c>
    </row>
    <row r="65" spans="1:8" ht="40" customHeight="1">
      <c r="A65" s="6" t="s">
        <v>986</v>
      </c>
      <c r="B65" s="7" t="s">
        <v>114</v>
      </c>
      <c r="C65" s="23">
        <v>1</v>
      </c>
      <c r="D65" s="21">
        <v>-0.05</v>
      </c>
      <c r="E65" s="21">
        <v>0</v>
      </c>
      <c r="F65" s="9">
        <v>7588.599999999999</v>
      </c>
      <c r="G65" s="9">
        <v>289.75</v>
      </c>
      <c r="H65" s="7" t="s">
        <v>987</v>
      </c>
    </row>
    <row r="66" spans="1:8" ht="40" customHeight="1">
      <c r="A66" s="3" t="s">
        <v>986</v>
      </c>
      <c r="B66" s="4" t="s">
        <v>114</v>
      </c>
      <c r="C66" s="24">
        <v>2</v>
      </c>
      <c r="D66" s="22">
        <v>-0.05</v>
      </c>
      <c r="E66" s="22">
        <v>0</v>
      </c>
      <c r="F66" s="10">
        <v>7209.17</v>
      </c>
      <c r="G66" s="10">
        <v>275.2625</v>
      </c>
      <c r="H66" s="4" t="s">
        <v>987</v>
      </c>
    </row>
    <row r="67" spans="1:8" ht="40" customHeight="1">
      <c r="A67" s="6" t="s">
        <v>986</v>
      </c>
      <c r="B67" s="7" t="s">
        <v>114</v>
      </c>
      <c r="C67" s="23">
        <v>3</v>
      </c>
      <c r="D67" s="21">
        <v>-0.05</v>
      </c>
      <c r="E67" s="21">
        <v>0</v>
      </c>
      <c r="F67" s="9">
        <v>6848.711499999999</v>
      </c>
      <c r="G67" s="9">
        <v>261.499375</v>
      </c>
      <c r="H67" s="7" t="s">
        <v>987</v>
      </c>
    </row>
    <row r="68" spans="1:8" ht="40" customHeight="1">
      <c r="A68" s="3" t="s">
        <v>986</v>
      </c>
      <c r="B68" s="4" t="s">
        <v>114</v>
      </c>
      <c r="C68" s="24">
        <v>4</v>
      </c>
      <c r="D68" s="22">
        <v>-0.05</v>
      </c>
      <c r="E68" s="22">
        <v>0</v>
      </c>
      <c r="F68" s="10">
        <v>6506.275924999999</v>
      </c>
      <c r="G68" s="10">
        <v>248.42440625</v>
      </c>
      <c r="H68" s="4" t="s">
        <v>987</v>
      </c>
    </row>
    <row r="69" spans="1:8" ht="40" customHeight="1">
      <c r="A69" s="6" t="s">
        <v>986</v>
      </c>
      <c r="B69" s="7" t="s">
        <v>114</v>
      </c>
      <c r="C69" s="23">
        <v>5</v>
      </c>
      <c r="D69" s="21">
        <v>-0.05</v>
      </c>
      <c r="E69" s="21">
        <v>0</v>
      </c>
      <c r="F69" s="9">
        <v>6180.962128749999</v>
      </c>
      <c r="G69" s="9">
        <v>236.0031859374999</v>
      </c>
      <c r="H69" s="7" t="s">
        <v>987</v>
      </c>
    </row>
    <row r="70" spans="1:8" ht="40" customHeight="1">
      <c r="A70" s="3" t="s">
        <v>986</v>
      </c>
      <c r="B70" s="4" t="s">
        <v>114</v>
      </c>
      <c r="C70" s="24">
        <v>1</v>
      </c>
      <c r="D70" s="22">
        <v>-0.05</v>
      </c>
      <c r="E70" s="22">
        <v>-0.01</v>
      </c>
      <c r="F70" s="10">
        <v>7588.599999999999</v>
      </c>
      <c r="G70" s="10">
        <v>213.864</v>
      </c>
      <c r="H70" s="4" t="s">
        <v>987</v>
      </c>
    </row>
    <row r="71" spans="1:8" ht="40" customHeight="1">
      <c r="A71" s="6" t="s">
        <v>986</v>
      </c>
      <c r="B71" s="7" t="s">
        <v>114</v>
      </c>
      <c r="C71" s="23">
        <v>2</v>
      </c>
      <c r="D71" s="21">
        <v>-0.05</v>
      </c>
      <c r="E71" s="21">
        <v>-0.01</v>
      </c>
      <c r="F71" s="9">
        <v>7209.17</v>
      </c>
      <c r="G71" s="9">
        <v>203.1708</v>
      </c>
      <c r="H71" s="7" t="s">
        <v>987</v>
      </c>
    </row>
    <row r="72" spans="1:8" ht="40" customHeight="1">
      <c r="A72" s="3" t="s">
        <v>986</v>
      </c>
      <c r="B72" s="4" t="s">
        <v>114</v>
      </c>
      <c r="C72" s="24">
        <v>3</v>
      </c>
      <c r="D72" s="22">
        <v>-0.05</v>
      </c>
      <c r="E72" s="22">
        <v>-0.01</v>
      </c>
      <c r="F72" s="10">
        <v>6848.711499999999</v>
      </c>
      <c r="G72" s="10">
        <v>193.01226</v>
      </c>
      <c r="H72" s="4" t="s">
        <v>987</v>
      </c>
    </row>
    <row r="73" spans="1:8" ht="40" customHeight="1">
      <c r="A73" s="6" t="s">
        <v>986</v>
      </c>
      <c r="B73" s="7" t="s">
        <v>114</v>
      </c>
      <c r="C73" s="23">
        <v>4</v>
      </c>
      <c r="D73" s="21">
        <v>-0.05</v>
      </c>
      <c r="E73" s="21">
        <v>-0.01</v>
      </c>
      <c r="F73" s="9">
        <v>6506.275924999999</v>
      </c>
      <c r="G73" s="9">
        <v>183.361647</v>
      </c>
      <c r="H73" s="7" t="s">
        <v>987</v>
      </c>
    </row>
    <row r="74" spans="1:8" ht="40" customHeight="1">
      <c r="A74" s="3" t="s">
        <v>986</v>
      </c>
      <c r="B74" s="4" t="s">
        <v>114</v>
      </c>
      <c r="C74" s="24">
        <v>5</v>
      </c>
      <c r="D74" s="22">
        <v>-0.05</v>
      </c>
      <c r="E74" s="22">
        <v>-0.01</v>
      </c>
      <c r="F74" s="10">
        <v>6180.962128749999</v>
      </c>
      <c r="G74" s="10">
        <v>174.19356465</v>
      </c>
      <c r="H74" s="4" t="s">
        <v>987</v>
      </c>
    </row>
    <row r="75" spans="1:8" ht="40" customHeight="1">
      <c r="A75" s="6" t="s">
        <v>986</v>
      </c>
      <c r="B75" s="7" t="s">
        <v>114</v>
      </c>
      <c r="C75" s="23">
        <v>1</v>
      </c>
      <c r="D75" s="21">
        <v>-0.05</v>
      </c>
      <c r="E75" s="21">
        <v>-0.02</v>
      </c>
      <c r="F75" s="9">
        <v>7588.599999999999</v>
      </c>
      <c r="G75" s="9">
        <v>137.978</v>
      </c>
      <c r="H75" s="7" t="s">
        <v>987</v>
      </c>
    </row>
    <row r="76" spans="1:8" ht="40" customHeight="1">
      <c r="A76" s="3" t="s">
        <v>986</v>
      </c>
      <c r="B76" s="4" t="s">
        <v>114</v>
      </c>
      <c r="C76" s="24">
        <v>2</v>
      </c>
      <c r="D76" s="22">
        <v>-0.05</v>
      </c>
      <c r="E76" s="22">
        <v>-0.02</v>
      </c>
      <c r="F76" s="10">
        <v>7209.17</v>
      </c>
      <c r="G76" s="10">
        <v>131.0791</v>
      </c>
      <c r="H76" s="4" t="s">
        <v>987</v>
      </c>
    </row>
    <row r="77" spans="1:8" ht="40" customHeight="1">
      <c r="A77" s="6" t="s">
        <v>986</v>
      </c>
      <c r="B77" s="7" t="s">
        <v>114</v>
      </c>
      <c r="C77" s="23">
        <v>3</v>
      </c>
      <c r="D77" s="21">
        <v>-0.05</v>
      </c>
      <c r="E77" s="21">
        <v>-0.02</v>
      </c>
      <c r="F77" s="9">
        <v>6848.711499999999</v>
      </c>
      <c r="G77" s="9">
        <v>124.525145</v>
      </c>
      <c r="H77" s="7" t="s">
        <v>987</v>
      </c>
    </row>
    <row r="78" spans="1:8" ht="40" customHeight="1">
      <c r="A78" s="3" t="s">
        <v>986</v>
      </c>
      <c r="B78" s="4" t="s">
        <v>114</v>
      </c>
      <c r="C78" s="24">
        <v>4</v>
      </c>
      <c r="D78" s="22">
        <v>-0.05</v>
      </c>
      <c r="E78" s="22">
        <v>-0.02</v>
      </c>
      <c r="F78" s="10">
        <v>6506.275924999999</v>
      </c>
      <c r="G78" s="10">
        <v>118.29888775</v>
      </c>
      <c r="H78" s="4" t="s">
        <v>987</v>
      </c>
    </row>
    <row r="79" spans="1:8" ht="40" customHeight="1">
      <c r="A79" s="6" t="s">
        <v>986</v>
      </c>
      <c r="B79" s="7" t="s">
        <v>114</v>
      </c>
      <c r="C79" s="23">
        <v>5</v>
      </c>
      <c r="D79" s="21">
        <v>-0.05</v>
      </c>
      <c r="E79" s="21">
        <v>-0.02</v>
      </c>
      <c r="F79" s="9">
        <v>6180.962128749999</v>
      </c>
      <c r="G79" s="9">
        <v>112.3839433625</v>
      </c>
      <c r="H79" s="7" t="s">
        <v>987</v>
      </c>
    </row>
    <row r="80" spans="1:8" ht="40" customHeight="1">
      <c r="A80" s="3" t="s">
        <v>986</v>
      </c>
      <c r="B80" s="4" t="s">
        <v>114</v>
      </c>
      <c r="C80" s="24">
        <v>1</v>
      </c>
      <c r="D80" s="22">
        <v>-0.1</v>
      </c>
      <c r="E80" s="22">
        <v>0</v>
      </c>
      <c r="F80" s="10">
        <v>7189.2</v>
      </c>
      <c r="G80" s="10">
        <v>274.5</v>
      </c>
      <c r="H80" s="4" t="s">
        <v>987</v>
      </c>
    </row>
    <row r="81" spans="1:8" ht="40" customHeight="1">
      <c r="A81" s="6" t="s">
        <v>986</v>
      </c>
      <c r="B81" s="7" t="s">
        <v>114</v>
      </c>
      <c r="C81" s="23">
        <v>2</v>
      </c>
      <c r="D81" s="21">
        <v>-0.1</v>
      </c>
      <c r="E81" s="21">
        <v>0</v>
      </c>
      <c r="F81" s="9">
        <v>6470.280000000001</v>
      </c>
      <c r="G81" s="9">
        <v>247.05</v>
      </c>
      <c r="H81" s="7" t="s">
        <v>987</v>
      </c>
    </row>
    <row r="82" spans="1:8" ht="40" customHeight="1">
      <c r="A82" s="3" t="s">
        <v>986</v>
      </c>
      <c r="B82" s="4" t="s">
        <v>114</v>
      </c>
      <c r="C82" s="24">
        <v>3</v>
      </c>
      <c r="D82" s="22">
        <v>-0.1</v>
      </c>
      <c r="E82" s="22">
        <v>0</v>
      </c>
      <c r="F82" s="10">
        <v>5823.252</v>
      </c>
      <c r="G82" s="10">
        <v>222.345</v>
      </c>
      <c r="H82" s="4" t="s">
        <v>987</v>
      </c>
    </row>
    <row r="83" spans="1:8" ht="40" customHeight="1">
      <c r="A83" s="6" t="s">
        <v>986</v>
      </c>
      <c r="B83" s="7" t="s">
        <v>114</v>
      </c>
      <c r="C83" s="23">
        <v>4</v>
      </c>
      <c r="D83" s="21">
        <v>-0.1</v>
      </c>
      <c r="E83" s="21">
        <v>0</v>
      </c>
      <c r="F83" s="9">
        <v>5240.9268</v>
      </c>
      <c r="G83" s="9">
        <v>200.1105</v>
      </c>
      <c r="H83" s="7" t="s">
        <v>987</v>
      </c>
    </row>
    <row r="84" spans="1:8" ht="40" customHeight="1">
      <c r="A84" s="3" t="s">
        <v>986</v>
      </c>
      <c r="B84" s="4" t="s">
        <v>114</v>
      </c>
      <c r="C84" s="24">
        <v>5</v>
      </c>
      <c r="D84" s="22">
        <v>-0.1</v>
      </c>
      <c r="E84" s="22">
        <v>0</v>
      </c>
      <c r="F84" s="10">
        <v>4716.83412</v>
      </c>
      <c r="G84" s="10">
        <v>180.09945</v>
      </c>
      <c r="H84" s="4" t="s">
        <v>987</v>
      </c>
    </row>
    <row r="85" spans="1:8" ht="40" customHeight="1">
      <c r="A85" s="6" t="s">
        <v>986</v>
      </c>
      <c r="B85" s="7" t="s">
        <v>114</v>
      </c>
      <c r="C85" s="23">
        <v>1</v>
      </c>
      <c r="D85" s="21">
        <v>-0.1</v>
      </c>
      <c r="E85" s="21">
        <v>-0.01</v>
      </c>
      <c r="F85" s="9">
        <v>7189.2</v>
      </c>
      <c r="G85" s="9">
        <v>202.608</v>
      </c>
      <c r="H85" s="7" t="s">
        <v>987</v>
      </c>
    </row>
    <row r="86" spans="1:8" ht="40" customHeight="1">
      <c r="A86" s="3" t="s">
        <v>986</v>
      </c>
      <c r="B86" s="4" t="s">
        <v>114</v>
      </c>
      <c r="C86" s="24">
        <v>2</v>
      </c>
      <c r="D86" s="22">
        <v>-0.1</v>
      </c>
      <c r="E86" s="22">
        <v>-0.01</v>
      </c>
      <c r="F86" s="10">
        <v>6470.280000000001</v>
      </c>
      <c r="G86" s="10">
        <v>182.3472</v>
      </c>
      <c r="H86" s="4" t="s">
        <v>987</v>
      </c>
    </row>
    <row r="87" spans="1:8" ht="40" customHeight="1">
      <c r="A87" s="6" t="s">
        <v>986</v>
      </c>
      <c r="B87" s="7" t="s">
        <v>114</v>
      </c>
      <c r="C87" s="23">
        <v>3</v>
      </c>
      <c r="D87" s="21">
        <v>-0.1</v>
      </c>
      <c r="E87" s="21">
        <v>-0.01</v>
      </c>
      <c r="F87" s="9">
        <v>5823.252</v>
      </c>
      <c r="G87" s="9">
        <v>164.11248</v>
      </c>
      <c r="H87" s="7" t="s">
        <v>987</v>
      </c>
    </row>
    <row r="88" spans="1:8" ht="40" customHeight="1">
      <c r="A88" s="3" t="s">
        <v>986</v>
      </c>
      <c r="B88" s="4" t="s">
        <v>114</v>
      </c>
      <c r="C88" s="24">
        <v>4</v>
      </c>
      <c r="D88" s="22">
        <v>-0.1</v>
      </c>
      <c r="E88" s="22">
        <v>-0.01</v>
      </c>
      <c r="F88" s="10">
        <v>5240.9268</v>
      </c>
      <c r="G88" s="10">
        <v>147.701232</v>
      </c>
      <c r="H88" s="4" t="s">
        <v>987</v>
      </c>
    </row>
    <row r="89" spans="1:8" ht="40" customHeight="1">
      <c r="A89" s="6" t="s">
        <v>986</v>
      </c>
      <c r="B89" s="7" t="s">
        <v>114</v>
      </c>
      <c r="C89" s="23">
        <v>5</v>
      </c>
      <c r="D89" s="21">
        <v>-0.1</v>
      </c>
      <c r="E89" s="21">
        <v>-0.01</v>
      </c>
      <c r="F89" s="9">
        <v>4716.83412</v>
      </c>
      <c r="G89" s="9">
        <v>132.9311088</v>
      </c>
      <c r="H89" s="7" t="s">
        <v>987</v>
      </c>
    </row>
    <row r="90" spans="1:8" ht="40" customHeight="1">
      <c r="A90" s="3" t="s">
        <v>986</v>
      </c>
      <c r="B90" s="4" t="s">
        <v>114</v>
      </c>
      <c r="C90" s="24">
        <v>1</v>
      </c>
      <c r="D90" s="22">
        <v>-0.1</v>
      </c>
      <c r="E90" s="22">
        <v>-0.02</v>
      </c>
      <c r="F90" s="10">
        <v>7189.2</v>
      </c>
      <c r="G90" s="10">
        <v>130.716</v>
      </c>
      <c r="H90" s="4" t="s">
        <v>987</v>
      </c>
    </row>
    <row r="91" spans="1:8" ht="40" customHeight="1">
      <c r="A91" s="6" t="s">
        <v>986</v>
      </c>
      <c r="B91" s="7" t="s">
        <v>114</v>
      </c>
      <c r="C91" s="23">
        <v>2</v>
      </c>
      <c r="D91" s="21">
        <v>-0.1</v>
      </c>
      <c r="E91" s="21">
        <v>-0.02</v>
      </c>
      <c r="F91" s="9">
        <v>6470.280000000001</v>
      </c>
      <c r="G91" s="9">
        <v>117.6444</v>
      </c>
      <c r="H91" s="7" t="s">
        <v>987</v>
      </c>
    </row>
    <row r="92" spans="1:8" ht="40" customHeight="1">
      <c r="A92" s="3" t="s">
        <v>986</v>
      </c>
      <c r="B92" s="4" t="s">
        <v>114</v>
      </c>
      <c r="C92" s="24">
        <v>3</v>
      </c>
      <c r="D92" s="22">
        <v>-0.1</v>
      </c>
      <c r="E92" s="22">
        <v>-0.02</v>
      </c>
      <c r="F92" s="10">
        <v>5823.252</v>
      </c>
      <c r="G92" s="10">
        <v>105.87996</v>
      </c>
      <c r="H92" s="4" t="s">
        <v>987</v>
      </c>
    </row>
    <row r="93" spans="1:8" ht="40" customHeight="1">
      <c r="A93" s="6" t="s">
        <v>986</v>
      </c>
      <c r="B93" s="7" t="s">
        <v>114</v>
      </c>
      <c r="C93" s="23">
        <v>4</v>
      </c>
      <c r="D93" s="21">
        <v>-0.1</v>
      </c>
      <c r="E93" s="21">
        <v>-0.02</v>
      </c>
      <c r="F93" s="9">
        <v>5240.9268</v>
      </c>
      <c r="G93" s="9">
        <v>95.29196400000001</v>
      </c>
      <c r="H93" s="7" t="s">
        <v>987</v>
      </c>
    </row>
    <row r="94" spans="1:8" ht="40" customHeight="1">
      <c r="A94" s="3" t="s">
        <v>986</v>
      </c>
      <c r="B94" s="4" t="s">
        <v>114</v>
      </c>
      <c r="C94" s="24">
        <v>5</v>
      </c>
      <c r="D94" s="22">
        <v>-0.1</v>
      </c>
      <c r="E94" s="22">
        <v>-0.02</v>
      </c>
      <c r="F94" s="10">
        <v>4716.83412</v>
      </c>
      <c r="G94" s="10">
        <v>85.7627676</v>
      </c>
      <c r="H94" s="4" t="s">
        <v>987</v>
      </c>
    </row>
  </sheetData>
  <autoFilter ref="A4:H94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&amp;LHistorical sensitivities&amp;RPage &amp;P of &amp;N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>
  <sheetPr>
    <tabColor rgb="FF3C5658"/>
  </sheetPr>
  <dimension ref="A1:C1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3" width="110.7109375" customWidth="1"/>
  </cols>
  <sheetData>
    <row r="1" spans="1:3" ht="9" customHeight="1"/>
    <row r="2" spans="1:3" ht="42" customHeight="1">
      <c r="A2" s="1" t="s">
        <v>988</v>
      </c>
      <c r="B2" s="1"/>
      <c r="C2" s="1"/>
    </row>
    <row r="3" spans="1:3" ht="30" customHeight="1">
      <c r="A3" s="2" t="s">
        <v>550</v>
      </c>
      <c r="B3" s="2"/>
      <c r="C3" s="2"/>
    </row>
    <row r="4" spans="1:3" ht="34" customHeight="1">
      <c r="A4" s="5" t="s">
        <v>989</v>
      </c>
      <c r="B4" s="5" t="s">
        <v>145</v>
      </c>
      <c r="C4" s="5" t="s">
        <v>990</v>
      </c>
    </row>
    <row r="5" spans="1:3" ht="40" customHeight="1">
      <c r="A5" s="6" t="s">
        <v>633</v>
      </c>
      <c r="B5" s="7" t="s">
        <v>634</v>
      </c>
      <c r="C5" s="7" t="s">
        <v>636</v>
      </c>
    </row>
    <row r="6" spans="1:3" ht="40" customHeight="1">
      <c r="A6" s="3" t="s">
        <v>640</v>
      </c>
      <c r="B6" s="4" t="s">
        <v>641</v>
      </c>
      <c r="C6" s="4" t="s">
        <v>642</v>
      </c>
    </row>
    <row r="7" spans="1:3" ht="40" customHeight="1">
      <c r="A7" s="6" t="s">
        <v>652</v>
      </c>
      <c r="B7" s="7" t="s">
        <v>653</v>
      </c>
      <c r="C7" s="7" t="s">
        <v>654</v>
      </c>
    </row>
    <row r="8" spans="1:3" ht="70" customHeight="1">
      <c r="A8" s="3" t="s">
        <v>643</v>
      </c>
      <c r="B8" s="4" t="s">
        <v>644</v>
      </c>
      <c r="C8" s="4" t="s">
        <v>645</v>
      </c>
    </row>
    <row r="9" spans="1:3" ht="100" customHeight="1">
      <c r="A9" s="6" t="s">
        <v>649</v>
      </c>
      <c r="B9" s="7" t="s">
        <v>650</v>
      </c>
      <c r="C9" s="7" t="s">
        <v>651</v>
      </c>
    </row>
    <row r="10" spans="1:3" ht="85" customHeight="1">
      <c r="A10" s="3" t="s">
        <v>646</v>
      </c>
      <c r="B10" s="4" t="s">
        <v>647</v>
      </c>
      <c r="C10" s="4" t="s">
        <v>648</v>
      </c>
    </row>
  </sheetData>
  <autoFilter ref="A4:C10"/>
  <mergeCells count="2">
    <mergeCell ref="A2:C2"/>
    <mergeCell ref="A3:C3"/>
  </mergeCells>
  <pageMargins left="0.3" right="0.3" top="0.4" bottom="0.4" header="0.3" footer="0.3"/>
  <pageSetup paperSize="9" scale="85" orientation="landscape"/>
  <headerFooter>
    <oddFooter>&amp;LHistorical assumptions&amp;RPage &amp;P of &amp;N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>
  <sheetPr>
    <tabColor rgb="FF3C5658"/>
  </sheetPr>
  <dimension ref="A1:E2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0.7109375" customWidth="1"/>
    <col min="2" max="2" width="70.7109375" customWidth="1"/>
    <col min="3" max="3" width="22.7109375" customWidth="1"/>
    <col min="4" max="4" width="30.7109375" customWidth="1"/>
    <col min="5" max="5" width="90.7109375" customWidth="1"/>
  </cols>
  <sheetData>
    <row r="1" spans="1:5" ht="9" customHeight="1"/>
    <row r="2" spans="1:5" ht="42" customHeight="1">
      <c r="A2" s="1" t="s">
        <v>991</v>
      </c>
      <c r="B2" s="1"/>
      <c r="C2" s="1"/>
      <c r="D2" s="1"/>
      <c r="E2" s="1"/>
    </row>
    <row r="3" spans="1:5" ht="30" customHeight="1">
      <c r="A3" s="2" t="s">
        <v>550</v>
      </c>
      <c r="B3" s="2"/>
      <c r="C3" s="2"/>
      <c r="D3" s="2"/>
      <c r="E3" s="2"/>
    </row>
    <row r="4" spans="1:5" ht="34" customHeight="1">
      <c r="A4" s="5" t="s">
        <v>983</v>
      </c>
      <c r="B4" s="5" t="s">
        <v>992</v>
      </c>
      <c r="C4" s="5" t="s">
        <v>145</v>
      </c>
      <c r="D4" s="5" t="s">
        <v>863</v>
      </c>
      <c r="E4" s="5" t="s">
        <v>162</v>
      </c>
    </row>
    <row r="5" spans="1:5" ht="40" customHeight="1">
      <c r="A5" s="6" t="s">
        <v>993</v>
      </c>
      <c r="B5" s="7" t="s">
        <v>994</v>
      </c>
      <c r="C5" s="9">
        <v>50</v>
      </c>
      <c r="D5" s="7" t="s">
        <v>995</v>
      </c>
      <c r="E5" s="7" t="s">
        <v>996</v>
      </c>
    </row>
    <row r="6" spans="1:5" ht="40" customHeight="1">
      <c r="A6" s="3" t="s">
        <v>993</v>
      </c>
      <c r="B6" s="4" t="s">
        <v>997</v>
      </c>
      <c r="C6" s="10">
        <v>60.00000000000001</v>
      </c>
      <c r="D6" s="4" t="s">
        <v>995</v>
      </c>
      <c r="E6" s="4" t="s">
        <v>996</v>
      </c>
    </row>
    <row r="7" spans="1:5" ht="40" customHeight="1">
      <c r="A7" s="6" t="s">
        <v>993</v>
      </c>
      <c r="B7" s="7" t="s">
        <v>998</v>
      </c>
      <c r="C7" s="9">
        <v>70</v>
      </c>
      <c r="D7" s="7" t="s">
        <v>995</v>
      </c>
      <c r="E7" s="7" t="s">
        <v>996</v>
      </c>
    </row>
    <row r="8" spans="1:5" ht="40" customHeight="1">
      <c r="A8" s="3" t="s">
        <v>993</v>
      </c>
      <c r="B8" s="4" t="s">
        <v>999</v>
      </c>
      <c r="C8" s="10">
        <v>70</v>
      </c>
      <c r="D8" s="4" t="s">
        <v>995</v>
      </c>
      <c r="E8" s="4" t="s">
        <v>996</v>
      </c>
    </row>
    <row r="9" spans="1:5" ht="40" customHeight="1">
      <c r="A9" s="6" t="s">
        <v>993</v>
      </c>
      <c r="B9" s="7" t="s">
        <v>1000</v>
      </c>
      <c r="C9" s="9">
        <v>80</v>
      </c>
      <c r="D9" s="7" t="s">
        <v>995</v>
      </c>
      <c r="E9" s="7" t="s">
        <v>996</v>
      </c>
    </row>
    <row r="10" spans="1:5" ht="40" customHeight="1">
      <c r="A10" s="3" t="s">
        <v>993</v>
      </c>
      <c r="B10" s="4" t="s">
        <v>1001</v>
      </c>
      <c r="C10" s="10">
        <v>90.00000000000001</v>
      </c>
      <c r="D10" s="4" t="s">
        <v>995</v>
      </c>
      <c r="E10" s="4" t="s">
        <v>996</v>
      </c>
    </row>
    <row r="11" spans="1:5" ht="40" customHeight="1">
      <c r="A11" s="6" t="s">
        <v>993</v>
      </c>
      <c r="B11" s="7" t="s">
        <v>1002</v>
      </c>
      <c r="C11" s="9">
        <v>90</v>
      </c>
      <c r="D11" s="7" t="s">
        <v>995</v>
      </c>
      <c r="E11" s="7" t="s">
        <v>996</v>
      </c>
    </row>
    <row r="12" spans="1:5" ht="40" customHeight="1">
      <c r="A12" s="3" t="s">
        <v>993</v>
      </c>
      <c r="B12" s="4" t="s">
        <v>1003</v>
      </c>
      <c r="C12" s="10">
        <v>99.99999999999999</v>
      </c>
      <c r="D12" s="4" t="s">
        <v>995</v>
      </c>
      <c r="E12" s="4" t="s">
        <v>996</v>
      </c>
    </row>
    <row r="13" spans="1:5" ht="40" customHeight="1">
      <c r="A13" s="6" t="s">
        <v>993</v>
      </c>
      <c r="B13" s="7" t="s">
        <v>1004</v>
      </c>
      <c r="C13" s="9">
        <v>110</v>
      </c>
      <c r="D13" s="7" t="s">
        <v>995</v>
      </c>
      <c r="E13" s="7" t="s">
        <v>996</v>
      </c>
    </row>
    <row r="14" spans="1:5" ht="25" customHeight="1">
      <c r="A14" s="3" t="s">
        <v>1005</v>
      </c>
      <c r="B14" s="4" t="s">
        <v>1006</v>
      </c>
      <c r="C14" s="10">
        <v>1010.10101010101</v>
      </c>
      <c r="D14" s="4" t="s">
        <v>68</v>
      </c>
      <c r="E14" s="4" t="s">
        <v>1007</v>
      </c>
    </row>
    <row r="15" spans="1:5" ht="25" customHeight="1">
      <c r="A15" s="6" t="s">
        <v>1005</v>
      </c>
      <c r="B15" s="7" t="s">
        <v>1008</v>
      </c>
      <c r="C15" s="9">
        <v>1020.408163265306</v>
      </c>
      <c r="D15" s="7" t="s">
        <v>68</v>
      </c>
      <c r="E15" s="7" t="s">
        <v>1007</v>
      </c>
    </row>
    <row r="16" spans="1:5" ht="25" customHeight="1">
      <c r="A16" s="3" t="s">
        <v>1005</v>
      </c>
      <c r="B16" s="4" t="s">
        <v>1009</v>
      </c>
      <c r="C16" s="10">
        <v>1030.927835051546</v>
      </c>
      <c r="D16" s="4" t="s">
        <v>68</v>
      </c>
      <c r="E16" s="4" t="s">
        <v>1007</v>
      </c>
    </row>
    <row r="17" spans="1:5" ht="40" customHeight="1">
      <c r="A17" s="6" t="s">
        <v>1010</v>
      </c>
      <c r="B17" s="7" t="s">
        <v>1011</v>
      </c>
      <c r="C17" s="9">
        <v>-175</v>
      </c>
      <c r="D17" s="7" t="s">
        <v>1012</v>
      </c>
      <c r="E17" s="7" t="s">
        <v>1013</v>
      </c>
    </row>
    <row r="18" spans="1:5" ht="40" customHeight="1">
      <c r="A18" s="3" t="s">
        <v>1010</v>
      </c>
      <c r="B18" s="4" t="s">
        <v>1014</v>
      </c>
      <c r="C18" s="10">
        <v>-350</v>
      </c>
      <c r="D18" s="4" t="s">
        <v>1012</v>
      </c>
      <c r="E18" s="4" t="s">
        <v>1013</v>
      </c>
    </row>
    <row r="19" spans="1:5" ht="40" customHeight="1">
      <c r="A19" s="6" t="s">
        <v>1010</v>
      </c>
      <c r="B19" s="7" t="s">
        <v>1015</v>
      </c>
      <c r="C19" s="9">
        <v>-175</v>
      </c>
      <c r="D19" s="7" t="s">
        <v>1012</v>
      </c>
      <c r="E19" s="7" t="s">
        <v>1013</v>
      </c>
    </row>
    <row r="20" spans="1:5" ht="40" customHeight="1">
      <c r="A20" s="3" t="s">
        <v>1010</v>
      </c>
      <c r="B20" s="4" t="s">
        <v>1016</v>
      </c>
      <c r="C20" s="10">
        <v>-350</v>
      </c>
      <c r="D20" s="4" t="s">
        <v>1012</v>
      </c>
      <c r="E20" s="4" t="s">
        <v>1013</v>
      </c>
    </row>
    <row r="21" spans="1:5" ht="40" customHeight="1">
      <c r="A21" s="6" t="s">
        <v>1010</v>
      </c>
      <c r="B21" s="7" t="s">
        <v>1017</v>
      </c>
      <c r="C21" s="9">
        <v>175</v>
      </c>
      <c r="D21" s="7" t="s">
        <v>1012</v>
      </c>
      <c r="E21" s="7" t="s">
        <v>1013</v>
      </c>
    </row>
    <row r="22" spans="1:5" ht="40" customHeight="1">
      <c r="A22" s="3" t="s">
        <v>1010</v>
      </c>
      <c r="B22" s="4" t="s">
        <v>1018</v>
      </c>
      <c r="C22" s="10">
        <v>0</v>
      </c>
      <c r="D22" s="4" t="s">
        <v>1012</v>
      </c>
      <c r="E22" s="4" t="s">
        <v>1013</v>
      </c>
    </row>
    <row r="23" spans="1:5" ht="40" customHeight="1">
      <c r="A23" s="6" t="s">
        <v>1010</v>
      </c>
      <c r="B23" s="7" t="s">
        <v>1019</v>
      </c>
      <c r="C23" s="9">
        <v>75</v>
      </c>
      <c r="D23" s="7" t="s">
        <v>1012</v>
      </c>
      <c r="E23" s="7" t="s">
        <v>1013</v>
      </c>
    </row>
    <row r="24" spans="1:5" ht="40" customHeight="1">
      <c r="A24" s="3" t="s">
        <v>1010</v>
      </c>
      <c r="B24" s="4" t="s">
        <v>1020</v>
      </c>
      <c r="C24" s="10">
        <v>-100</v>
      </c>
      <c r="D24" s="4" t="s">
        <v>1012</v>
      </c>
      <c r="E24" s="4" t="s">
        <v>1013</v>
      </c>
    </row>
    <row r="25" spans="1:5" ht="40" customHeight="1">
      <c r="A25" s="6" t="s">
        <v>1010</v>
      </c>
      <c r="B25" s="7" t="s">
        <v>1021</v>
      </c>
      <c r="C25" s="9">
        <v>262.5</v>
      </c>
      <c r="D25" s="7" t="s">
        <v>1012</v>
      </c>
      <c r="E25" s="7" t="s">
        <v>1013</v>
      </c>
    </row>
    <row r="26" spans="1:5" ht="40" customHeight="1">
      <c r="A26" s="3" t="s">
        <v>1010</v>
      </c>
      <c r="B26" s="4" t="s">
        <v>1022</v>
      </c>
      <c r="C26" s="10">
        <v>87.5</v>
      </c>
      <c r="D26" s="4" t="s">
        <v>1012</v>
      </c>
      <c r="E26" s="4" t="s">
        <v>1013</v>
      </c>
    </row>
    <row r="27" spans="1:5" ht="40" customHeight="1">
      <c r="A27" s="6" t="s">
        <v>1010</v>
      </c>
      <c r="B27" s="7" t="s">
        <v>1023</v>
      </c>
      <c r="C27" s="9">
        <v>137.5</v>
      </c>
      <c r="D27" s="7" t="s">
        <v>1012</v>
      </c>
      <c r="E27" s="7" t="s">
        <v>1013</v>
      </c>
    </row>
    <row r="28" spans="1:5" ht="40" customHeight="1">
      <c r="A28" s="3" t="s">
        <v>1010</v>
      </c>
      <c r="B28" s="4" t="s">
        <v>1024</v>
      </c>
      <c r="C28" s="10">
        <v>-37.5</v>
      </c>
      <c r="D28" s="4" t="s">
        <v>1012</v>
      </c>
      <c r="E28" s="4" t="s">
        <v>1013</v>
      </c>
    </row>
  </sheetData>
  <autoFilter ref="A4:E28"/>
  <mergeCells count="2">
    <mergeCell ref="A2:E2"/>
    <mergeCell ref="A3:E3"/>
  </mergeCells>
  <pageMargins left="0.3" right="0.3" top="0.4" bottom="0.4" header="0.3" footer="0.3"/>
  <pageSetup paperSize="9" scale="85" orientation="landscape"/>
  <headerFooter>
    <oddFooter>&amp;LFunding unit sensitivities&amp;RPage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59</vt:i4>
      </vt:variant>
    </vt:vector>
  </HeadingPairs>
  <TitlesOfParts>
    <vt:vector size="89" baseType="lpstr">
      <vt:lpstr>Contents</vt:lpstr>
      <vt:lpstr>Summary</vt:lpstr>
      <vt:lpstr>Itemised funding</vt:lpstr>
      <vt:lpstr>Timing and capacity</vt:lpstr>
      <vt:lpstr>Model checks</vt:lpstr>
      <vt:lpstr>Closing working capital</vt:lpstr>
      <vt:lpstr>CFO bridge</vt:lpstr>
      <vt:lpstr>Cost reconciliation</vt:lpstr>
      <vt:lpstr>Investment assumptions</vt:lpstr>
      <vt:lpstr>Joint credit stress</vt:lpstr>
      <vt:lpstr>Illustrative bond risk</vt:lpstr>
      <vt:lpstr>Public output policy</vt:lpstr>
      <vt:lpstr>Public assumptions</vt:lpstr>
      <vt:lpstr>Projected closing bridge</vt:lpstr>
      <vt:lpstr>Public sources and uses</vt:lpstr>
      <vt:lpstr>Public operations</vt:lpstr>
      <vt:lpstr>Public cash and debt</vt:lpstr>
      <vt:lpstr>Public instruments</vt:lpstr>
      <vt:lpstr>Public capacity and stress</vt:lpstr>
      <vt:lpstr>Public comparisons</vt:lpstr>
      <vt:lpstr>Public gap assessment</vt:lpstr>
      <vt:lpstr>Public conventions</vt:lpstr>
      <vt:lpstr>Scenarios</vt:lpstr>
      <vt:lpstr>Evidence</vt:lpstr>
      <vt:lpstr>Sources</vt:lpstr>
      <vt:lpstr>Historical calculations</vt:lpstr>
      <vt:lpstr>Historical gap review</vt:lpstr>
      <vt:lpstr>Historical sensitivities</vt:lpstr>
      <vt:lpstr>Historical assumptions</vt:lpstr>
      <vt:lpstr>Funding unit sensitivities</vt:lpstr>
      <vt:lpstr>'CFO bridge'!Print_Area</vt:lpstr>
      <vt:lpstr>'Closing working capital'!Print_Area</vt:lpstr>
      <vt:lpstr>Contents!Print_Area</vt:lpstr>
      <vt:lpstr>'Cost reconciliation'!Print_Area</vt:lpstr>
      <vt:lpstr>Evidence!Print_Area</vt:lpstr>
      <vt:lpstr>'Funding unit sensitivities'!Print_Area</vt:lpstr>
      <vt:lpstr>'Historical assumptions'!Print_Area</vt:lpstr>
      <vt:lpstr>'Historical calculations'!Print_Area</vt:lpstr>
      <vt:lpstr>'Historical gap review'!Print_Area</vt:lpstr>
      <vt:lpstr>'Historical sensitivities'!Print_Area</vt:lpstr>
      <vt:lpstr>'Illustrative bond risk'!Print_Area</vt:lpstr>
      <vt:lpstr>'Investment assumptions'!Print_Area</vt:lpstr>
      <vt:lpstr>'Itemised funding'!Print_Area</vt:lpstr>
      <vt:lpstr>'Joint credit stress'!Print_Area</vt:lpstr>
      <vt:lpstr>'Model checks'!Print_Area</vt:lpstr>
      <vt:lpstr>'Projected closing bridge'!Print_Area</vt:lpstr>
      <vt:lpstr>'Public assumptions'!Print_Area</vt:lpstr>
      <vt:lpstr>'Public capacity and stress'!Print_Area</vt:lpstr>
      <vt:lpstr>'Public cash and debt'!Print_Area</vt:lpstr>
      <vt:lpstr>'Public comparisons'!Print_Area</vt:lpstr>
      <vt:lpstr>'Public conventions'!Print_Area</vt:lpstr>
      <vt:lpstr>'Public gap assessment'!Print_Area</vt:lpstr>
      <vt:lpstr>'Public instruments'!Print_Area</vt:lpstr>
      <vt:lpstr>'Public operations'!Print_Area</vt:lpstr>
      <vt:lpstr>'Public output policy'!Print_Area</vt:lpstr>
      <vt:lpstr>'Public sources and uses'!Print_Area</vt:lpstr>
      <vt:lpstr>Scenarios!Print_Area</vt:lpstr>
      <vt:lpstr>Sources!Print_Area</vt:lpstr>
      <vt:lpstr>Summary!Print_Area</vt:lpstr>
      <vt:lpstr>'Timing and capacity'!Print_Area</vt:lpstr>
      <vt:lpstr>'CFO bridge'!Print_Titles</vt:lpstr>
      <vt:lpstr>'Closing working capital'!Print_Titles</vt:lpstr>
      <vt:lpstr>Contents!Print_Titles</vt:lpstr>
      <vt:lpstr>'Cost reconciliation'!Print_Titles</vt:lpstr>
      <vt:lpstr>Evidence!Print_Titles</vt:lpstr>
      <vt:lpstr>'Funding unit sensitivities'!Print_Titles</vt:lpstr>
      <vt:lpstr>'Historical assumptions'!Print_Titles</vt:lpstr>
      <vt:lpstr>'Historical calculations'!Print_Titles</vt:lpstr>
      <vt:lpstr>'Historical gap review'!Print_Titles</vt:lpstr>
      <vt:lpstr>'Historical sensitivities'!Print_Titles</vt:lpstr>
      <vt:lpstr>'Illustrative bond risk'!Print_Titles</vt:lpstr>
      <vt:lpstr>'Investment assumptions'!Print_Titles</vt:lpstr>
      <vt:lpstr>'Itemised funding'!Print_Titles</vt:lpstr>
      <vt:lpstr>'Joint credit stress'!Print_Titles</vt:lpstr>
      <vt:lpstr>'Model checks'!Print_Titles</vt:lpstr>
      <vt:lpstr>'Projected closing bridge'!Print_Titles</vt:lpstr>
      <vt:lpstr>'Public assumptions'!Print_Titles</vt:lpstr>
      <vt:lpstr>'Public capacity and stress'!Print_Titles</vt:lpstr>
      <vt:lpstr>'Public cash and debt'!Print_Titles</vt:lpstr>
      <vt:lpstr>'Public comparisons'!Print_Titles</vt:lpstr>
      <vt:lpstr>'Public conventions'!Print_Titles</vt:lpstr>
      <vt:lpstr>'Public gap assessment'!Print_Titles</vt:lpstr>
      <vt:lpstr>'Public instruments'!Print_Titles</vt:lpstr>
      <vt:lpstr>'Public operations'!Print_Titles</vt:lpstr>
      <vt:lpstr>'Public output policy'!Print_Titles</vt:lpstr>
      <vt:lpstr>'Public sources and uses'!Print_Titles</vt:lpstr>
      <vt:lpstr>Scenarios!Print_Titles</vt:lpstr>
      <vt:lpstr>Sources!Print_Titles</vt:lpstr>
      <vt:lpstr>'Timing and capacity'!Print_Titles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2026-10-11T04:42:22Z</dcterms:created>
  <dcterms:modified xsi:type="dcterms:W3CDTF">2026-10-11T04:42:22Z</dcterms:modified>
</cp:coreProperties>
</file>