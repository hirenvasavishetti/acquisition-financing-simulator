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llustrative bond risk" sheetId="3" r:id="rId3"/>
    <sheet name="Scenarios" sheetId="4" r:id="rId4"/>
    <sheet name="Evidence" sheetId="5" r:id="rId5"/>
    <sheet name="Sources" sheetId="6" r:id="rId6"/>
    <sheet name="Historical calculations" sheetId="7" r:id="rId7"/>
    <sheet name="Historical gap review" sheetId="8" r:id="rId8"/>
    <sheet name="Historical sensitivities" sheetId="9" r:id="rId9"/>
    <sheet name="Historical assumptions" sheetId="10" r:id="rId10"/>
    <sheet name="Funding unit sensitivities" sheetId="11" r:id="rId11"/>
  </sheets>
  <definedNames>
    <definedName name="_xlnm._FilterDatabase" localSheetId="0" hidden="1">Contents!$A$5:$B$15</definedName>
    <definedName name="_xlnm._FilterDatabase" localSheetId="4" hidden="1">Evidence!$A$4:$H$141</definedName>
    <definedName name="_xlnm._FilterDatabase" localSheetId="10" hidden="1">'Funding unit sensitivities'!$A$4:$E$28</definedName>
    <definedName name="_xlnm._FilterDatabase" localSheetId="9" hidden="1">'Historical assumptions'!$A$4:$C$10</definedName>
    <definedName name="_xlnm._FilterDatabase" localSheetId="6" hidden="1">'Historical calculations'!$A$4:$G$19</definedName>
    <definedName name="_xlnm._FilterDatabase" localSheetId="7" hidden="1">'Historical gap review'!$A$4:$J$40</definedName>
    <definedName name="_xlnm._FilterDatabase" localSheetId="8" hidden="1">'Historical sensitivities'!$A$4:$H$94</definedName>
    <definedName name="_xlnm._FilterDatabase" localSheetId="2" hidden="1">'Illustrative bond risk'!$A$4:$B$14</definedName>
    <definedName name="_xlnm._FilterDatabase" localSheetId="3" hidden="1">Scenarios!$A$4:$F$4</definedName>
    <definedName name="_xlnm._FilterDatabase" localSheetId="5" hidden="1">Sources!$A$4:$G$24</definedName>
    <definedName name="_xlnm.Print_Area" localSheetId="0">Contents!$A$1:$B$15</definedName>
    <definedName name="_xlnm.Print_Area" localSheetId="4">Evidence!$A$1:$H$141</definedName>
    <definedName name="_xlnm.Print_Area" localSheetId="10">'Funding unit sensitivities'!$A$1:$E$28</definedName>
    <definedName name="_xlnm.Print_Area" localSheetId="9">'Historical assumptions'!$A$1:$C$10</definedName>
    <definedName name="_xlnm.Print_Area" localSheetId="6">'Historical calculations'!$A$1:$G$19</definedName>
    <definedName name="_xlnm.Print_Area" localSheetId="7">'Historical gap review'!$A$1:$J$40</definedName>
    <definedName name="_xlnm.Print_Area" localSheetId="8">'Historical sensitivities'!$A$1:$H$94</definedName>
    <definedName name="_xlnm.Print_Area" localSheetId="2">'Illustrative bond risk'!$A$1:$B$14</definedName>
    <definedName name="_xlnm.Print_Area" localSheetId="3">Scenarios!$A$1:$F$4</definedName>
    <definedName name="_xlnm.Print_Area" localSheetId="5">Sources!$A$1:$G$24</definedName>
    <definedName name="_xlnm.Print_Area" localSheetId="1">Summary!$A$1:$B$13</definedName>
    <definedName name="_xlnm.Print_Titles" localSheetId="0">Contents!$1:$5</definedName>
    <definedName name="_xlnm.Print_Titles" localSheetId="4">Evidence!$1:$4</definedName>
    <definedName name="_xlnm.Print_Titles" localSheetId="10">'Funding unit sensitivities'!$1:$4</definedName>
    <definedName name="_xlnm.Print_Titles" localSheetId="9">'Historical assumptions'!$1:$4</definedName>
    <definedName name="_xlnm.Print_Titles" localSheetId="6">'Historical calculations'!$1:$4</definedName>
    <definedName name="_xlnm.Print_Titles" localSheetId="7">'Historical gap review'!$1:$4</definedName>
    <definedName name="_xlnm.Print_Titles" localSheetId="8">'Historical sensitivities'!$1:$4</definedName>
    <definedName name="_xlnm.Print_Titles" localSheetId="2">'Illustrative bond risk'!$1:$4</definedName>
    <definedName name="_xlnm.Print_Titles" localSheetId="3">Scenarios!$1:$4</definedName>
    <definedName name="_xlnm.Print_Titles" localSheetId="5">Sources!$1:$4</definedName>
  </definedNames>
  <calcPr calcId="124519" fullCalcOnLoad="1"/>
</workbook>
</file>

<file path=xl/sharedStrings.xml><?xml version="1.0" encoding="utf-8"?>
<sst xmlns="http://schemas.openxmlformats.org/spreadsheetml/2006/main" count="1985" uniqueCount="559">
  <si>
    <t>Acquisition financing research | Strict evidence assessment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</si>
  <si>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</si>
  <si>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</si>
  <si>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</si>
  <si>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</si>
  <si>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</si>
  <si>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</si>
  <si>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</si>
  <si>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Illustrative bond risk</t>
  </si>
  <si>
    <t>Open the named worksheet tab. Supporting schedule / evidence</t>
  </si>
  <si>
    <t>Scenarios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</si>
  <si>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</si>
  <si>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</si>
  <si>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</si>
  <si>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</si>
  <si>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</si>
  <si>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</si>
  <si>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</si>
  <si>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</si>
  <si>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</si>
  <si>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</si>
  <si>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</si>
  <si>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</si>
  <si>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</si>
  <si>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</si>
  <si>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</si>
  <si>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Bounded historical calculations and explicit hypothetical sensitivities; no synthetic company inputs.</t>
  </si>
  <si>
    <t>Model snapshots. Rerun Python after input/source changes; only displayed formulas recalculate in Excel.</t>
  </si>
  <si>
    <t>Analysis limitation</t>
  </si>
  <si>
    <t>Historical forecasts and preferences require verified material evidence and a reconciled historical model mapping. Synthetic engineering is independent.</t>
  </si>
  <si>
    <t>Historical results</t>
  </si>
  <si>
    <t>Full funding analysis unavailable; supported calculations are on Historical calculations.</t>
  </si>
  <si>
    <t>Information cutoff</t>
  </si>
  <si>
    <t>2025-05-15</t>
  </si>
  <si>
    <t>Input ID</t>
  </si>
  <si>
    <t>c363a449009f18e02c44239234c1429c50d76ed4c935936741262ef47cdb52fa</t>
  </si>
  <si>
    <t>Calculation status</t>
  </si>
  <si>
    <t>Strict historical assessment only</t>
  </si>
  <si>
    <t>Selected timing</t>
  </si>
  <si>
    <t>Unavailable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</si>
  <si>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</si>
  <si>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</si>
  <si>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</si>
  <si>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</si>
  <si>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</si>
  <si>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</si>
  <si>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</si>
  <si>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</si>
  <si>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</si>
  <si>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</si>
  <si>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</si>
  <si>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</si>
  <si>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</si>
  <si>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</si>
  <si>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</si>
  <si>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Historical financing scenarios unavailable: insufficient verified evidence</t>
  </si>
  <si>
    <t>USD millions unless stated. Python snapshots; formula calculations are explicitly shown.</t>
  </si>
  <si>
    <t>Structure</t>
  </si>
  <si>
    <t>Year</t>
  </si>
  <si>
    <t>Closing cash</t>
  </si>
  <si>
    <t>Closing debt</t>
  </si>
  <si>
    <t>Interest</t>
  </si>
  <si>
    <t>Maturity gap</t>
  </si>
  <si>
    <t>Evidence review | Evidence</t>
  </si>
  <si>
    <t>Input</t>
  </si>
  <si>
    <t>Classification</t>
  </si>
  <si>
    <t>Blocks recommendation</t>
  </si>
  <si>
    <t>Reason</t>
  </si>
  <si>
    <t>Affected calculations</t>
  </si>
  <si>
    <t>Materiality</t>
  </si>
  <si>
    <t>Resolution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</si>
  <si>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</si>
  <si>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</si>
  <si>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</si>
  <si>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</si>
  <si>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</si>
  <si>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</si>
  <si>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</si>
  <si>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</si>
  <si>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</si>
  <si>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</si>
  <si>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</si>
  <si>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</si>
  <si>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</si>
  <si>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</si>
  <si>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</si>
  <si>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</si>
  <si>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</si>
  <si>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</si>
  <si>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</si>
  <si>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</si>
  <si>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</si>
  <si>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</si>
  <si>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</si>
  <si>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</si>
  <si>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</si>
  <si>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</si>
  <si>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</si>
  <si>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</si>
  <si>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</si>
  <si>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</si>
  <si>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</si>
  <si>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</si>
  <si>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Latest standalone operating base drives forecast EBITDA, cash taxes, working capital and cash available for debt service.</t>
  </si>
  <si>
    <t>acquirer.FY2024.depreciation_amortisation</t>
  </si>
  <si>
    <t>acquirer.FY2024.dividends_buybacks_commitments</t>
  </si>
  <si>
    <t>Contractual capital commitments can compete with debt service; discretionary future distributions are separate explicit assumptions.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</si>
  <si>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</si>
  <si>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</si>
  <si>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</si>
  <si>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acquirer.FY2024.lease_reconciliation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</si>
  <si>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</si>
  <si>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</si>
  <si>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</si>
  <si>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</si>
  <si>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</si>
  <si>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</si>
  <si>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</si>
  <si>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</si>
  <si>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</si>
  <si>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</si>
  <si>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Instrument rights determine mandatory repayments, coupon resets and legally available borrowing; numerical solvency cannot replace contract evidence.</t>
  </si>
  <si>
    <t>Review debt notes and executed agreements for every instrument; reconcile totals, cite sections and document any non-applicability.</t>
  </si>
  <si>
    <t>acquirer.debt.change_of_control</t>
  </si>
  <si>
    <t>Required repayment and retained debt</t>
  </si>
  <si>
    <t>acquirer.debt.coupons_and_resets</t>
  </si>
  <si>
    <t>Cash interest and rate stress</t>
  </si>
  <si>
    <t>acquirer.debt.covenants_and_restricted_payments</t>
  </si>
  <si>
    <t>Borrowing eligibility and capital allocation</t>
  </si>
  <si>
    <t>acquirer.debt.instrument_inventory</t>
  </si>
  <si>
    <t>Completeness of instrument debt schedule</t>
  </si>
  <si>
    <t>acquirer.debt.maturity_and_amortisation_schedule</t>
  </si>
  <si>
    <t>Mandatory repayments and maturity gaps</t>
  </si>
  <si>
    <t>acquirer.debt.refinancing_and_repricing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</si>
  <si>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</si>
  <si>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</si>
  <si>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</si>
  <si>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</si>
  <si>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acquirer.opening.cash_restrictions</t>
  </si>
  <si>
    <t>Opening liquidity, retained debt, cash deployment and leverage</t>
  </si>
  <si>
    <t>Opening liquidity and debt determine spendable cash, financing need and net leverage; a wrong balance can falsely imply funding.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</si>
  <si>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</si>
  <si>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</si>
  <si>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</si>
  <si>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acquirer.opening.debt_principal</t>
  </si>
  <si>
    <t>acquirer.opening.unrestricted_cash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</si>
  <si>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</si>
  <si>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</si>
  <si>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</si>
  <si>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</si>
  <si>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</si>
  <si>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</si>
  <si>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</si>
  <si>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</si>
  <si>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</si>
  <si>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</si>
  <si>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</si>
  <si>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</si>
  <si>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</si>
  <si>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</si>
  <si>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</si>
  <si>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</si>
  <si>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</si>
  <si>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</si>
  <si>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</si>
  <si>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</si>
  <si>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</si>
  <si>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</si>
  <si>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</si>
  <si>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</si>
  <si>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</si>
  <si>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</si>
  <si>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</si>
  <si>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</si>
  <si>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</si>
  <si>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</si>
  <si>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</si>
  <si>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</si>
  <si>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</si>
  <si>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</si>
  <si>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</si>
  <si>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</si>
  <si>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</si>
  <si>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</si>
  <si>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</si>
  <si>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</si>
  <si>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</si>
  <si>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</si>
  <si>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</si>
  <si>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</si>
  <si>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</si>
  <si>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</si>
  <si>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</si>
  <si>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</si>
  <si>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</si>
  <si>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</si>
  <si>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</si>
  <si>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</si>
  <si>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</si>
  <si>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</si>
  <si>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</si>
  <si>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</si>
  <si>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</si>
  <si>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</si>
  <si>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</si>
  <si>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</si>
  <si>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</si>
  <si>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</si>
  <si>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</si>
  <si>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</si>
  <si>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</si>
  <si>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</si>
  <si>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</si>
  <si>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</si>
  <si>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</si>
  <si>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</si>
  <si>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</si>
  <si>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</si>
  <si>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</si>
  <si>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</si>
  <si>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</si>
  <si>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</si>
  <si>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</si>
  <si>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</si>
  <si>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</si>
  <si>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</si>
  <si>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</si>
  <si>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</si>
  <si>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</si>
  <si>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</si>
  <si>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</si>
  <si>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</si>
  <si>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</si>
  <si>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</si>
  <si>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</si>
  <si>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</si>
  <si>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</si>
  <si>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</si>
  <si>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</si>
  <si>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</si>
  <si>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</si>
  <si>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</si>
  <si>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</si>
  <si>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</si>
  <si>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</si>
  <si>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</si>
  <si>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</si>
  <si>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</si>
  <si>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</si>
  <si>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</si>
  <si>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</si>
  <si>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</si>
  <si>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</si>
  <si>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</si>
  <si>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</si>
  <si>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</si>
  <si>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</si>
  <si>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</si>
  <si>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</si>
  <si>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</si>
  <si>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</si>
  <si>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</si>
  <si>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</si>
  <si>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</si>
  <si>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target.FY2024.dividends_buybacks_commitments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</si>
  <si>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</si>
  <si>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</si>
  <si>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</si>
  <si>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target.FY2024.lease_reconciliation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</si>
  <si>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</si>
  <si>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</si>
  <si>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</si>
  <si>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</si>
  <si>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</si>
  <si>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</si>
  <si>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target.debt.borrowing_base_and_letters_of_credit</t>
  </si>
  <si>
    <t>target.debt.change_of_control</t>
  </si>
  <si>
    <t>target.debt.coupons_and_resets</t>
  </si>
  <si>
    <t>target.debt.covenants_and_restricted_payments</t>
  </si>
  <si>
    <t>target.debt.instrument_inventory</t>
  </si>
  <si>
    <t>target.debt.maturity_and_amortisation_schedule</t>
  </si>
  <si>
    <t>target.debt.refinancing_and_repricing</t>
  </si>
  <si>
    <t>target.debt.revolver_commitments</t>
  </si>
  <si>
    <t>{"commitment": 600.0, "drawn": 0.0, "maturity_date": "2029-06-20", "uncommitted_total_ceiling_excluded": 750.0}</t>
  </si>
  <si>
    <t>target.opening.cash_restrictions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</si>
  <si>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</si>
  <si>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</si>
  <si>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</si>
  <si>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target.opening.unrestricted_cash</t>
  </si>
  <si>
    <t>transaction.cash_price</t>
  </si>
  <si>
    <t>Exact observation supported by reviewed source: announcement</t>
  </si>
  <si>
    <t>Consideration bridge, cash uses, stock issuance and synergy scenarios</t>
  </si>
  <si>
    <t>Material transaction or unregistered model dependency: unsupported consideration or scope can change financing needs.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</si>
  <si>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</si>
  <si>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</si>
  <si>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</si>
  <si>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</si>
  <si>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</si>
  <si>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</si>
  <si>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transaction.exchange_ratio</t>
  </si>
  <si>
    <t>transaction.share_and_award_treatment</t>
  </si>
  <si>
    <t>transaction.synergy_guidance</t>
  </si>
  <si>
    <t>[100.0, 125.0]</t>
  </si>
  <si>
    <t>Evidence review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</si>
  <si>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</si>
  <si>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</si>
  <si>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</si>
  <si>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</si>
  <si>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</si>
  <si>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</si>
  <si>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</si>
  <si>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</si>
  <si>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</si>
  <si>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</si>
  <si>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</si>
  <si>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</si>
  <si>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</si>
  <si>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</si>
  <si>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</si>
  <si>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</si>
  <si>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</si>
  <si>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</si>
  <si>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</si>
  <si>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</si>
  <si>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</si>
  <si>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</si>
  <si>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</si>
  <si>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</si>
  <si>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</si>
  <si>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</si>
  <si>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</si>
  <si>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</si>
  <si>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</si>
  <si>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</si>
  <si>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</si>
  <si>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</si>
  <si>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</si>
  <si>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</si>
  <si>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</si>
  <si>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</si>
  <si>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</si>
  <si>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</si>
  <si>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</si>
  <si>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</si>
  <si>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</si>
  <si>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</si>
  <si>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</si>
  <si>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</si>
  <si>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</si>
  <si>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</si>
  <si>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</si>
  <si>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</si>
  <si>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</si>
  <si>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</si>
  <si>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</si>
  <si>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</si>
  <si>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</si>
  <si>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</si>
  <si>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</si>
  <si>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</si>
  <si>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</si>
  <si>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</si>
  <si>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</si>
  <si>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</si>
  <si>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</si>
  <si>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</si>
  <si>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</si>
  <si>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</si>
  <si>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</si>
  <si>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</si>
  <si>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</si>
  <si>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</si>
  <si>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</si>
  <si>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</si>
  <si>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</si>
  <si>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</si>
  <si>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</si>
  <si>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</si>
  <si>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</si>
  <si>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</si>
  <si>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</si>
  <si>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</si>
  <si>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</si>
  <si>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</si>
  <si>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</si>
  <si>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</si>
  <si>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</si>
  <si>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Evidence review | Historical calculations</t>
  </si>
  <si>
    <t>Calculation</t>
  </si>
  <si>
    <t>Status</t>
  </si>
  <si>
    <t>Units</t>
  </si>
  <si>
    <t>Formula</t>
  </si>
  <si>
    <t>Dependencies</t>
  </si>
  <si>
    <t>Limitation</t>
  </si>
  <si>
    <t>acquirer FY2024 simple operating EBITDA</t>
  </si>
  <si>
    <t>Supported</t>
  </si>
  <si>
    <t>USD millions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</si>
  <si>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</si>
  <si>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</si>
  <si>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</si>
  <si>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</si>
  <si>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</si>
  <si>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</si>
  <si>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</si>
  <si>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</si>
  <si>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</si>
  <si>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</si>
  <si>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</si>
  <si>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</si>
  <si>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</si>
  <si>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</si>
  <si>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</si>
  <si>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</si>
  <si>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</si>
  <si>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</si>
  <si>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</si>
  <si>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</si>
  <si>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</si>
  <si>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</si>
  <si>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</si>
  <si>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</si>
  <si>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</si>
  <si>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</si>
  <si>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</si>
  <si>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</si>
  <si>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</si>
  <si>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</si>
  <si>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</si>
  <si>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</si>
  <si>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</si>
  <si>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</si>
  <si>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</si>
  <si>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</si>
  <si>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</si>
  <si>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</si>
  <si>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</si>
  <si>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</si>
  <si>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</si>
  <si>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</si>
  <si>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</si>
  <si>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</si>
  <si>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</si>
  <si>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</si>
  <si>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</si>
  <si>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</si>
  <si>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</si>
  <si>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</si>
  <si>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</si>
  <si>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</si>
  <si>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Evidence review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</si>
  <si>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</si>
  <si>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</si>
  <si>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</si>
  <si>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</si>
  <si>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</si>
  <si>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</si>
  <si>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</si>
  <si>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</si>
  <si>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</si>
  <si>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</si>
  <si>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</si>
  <si>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</si>
  <si>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</si>
  <si>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</si>
  <si>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</si>
  <si>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</si>
  <si>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</si>
  <si>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</si>
  <si>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</si>
  <si>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</si>
  <si>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</si>
  <si>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</si>
  <si>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</si>
  <si>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</si>
  <si>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</si>
  <si>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</si>
  <si>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</si>
  <si>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</si>
  <si>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</si>
  <si>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</si>
  <si>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</si>
  <si>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</si>
  <si>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</si>
  <si>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</si>
  <si>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</si>
  <si>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</si>
  <si>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</si>
  <si>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</si>
  <si>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</si>
  <si>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</si>
  <si>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</si>
  <si>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</si>
  <si>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</si>
  <si>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</si>
  <si>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</si>
  <si>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</si>
  <si>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</si>
  <si>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</si>
  <si>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</si>
  <si>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</si>
  <si>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</si>
  <si>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</si>
  <si>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</si>
  <si>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</si>
  <si>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</si>
  <si>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</si>
  <si>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</si>
  <si>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</si>
  <si>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</si>
  <si>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</si>
  <si>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</si>
  <si>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Evidence review | Historical sensitivities</t>
  </si>
  <si>
    <t>Study</t>
  </si>
  <si>
    <t>Company</t>
  </si>
  <si>
    <t>Annual growth</t>
  </si>
  <si>
    <t>Margin shift</t>
  </si>
  <si>
    <t>Revenue</t>
  </si>
  <si>
    <t>EBITDA</t>
  </si>
  <si>
    <t>Hypothetical operating sensitivity; not actual company forecast or capacity</t>
  </si>
  <si>
    <t>acquirer</t>
  </si>
  <si>
    <t>Constant stressed EBITDA margin; excludes synergies, integration, capex, taxes, rent cash and financing. No preferred structure.</t>
  </si>
  <si>
    <t>target</t>
  </si>
  <si>
    <t>Evidence review | Historical assumptions</t>
  </si>
  <si>
    <t>Future choice</t>
  </si>
  <si>
    <t>Rationale</t>
  </si>
  <si>
    <t>Evidence review | Funding unit sensitivities</t>
  </si>
  <si>
    <t>Assumptions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</si>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</sst>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3">
    <numFmt numFmtId="164" formatCode="#,##0.0;(#,##0.0);&quot;-&quot;"/>
    <numFmt numFmtId="165" formatCode="#,##0.000000"/>
    <numFmt numFmtId="166" formatCode="0.00%"/>
  </numFmts>
  <fonts count="5">
    <font>
      <sz val="11"/>
      <color theme="1"/>
      <name val="Calibri"/>
      <family val="2"/>
      <scheme val="minor"/>
    </font>
    <font>
      <sz val="22"/>
      <color rgb="FFF15A29"/>
      <name val="Georgia"/>
      <family val="2"/>
    </font>
    <font>
      <i/>
      <sz val="10"/>
      <color rgb="FF536567"/>
      <name val="Arial"/>
      <family val="2"/>
    </font>
    <font>
      <sz val="11"/>
      <color rgb="FF25282D"/>
      <name val="Arial"/>
      <family val="2"/>
    </font>
    <font>
      <b/>
      <i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6F5"/>
        <bgColor indexed="64"/>
      </patternFill>
    </fill>
    <fill>
      <patternFill patternType="solid">
        <fgColor rgb="FF3C5658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F15A29"/>
      </bottom>
      <diagonal/>
    </border>
    <border>
      <left style="medium">
        <color rgb="FFF15A29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D5DEDD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C4CECE"/>
      </left>
      <right style="thin">
        <color rgb="FFC4CECE"/>
      </right>
      <top style="thin">
        <color rgb="FFC4CECE"/>
      </top>
      <bottom style="thin">
        <color rgb="FFC4CEC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164" fontId="3" fillId="2" borderId="3" xfId="0" applyNumberFormat="1" applyFont="1" applyFill="1" applyBorder="1" applyAlignment="1">
      <alignment horizontal="right"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165" fontId="3" fillId="4" borderId="3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" fontId="3" fillId="4" borderId="3" xfId="0" applyNumberFormat="1" applyFont="1" applyFill="1" applyBorder="1" applyAlignment="1">
      <alignment horizontal="right" vertical="center" wrapText="1"/>
    </xf>
    <xf numFmtId="166" fontId="3" fillId="4" borderId="3" xfId="0" applyNumberFormat="1" applyFont="1" applyFill="1" applyBorder="1" applyAlignment="1">
      <alignment horizontal="right" vertical="center" wrapText="1"/>
    </xf>
    <xf numFmtId="1" fontId="3" fillId="2" borderId="3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ont>
        <b/>
        <color rgb="FF9D3028"/>
      </font>
      <fill>
        <patternFill>
          <bgColor rgb="FFFBE1DC"/>
        </patternFill>
      </fill>
    </dxf>
    <dxf>
      <font>
        <color rgb="FF285232"/>
      </font>
      <fill>
        <patternFill>
          <bgColor rgb="FFDFECD9"/>
        </patternFill>
      </fill>
    </dxf>
    <dxf>
      <font>
        <color rgb="FF9D3028"/>
      </font>
      <fill>
        <patternFill>
          <bgColor rgb="FFFBE1DC"/>
        </patternFill>
      </fill>
    </dxf>
    <dxf>
      <font>
        <color rgb="FF765408"/>
      </font>
      <fill>
        <patternFill>
          <bgColor rgb="FFFFF0C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15A29"/>
  </sheetPr>
  <dimension ref="A1:B15"/>
  <sheetViews>
    <sheetView showGridLines="0" tabSelected="1" zoomScale="90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1" spans="1:2" ht="9" customHeight="1"/>
    <row r="2" spans="1:2" ht="42" customHeight="1">
      <c r="A2" s="1" t="s">
        <v>0</v>
      </c>
      <c r="B2" s="1"/>
    </row>
    <row r="3" spans="1:2" ht="30" customHeight="1">
      <c r="A3" s="2" t="s">
        <v>1</v>
      </c>
      <c r="B3" s="2"/>
    </row>
    <row r="4" spans="1:2" ht="25" customHeight="1">
      <c r="A4" s="3" t="s">
        <v>2</v>
      </c>
      <c r="B4" s="4" t="s">
        <v>3</v>
      </c>
    </row>
    <row r="5" spans="1:2" ht="34" customHeight="1">
      <c r="A5" s="5" t="s">
        <v>4</v>
      </c>
      <c r="B5" s="5" t="s">
        <v>5</v>
      </c>
    </row>
    <row r="6" spans="1:2" ht="25" customHeight="1">
      <c r="A6" s="3" t="s">
        <v>6</v>
      </c>
      <c r="B6" s="4" t="s">
        <v>7</v>
      </c>
    </row>
    <row r="7" spans="1:2" ht="25" customHeight="1">
      <c r="A7" s="6" t="s">
        <v>8</v>
      </c>
      <c r="B7" s="7" t="s">
        <v>9</v>
      </c>
    </row>
    <row r="8" spans="1:2" ht="25" customHeight="1">
      <c r="A8" s="3" t="s">
        <v>10</v>
      </c>
      <c r="B8" s="4" t="s">
        <v>9</v>
      </c>
    </row>
    <row r="9" spans="1:2" ht="25" customHeight="1">
      <c r="A9" s="6" t="s">
        <v>11</v>
      </c>
      <c r="B9" s="7" t="s">
        <v>9</v>
      </c>
    </row>
    <row r="10" spans="1:2" ht="25" customHeight="1">
      <c r="A10" s="3" t="s">
        <v>12</v>
      </c>
      <c r="B10" s="4" t="s">
        <v>9</v>
      </c>
    </row>
    <row r="11" spans="1:2" ht="25" customHeight="1">
      <c r="A11" s="6" t="s">
        <v>13</v>
      </c>
      <c r="B11" s="7" t="s">
        <v>9</v>
      </c>
    </row>
    <row r="12" spans="1:2" ht="25" customHeight="1">
      <c r="A12" s="3" t="s">
        <v>14</v>
      </c>
      <c r="B12" s="4" t="s">
        <v>9</v>
      </c>
    </row>
    <row r="13" spans="1:2" ht="25" customHeight="1">
      <c r="A13" s="6" t="s">
        <v>15</v>
      </c>
      <c r="B13" s="7" t="s">
        <v>9</v>
      </c>
    </row>
    <row r="14" spans="1:2" ht="25" customHeight="1">
      <c r="A14" s="3" t="s">
        <v>16</v>
      </c>
      <c r="B14" s="4" t="s">
        <v>9</v>
      </c>
    </row>
    <row r="15" spans="1:2" ht="25" customHeight="1">
      <c r="A15" s="6" t="s">
        <v>17</v>
      </c>
      <c r="B15" s="7" t="s">
        <v>9</v>
      </c>
    </row>
  </sheetData>
  <autoFilter ref="A5:B15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&amp;LContents&amp;RPage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15A29"/>
  </sheetPr>
  <dimension ref="A1:B13"/>
  <sheetViews>
    <sheetView showGridLines="0" zoomScale="90" zoomScaleNormal="90" workbookViewId="0"/>
  </sheetViews>
  <sheetFormatPr defaultRowHeight="15"/>
  <cols>
    <col min="1" max="1" width="44.7109375" customWidth="1"/>
    <col min="2" max="2" width="100.7109375" customWidth="1"/>
  </cols>
  <sheetData>
    <row r="1" spans="1:2" ht="9" customHeight="1"/>
    <row r="2" spans="1:2" ht="62" customHeight="1">
      <c r="A2" s="1" t="s">
        <v>18</v>
      </c>
      <c r="B2" s="8"/>
    </row>
    <row r="3" spans="1:2" ht="25" customHeight="1">
      <c r="A3" s="6" t="s">
        <v>19</v>
      </c>
      <c r="B3" s="7" t="s">
        <v>20</v>
      </c>
    </row>
    <row r="4" spans="1:2" ht="25" customHeight="1">
      <c r="A4" s="3" t="s">
        <v>21</v>
      </c>
      <c r="B4" s="4" t="s">
        <v>22</v>
      </c>
    </row>
    <row r="5" spans="1:2" ht="25" customHeight="1">
      <c r="A5" s="6" t="s">
        <v>23</v>
      </c>
      <c r="B5" s="7" t="s">
        <v>24</v>
      </c>
    </row>
    <row r="6" spans="1:2" ht="40" customHeight="1">
      <c r="A6" s="3" t="s">
        <v>25</v>
      </c>
      <c r="B6" s="4" t="s">
        <v>26</v>
      </c>
    </row>
    <row r="7" spans="1:2" ht="40" customHeight="1">
      <c r="A7" s="6" t="s">
        <v>2</v>
      </c>
      <c r="B7" s="7" t="s">
        <v>27</v>
      </c>
    </row>
    <row r="8" spans="1:2" ht="40" customHeight="1">
      <c r="A8" s="3" t="s">
        <v>28</v>
      </c>
      <c r="B8" s="4" t="s">
        <v>29</v>
      </c>
    </row>
    <row r="9" spans="1:2" ht="25" customHeight="1">
      <c r="A9" s="6" t="s">
        <v>30</v>
      </c>
      <c r="B9" s="7" t="s">
        <v>31</v>
      </c>
    </row>
    <row r="10" spans="1:2" ht="25" customHeight="1">
      <c r="A10" s="3" t="s">
        <v>32</v>
      </c>
      <c r="B10" s="4" t="s">
        <v>33</v>
      </c>
    </row>
    <row r="11" spans="1:2" ht="25" customHeight="1">
      <c r="A11" s="6" t="s">
        <v>34</v>
      </c>
      <c r="B11" s="7" t="s">
        <v>35</v>
      </c>
    </row>
    <row r="12" spans="1:2" ht="25" customHeight="1">
      <c r="A12" s="3" t="s">
        <v>36</v>
      </c>
      <c r="B12" s="4" t="s">
        <v>37</v>
      </c>
    </row>
    <row r="13" spans="1:2" ht="25" customHeight="1">
      <c r="A13" s="6" t="s">
        <v>38</v>
      </c>
      <c r="B13" s="7" t="s">
        <v>39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3" right="0.3" top="0.4" bottom="0.4" header="0.3" footer="0.3"/>
  <pageSetup paperSize="9" scale="85" orientation="landscape"/>
  <headerFooter>
    <oddFooter>&amp;LSummary&amp;RPage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C5658"/>
  </sheetPr>
  <dimension ref="A1:B1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1" spans="1:2" ht="9" customHeight="1"/>
    <row r="2" spans="1:2" ht="42" customHeight="1">
      <c r="A2" s="1" t="s">
        <v>8</v>
      </c>
      <c r="B2" s="1"/>
    </row>
    <row r="3" spans="1:2" ht="38" customHeight="1">
      <c r="A3" s="2" t="s">
        <v>40</v>
      </c>
      <c r="B3" s="2"/>
    </row>
    <row r="4" spans="1:2" ht="34" customHeight="1">
      <c r="A4" s="5" t="s">
        <v>41</v>
      </c>
      <c r="B4" s="5" t="s">
        <v>42</v>
      </c>
    </row>
    <row r="5" spans="1:2" ht="85" customHeight="1">
      <c r="A5" s="6" t="s">
        <v>43</v>
      </c>
      <c r="B5" s="7" t="s">
        <v>44</v>
      </c>
    </row>
    <row r="6" spans="1:2" ht="25" customHeight="1">
      <c r="A6" s="3" t="s">
        <v>45</v>
      </c>
      <c r="B6" s="9">
        <v>100000000</v>
      </c>
    </row>
    <row r="7" spans="1:2" ht="25" customHeight="1">
      <c r="A7" s="6" t="s">
        <v>46</v>
      </c>
      <c r="B7" s="10">
        <v>99.99999999999999</v>
      </c>
    </row>
    <row r="8" spans="1:2" ht="25" customHeight="1">
      <c r="A8" s="3" t="s">
        <v>47</v>
      </c>
      <c r="B8" s="9">
        <v>4.265101418387915</v>
      </c>
    </row>
    <row r="9" spans="1:2" ht="25" customHeight="1">
      <c r="A9" s="6" t="s">
        <v>48</v>
      </c>
      <c r="B9" s="10">
        <v>21.76650117980345</v>
      </c>
    </row>
    <row r="10" spans="1:2" ht="25" customHeight="1">
      <c r="A10" s="3" t="s">
        <v>49</v>
      </c>
      <c r="B10" s="9">
        <v>42651.01418387914</v>
      </c>
    </row>
    <row r="11" spans="1:2" ht="25" customHeight="1">
      <c r="A11" s="6" t="s">
        <v>50</v>
      </c>
      <c r="B11" s="10">
        <v>42651.01418387914</v>
      </c>
    </row>
    <row r="12" spans="1:2" ht="25" customHeight="1">
      <c r="A12" s="3" t="s">
        <v>51</v>
      </c>
      <c r="B12" s="9">
        <v>533</v>
      </c>
    </row>
    <row r="13" spans="1:2" ht="25" customHeight="1">
      <c r="A13" s="6" t="s">
        <v>52</v>
      </c>
      <c r="B13" s="10">
        <v>11.01418387913873</v>
      </c>
    </row>
    <row r="14" spans="1:2" ht="235" customHeight="1">
      <c r="A14" s="3" t="s">
        <v>53</v>
      </c>
      <c r="B14" s="4" t="s">
        <v>54</v>
      </c>
    </row>
  </sheetData>
  <autoFilter ref="A4:B14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&amp;LIllustrative bond risk&amp;RPage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C5658"/>
  </sheetPr>
  <dimension ref="A1:F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8.7109375" customWidth="1"/>
  </cols>
  <sheetData>
    <row r="1" spans="1:6" ht="9" customHeight="1"/>
    <row r="2" spans="1:6" ht="62" customHeight="1">
      <c r="A2" s="1" t="s">
        <v>55</v>
      </c>
      <c r="B2" s="1"/>
      <c r="C2" s="1"/>
      <c r="D2" s="1"/>
      <c r="E2" s="1"/>
      <c r="F2" s="1"/>
    </row>
    <row r="3" spans="1:6" ht="30" customHeight="1">
      <c r="A3" s="2" t="s">
        <v>56</v>
      </c>
      <c r="B3" s="2"/>
      <c r="C3" s="2"/>
      <c r="D3" s="2"/>
      <c r="E3" s="2"/>
      <c r="F3" s="2"/>
    </row>
    <row r="4" spans="1:6" ht="34" customHeight="1">
      <c r="A4" s="5" t="s">
        <v>57</v>
      </c>
      <c r="B4" s="5" t="s">
        <v>58</v>
      </c>
      <c r="C4" s="5" t="s">
        <v>59</v>
      </c>
      <c r="D4" s="5" t="s">
        <v>60</v>
      </c>
      <c r="E4" s="5" t="s">
        <v>61</v>
      </c>
      <c r="F4" s="5" t="s">
        <v>62</v>
      </c>
    </row>
  </sheetData>
  <autoFilter ref="A4:F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&amp;LScenarios&amp;RPage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C5658"/>
  </sheetPr>
  <dimension ref="A1:H14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1" spans="1:8" ht="9" customHeight="1"/>
    <row r="2" spans="1:8" ht="42" customHeight="1">
      <c r="A2" s="1" t="s">
        <v>63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56</v>
      </c>
      <c r="B3" s="2"/>
      <c r="C3" s="2"/>
      <c r="D3" s="2"/>
      <c r="E3" s="2"/>
      <c r="F3" s="2"/>
      <c r="G3" s="8"/>
      <c r="H3" s="8"/>
    </row>
    <row r="4" spans="1:8" ht="40" customHeight="1">
      <c r="A4" s="5" t="s">
        <v>64</v>
      </c>
      <c r="B4" s="5" t="s">
        <v>42</v>
      </c>
      <c r="C4" s="5" t="s">
        <v>65</v>
      </c>
      <c r="D4" s="5" t="s">
        <v>66</v>
      </c>
      <c r="E4" s="5" t="s">
        <v>67</v>
      </c>
      <c r="F4" s="5" t="s">
        <v>68</v>
      </c>
      <c r="G4" s="5" t="s">
        <v>69</v>
      </c>
      <c r="H4" s="5" t="s">
        <v>70</v>
      </c>
    </row>
    <row r="5" spans="1:8" ht="55" customHeight="1">
      <c r="A5" s="6" t="s">
        <v>71</v>
      </c>
      <c r="B5" s="10">
        <v>364.075</v>
      </c>
      <c r="C5" s="7" t="s">
        <v>72</v>
      </c>
      <c r="D5" s="7" t="b">
        <v>0</v>
      </c>
      <c r="E5" s="7" t="s">
        <v>73</v>
      </c>
      <c r="F5" s="7" t="s">
        <v>74</v>
      </c>
      <c r="G5" s="7" t="s">
        <v>75</v>
      </c>
      <c r="H5" s="7" t="s">
        <v>76</v>
      </c>
    </row>
    <row r="6" spans="1:8" ht="55" customHeight="1">
      <c r="A6" s="3" t="s">
        <v>77</v>
      </c>
      <c r="B6" s="9">
        <v>365.475</v>
      </c>
      <c r="C6" s="4" t="s">
        <v>72</v>
      </c>
      <c r="D6" s="4" t="b">
        <v>0</v>
      </c>
      <c r="E6" s="4" t="s">
        <v>73</v>
      </c>
      <c r="F6" s="4" t="s">
        <v>74</v>
      </c>
      <c r="G6" s="4" t="s">
        <v>75</v>
      </c>
      <c r="H6" s="4" t="s">
        <v>76</v>
      </c>
    </row>
    <row r="7" spans="1:8" ht="55" customHeight="1">
      <c r="A7" s="6" t="s">
        <v>78</v>
      </c>
      <c r="B7" s="7"/>
      <c r="C7" s="7" t="s">
        <v>79</v>
      </c>
      <c r="D7" s="7" t="b">
        <v>0</v>
      </c>
      <c r="E7" s="7" t="s">
        <v>80</v>
      </c>
      <c r="F7" s="7" t="s">
        <v>74</v>
      </c>
      <c r="G7" s="7" t="s">
        <v>75</v>
      </c>
      <c r="H7" s="7" t="s">
        <v>76</v>
      </c>
    </row>
    <row r="8" spans="1:8" ht="55" customHeight="1">
      <c r="A8" s="3" t="s">
        <v>81</v>
      </c>
      <c r="B8" s="4"/>
      <c r="C8" s="4" t="s">
        <v>79</v>
      </c>
      <c r="D8" s="4" t="b">
        <v>0</v>
      </c>
      <c r="E8" s="4" t="s">
        <v>80</v>
      </c>
      <c r="F8" s="4" t="s">
        <v>74</v>
      </c>
      <c r="G8" s="4" t="s">
        <v>75</v>
      </c>
      <c r="H8" s="4" t="s">
        <v>76</v>
      </c>
    </row>
    <row r="9" spans="1:8" ht="55" customHeight="1">
      <c r="A9" s="6" t="s">
        <v>82</v>
      </c>
      <c r="B9" s="7"/>
      <c r="C9" s="7" t="s">
        <v>79</v>
      </c>
      <c r="D9" s="7" t="b">
        <v>0</v>
      </c>
      <c r="E9" s="7" t="s">
        <v>80</v>
      </c>
      <c r="F9" s="7" t="s">
        <v>74</v>
      </c>
      <c r="G9" s="7" t="s">
        <v>75</v>
      </c>
      <c r="H9" s="7" t="s">
        <v>76</v>
      </c>
    </row>
    <row r="10" spans="1:8" ht="55" customHeight="1">
      <c r="A10" s="3" t="s">
        <v>83</v>
      </c>
      <c r="B10" s="4"/>
      <c r="C10" s="4" t="s">
        <v>79</v>
      </c>
      <c r="D10" s="4" t="b">
        <v>0</v>
      </c>
      <c r="E10" s="4" t="s">
        <v>80</v>
      </c>
      <c r="F10" s="4" t="s">
        <v>74</v>
      </c>
      <c r="G10" s="4" t="s">
        <v>75</v>
      </c>
      <c r="H10" s="4" t="s">
        <v>76</v>
      </c>
    </row>
    <row r="11" spans="1:8" ht="55" customHeight="1">
      <c r="A11" s="6" t="s">
        <v>84</v>
      </c>
      <c r="B11" s="10">
        <v>921.881</v>
      </c>
      <c r="C11" s="7" t="s">
        <v>72</v>
      </c>
      <c r="D11" s="7" t="b">
        <v>0</v>
      </c>
      <c r="E11" s="7" t="s">
        <v>73</v>
      </c>
      <c r="F11" s="7" t="s">
        <v>74</v>
      </c>
      <c r="G11" s="7" t="s">
        <v>75</v>
      </c>
      <c r="H11" s="7" t="s">
        <v>76</v>
      </c>
    </row>
    <row r="12" spans="1:8" ht="55" customHeight="1">
      <c r="A12" s="3" t="s">
        <v>85</v>
      </c>
      <c r="B12" s="9">
        <v>1463.019</v>
      </c>
      <c r="C12" s="4" t="s">
        <v>72</v>
      </c>
      <c r="D12" s="4" t="b">
        <v>0</v>
      </c>
      <c r="E12" s="4" t="s">
        <v>73</v>
      </c>
      <c r="F12" s="4" t="s">
        <v>74</v>
      </c>
      <c r="G12" s="4" t="s">
        <v>75</v>
      </c>
      <c r="H12" s="4" t="s">
        <v>76</v>
      </c>
    </row>
    <row r="13" spans="1:8" ht="55" customHeight="1">
      <c r="A13" s="6" t="s">
        <v>86</v>
      </c>
      <c r="B13" s="7"/>
      <c r="C13" s="7" t="s">
        <v>79</v>
      </c>
      <c r="D13" s="7" t="b">
        <v>0</v>
      </c>
      <c r="E13" s="7" t="s">
        <v>80</v>
      </c>
      <c r="F13" s="7" t="s">
        <v>74</v>
      </c>
      <c r="G13" s="7" t="s">
        <v>75</v>
      </c>
      <c r="H13" s="7" t="s">
        <v>76</v>
      </c>
    </row>
    <row r="14" spans="1:8" ht="55" customHeight="1">
      <c r="A14" s="3" t="s">
        <v>87</v>
      </c>
      <c r="B14" s="4"/>
      <c r="C14" s="4" t="s">
        <v>79</v>
      </c>
      <c r="D14" s="4" t="b">
        <v>0</v>
      </c>
      <c r="E14" s="4" t="s">
        <v>80</v>
      </c>
      <c r="F14" s="4" t="s">
        <v>74</v>
      </c>
      <c r="G14" s="4" t="s">
        <v>75</v>
      </c>
      <c r="H14" s="4" t="s">
        <v>76</v>
      </c>
    </row>
    <row r="15" spans="1:8" ht="55" customHeight="1">
      <c r="A15" s="6" t="s">
        <v>88</v>
      </c>
      <c r="B15" s="10">
        <v>12368.198</v>
      </c>
      <c r="C15" s="7" t="s">
        <v>72</v>
      </c>
      <c r="D15" s="7" t="b">
        <v>0</v>
      </c>
      <c r="E15" s="7" t="s">
        <v>73</v>
      </c>
      <c r="F15" s="7" t="s">
        <v>74</v>
      </c>
      <c r="G15" s="7" t="s">
        <v>75</v>
      </c>
      <c r="H15" s="7" t="s">
        <v>76</v>
      </c>
    </row>
    <row r="16" spans="1:8" ht="55" customHeight="1">
      <c r="A16" s="3" t="s">
        <v>89</v>
      </c>
      <c r="B16" s="9">
        <v>306.612</v>
      </c>
      <c r="C16" s="4" t="s">
        <v>72</v>
      </c>
      <c r="D16" s="4" t="b">
        <v>0</v>
      </c>
      <c r="E16" s="4" t="s">
        <v>73</v>
      </c>
      <c r="F16" s="4" t="s">
        <v>74</v>
      </c>
      <c r="G16" s="4" t="s">
        <v>75</v>
      </c>
      <c r="H16" s="4" t="s">
        <v>76</v>
      </c>
    </row>
    <row r="17" spans="1:8" ht="55" customHeight="1">
      <c r="A17" s="6" t="s">
        <v>90</v>
      </c>
      <c r="B17" s="10">
        <v>587.426</v>
      </c>
      <c r="C17" s="7" t="s">
        <v>72</v>
      </c>
      <c r="D17" s="7" t="b">
        <v>0</v>
      </c>
      <c r="E17" s="7" t="s">
        <v>73</v>
      </c>
      <c r="F17" s="7" t="s">
        <v>74</v>
      </c>
      <c r="G17" s="7" t="s">
        <v>75</v>
      </c>
      <c r="H17" s="7" t="s">
        <v>76</v>
      </c>
    </row>
    <row r="18" spans="1:8" ht="55" customHeight="1">
      <c r="A18" s="3" t="s">
        <v>91</v>
      </c>
      <c r="B18" s="9">
        <v>393.933</v>
      </c>
      <c r="C18" s="4" t="s">
        <v>72</v>
      </c>
      <c r="D18" s="4" t="b">
        <v>0</v>
      </c>
      <c r="E18" s="4" t="s">
        <v>73</v>
      </c>
      <c r="F18" s="4" t="s">
        <v>74</v>
      </c>
      <c r="G18" s="4" t="s">
        <v>75</v>
      </c>
      <c r="H18" s="4" t="s">
        <v>76</v>
      </c>
    </row>
    <row r="19" spans="1:8" ht="55" customHeight="1">
      <c r="A19" s="6" t="s">
        <v>92</v>
      </c>
      <c r="B19" s="7"/>
      <c r="C19" s="7" t="s">
        <v>79</v>
      </c>
      <c r="D19" s="7" t="b">
        <v>0</v>
      </c>
      <c r="E19" s="7" t="s">
        <v>80</v>
      </c>
      <c r="F19" s="7" t="s">
        <v>74</v>
      </c>
      <c r="G19" s="7" t="s">
        <v>75</v>
      </c>
      <c r="H19" s="7" t="s">
        <v>76</v>
      </c>
    </row>
    <row r="20" spans="1:8" ht="55" customHeight="1">
      <c r="A20" s="3" t="s">
        <v>93</v>
      </c>
      <c r="B20" s="4"/>
      <c r="C20" s="4" t="s">
        <v>79</v>
      </c>
      <c r="D20" s="4" t="b">
        <v>0</v>
      </c>
      <c r="E20" s="4" t="s">
        <v>80</v>
      </c>
      <c r="F20" s="4" t="s">
        <v>74</v>
      </c>
      <c r="G20" s="4" t="s">
        <v>75</v>
      </c>
      <c r="H20" s="4" t="s">
        <v>76</v>
      </c>
    </row>
    <row r="21" spans="1:8" ht="55" customHeight="1">
      <c r="A21" s="6" t="s">
        <v>94</v>
      </c>
      <c r="B21" s="10">
        <v>2848.797</v>
      </c>
      <c r="C21" s="7" t="s">
        <v>72</v>
      </c>
      <c r="D21" s="7" t="b">
        <v>0</v>
      </c>
      <c r="E21" s="7" t="s">
        <v>73</v>
      </c>
      <c r="F21" s="7" t="s">
        <v>74</v>
      </c>
      <c r="G21" s="7" t="s">
        <v>75</v>
      </c>
      <c r="H21" s="7" t="s">
        <v>76</v>
      </c>
    </row>
    <row r="22" spans="1:8" ht="55" customHeight="1">
      <c r="A22" s="3" t="s">
        <v>95</v>
      </c>
      <c r="B22" s="4"/>
      <c r="C22" s="4" t="s">
        <v>79</v>
      </c>
      <c r="D22" s="4" t="b">
        <v>0</v>
      </c>
      <c r="E22" s="4" t="s">
        <v>80</v>
      </c>
      <c r="F22" s="4" t="s">
        <v>74</v>
      </c>
      <c r="G22" s="4" t="s">
        <v>75</v>
      </c>
      <c r="H22" s="4" t="s">
        <v>76</v>
      </c>
    </row>
    <row r="23" spans="1:8" ht="55" customHeight="1">
      <c r="A23" s="6" t="s">
        <v>96</v>
      </c>
      <c r="B23" s="10">
        <v>1527.335</v>
      </c>
      <c r="C23" s="7" t="s">
        <v>72</v>
      </c>
      <c r="D23" s="7" t="b">
        <v>0</v>
      </c>
      <c r="E23" s="7" t="s">
        <v>73</v>
      </c>
      <c r="F23" s="7" t="s">
        <v>74</v>
      </c>
      <c r="G23" s="7" t="s">
        <v>75</v>
      </c>
      <c r="H23" s="7" t="s">
        <v>76</v>
      </c>
    </row>
    <row r="24" spans="1:8" ht="55" customHeight="1">
      <c r="A24" s="3" t="s">
        <v>97</v>
      </c>
      <c r="B24" s="9">
        <v>1282.365</v>
      </c>
      <c r="C24" s="4" t="s">
        <v>72</v>
      </c>
      <c r="D24" s="4" t="b">
        <v>0</v>
      </c>
      <c r="E24" s="4" t="s">
        <v>73</v>
      </c>
      <c r="F24" s="4" t="s">
        <v>74</v>
      </c>
      <c r="G24" s="4" t="s">
        <v>75</v>
      </c>
      <c r="H24" s="4" t="s">
        <v>76</v>
      </c>
    </row>
    <row r="25" spans="1:8" ht="55" customHeight="1">
      <c r="A25" s="6" t="s">
        <v>98</v>
      </c>
      <c r="B25" s="10">
        <v>1288.728</v>
      </c>
      <c r="C25" s="7" t="s">
        <v>72</v>
      </c>
      <c r="D25" s="7" t="b">
        <v>0</v>
      </c>
      <c r="E25" s="7" t="s">
        <v>73</v>
      </c>
      <c r="F25" s="7" t="s">
        <v>74</v>
      </c>
      <c r="G25" s="7" t="s">
        <v>75</v>
      </c>
      <c r="H25" s="7" t="s">
        <v>76</v>
      </c>
    </row>
    <row r="26" spans="1:8" ht="55" customHeight="1">
      <c r="A26" s="3" t="s">
        <v>99</v>
      </c>
      <c r="B26" s="9">
        <v>114.877</v>
      </c>
      <c r="C26" s="4" t="s">
        <v>72</v>
      </c>
      <c r="D26" s="4" t="b">
        <v>0</v>
      </c>
      <c r="E26" s="4" t="s">
        <v>73</v>
      </c>
      <c r="F26" s="4" t="s">
        <v>74</v>
      </c>
      <c r="G26" s="4" t="s">
        <v>75</v>
      </c>
      <c r="H26" s="4" t="s">
        <v>76</v>
      </c>
    </row>
    <row r="27" spans="1:8" ht="55" customHeight="1">
      <c r="A27" s="6" t="s">
        <v>100</v>
      </c>
      <c r="B27" s="10">
        <v>12984.399</v>
      </c>
      <c r="C27" s="7" t="s">
        <v>72</v>
      </c>
      <c r="D27" s="7" t="b">
        <v>0</v>
      </c>
      <c r="E27" s="7" t="s">
        <v>73</v>
      </c>
      <c r="F27" s="7" t="s">
        <v>74</v>
      </c>
      <c r="G27" s="7" t="s">
        <v>75</v>
      </c>
      <c r="H27" s="7" t="s">
        <v>76</v>
      </c>
    </row>
    <row r="28" spans="1:8" ht="55" customHeight="1">
      <c r="A28" s="3" t="s">
        <v>101</v>
      </c>
      <c r="B28" s="9">
        <v>243.244</v>
      </c>
      <c r="C28" s="4" t="s">
        <v>72</v>
      </c>
      <c r="D28" s="4" t="b">
        <v>0</v>
      </c>
      <c r="E28" s="4" t="s">
        <v>73</v>
      </c>
      <c r="F28" s="4" t="s">
        <v>74</v>
      </c>
      <c r="G28" s="4" t="s">
        <v>75</v>
      </c>
      <c r="H28" s="4" t="s">
        <v>76</v>
      </c>
    </row>
    <row r="29" spans="1:8" ht="40" customHeight="1">
      <c r="A29" s="6" t="s">
        <v>102</v>
      </c>
      <c r="B29" s="10">
        <v>802.5650000000001</v>
      </c>
      <c r="C29" s="7" t="s">
        <v>72</v>
      </c>
      <c r="D29" s="7" t="b">
        <v>1</v>
      </c>
      <c r="E29" s="7" t="s">
        <v>73</v>
      </c>
      <c r="F29" s="7" t="s">
        <v>74</v>
      </c>
      <c r="G29" s="7" t="s">
        <v>103</v>
      </c>
      <c r="H29" s="7" t="s">
        <v>76</v>
      </c>
    </row>
    <row r="30" spans="1:8" ht="40" customHeight="1">
      <c r="A30" s="3" t="s">
        <v>104</v>
      </c>
      <c r="B30" s="9">
        <v>400.409</v>
      </c>
      <c r="C30" s="4" t="s">
        <v>72</v>
      </c>
      <c r="D30" s="4" t="b">
        <v>1</v>
      </c>
      <c r="E30" s="4" t="s">
        <v>73</v>
      </c>
      <c r="F30" s="4" t="s">
        <v>74</v>
      </c>
      <c r="G30" s="4" t="s">
        <v>103</v>
      </c>
      <c r="H30" s="4" t="s">
        <v>76</v>
      </c>
    </row>
    <row r="31" spans="1:8" ht="55" customHeight="1">
      <c r="A31" s="6" t="s">
        <v>105</v>
      </c>
      <c r="B31" s="7"/>
      <c r="C31" s="7" t="s">
        <v>79</v>
      </c>
      <c r="D31" s="7" t="b">
        <v>1</v>
      </c>
      <c r="E31" s="7" t="s">
        <v>80</v>
      </c>
      <c r="F31" s="7" t="s">
        <v>74</v>
      </c>
      <c r="G31" s="7" t="s">
        <v>106</v>
      </c>
      <c r="H31" s="7" t="s">
        <v>76</v>
      </c>
    </row>
    <row r="32" spans="1:8" ht="85" customHeight="1">
      <c r="A32" s="3" t="s">
        <v>107</v>
      </c>
      <c r="B32" s="9">
        <v>1874.341</v>
      </c>
      <c r="C32" s="4" t="s">
        <v>72</v>
      </c>
      <c r="D32" s="4" t="b">
        <v>1</v>
      </c>
      <c r="E32" s="4" t="s">
        <v>108</v>
      </c>
      <c r="F32" s="4" t="s">
        <v>74</v>
      </c>
      <c r="G32" s="4" t="s">
        <v>103</v>
      </c>
      <c r="H32" s="4" t="s">
        <v>76</v>
      </c>
    </row>
    <row r="33" spans="1:8" ht="40" customHeight="1">
      <c r="A33" s="6" t="s">
        <v>109</v>
      </c>
      <c r="B33" s="10">
        <v>3349.83</v>
      </c>
      <c r="C33" s="7" t="s">
        <v>72</v>
      </c>
      <c r="D33" s="7" t="b">
        <v>1</v>
      </c>
      <c r="E33" s="7" t="s">
        <v>73</v>
      </c>
      <c r="F33" s="7" t="s">
        <v>74</v>
      </c>
      <c r="G33" s="7" t="s">
        <v>103</v>
      </c>
      <c r="H33" s="7" t="s">
        <v>76</v>
      </c>
    </row>
    <row r="34" spans="1:8" ht="40" customHeight="1">
      <c r="A34" s="3" t="s">
        <v>110</v>
      </c>
      <c r="B34" s="4"/>
      <c r="C34" s="4" t="s">
        <v>79</v>
      </c>
      <c r="D34" s="4" t="b">
        <v>1</v>
      </c>
      <c r="E34" s="4" t="s">
        <v>80</v>
      </c>
      <c r="F34" s="4" t="s">
        <v>74</v>
      </c>
      <c r="G34" s="4" t="s">
        <v>103</v>
      </c>
      <c r="H34" s="4" t="s">
        <v>76</v>
      </c>
    </row>
    <row r="35" spans="1:8" ht="40" customHeight="1">
      <c r="A35" s="6" t="s">
        <v>111</v>
      </c>
      <c r="B35" s="10">
        <v>1311.835</v>
      </c>
      <c r="C35" s="7" t="s">
        <v>72</v>
      </c>
      <c r="D35" s="7" t="b">
        <v>1</v>
      </c>
      <c r="E35" s="7" t="s">
        <v>73</v>
      </c>
      <c r="F35" s="7" t="s">
        <v>74</v>
      </c>
      <c r="G35" s="7" t="s">
        <v>103</v>
      </c>
      <c r="H35" s="7" t="s">
        <v>76</v>
      </c>
    </row>
    <row r="36" spans="1:8" ht="40" customHeight="1">
      <c r="A36" s="3" t="s">
        <v>112</v>
      </c>
      <c r="B36" s="9">
        <v>1473.932</v>
      </c>
      <c r="C36" s="4" t="s">
        <v>72</v>
      </c>
      <c r="D36" s="4" t="b">
        <v>1</v>
      </c>
      <c r="E36" s="4" t="s">
        <v>73</v>
      </c>
      <c r="F36" s="4" t="s">
        <v>74</v>
      </c>
      <c r="G36" s="4" t="s">
        <v>103</v>
      </c>
      <c r="H36" s="4" t="s">
        <v>76</v>
      </c>
    </row>
    <row r="37" spans="1:8" ht="40" customHeight="1">
      <c r="A37" s="6" t="s">
        <v>113</v>
      </c>
      <c r="B37" s="10">
        <v>1497.743</v>
      </c>
      <c r="C37" s="7" t="s">
        <v>72</v>
      </c>
      <c r="D37" s="7" t="b">
        <v>1</v>
      </c>
      <c r="E37" s="7" t="s">
        <v>73</v>
      </c>
      <c r="F37" s="7" t="s">
        <v>74</v>
      </c>
      <c r="G37" s="7" t="s">
        <v>103</v>
      </c>
      <c r="H37" s="7" t="s">
        <v>76</v>
      </c>
    </row>
    <row r="38" spans="1:8" ht="40" customHeight="1">
      <c r="A38" s="3" t="s">
        <v>114</v>
      </c>
      <c r="B38" s="9">
        <v>214.25</v>
      </c>
      <c r="C38" s="4" t="s">
        <v>72</v>
      </c>
      <c r="D38" s="4" t="b">
        <v>1</v>
      </c>
      <c r="E38" s="4" t="s">
        <v>73</v>
      </c>
      <c r="F38" s="4" t="s">
        <v>74</v>
      </c>
      <c r="G38" s="4" t="s">
        <v>103</v>
      </c>
      <c r="H38" s="4" t="s">
        <v>76</v>
      </c>
    </row>
    <row r="39" spans="1:8" ht="40" customHeight="1">
      <c r="A39" s="6" t="s">
        <v>115</v>
      </c>
      <c r="B39" s="10">
        <v>13442.849</v>
      </c>
      <c r="C39" s="7" t="s">
        <v>72</v>
      </c>
      <c r="D39" s="7" t="b">
        <v>1</v>
      </c>
      <c r="E39" s="7" t="s">
        <v>73</v>
      </c>
      <c r="F39" s="7" t="s">
        <v>74</v>
      </c>
      <c r="G39" s="7" t="s">
        <v>103</v>
      </c>
      <c r="H39" s="7" t="s">
        <v>76</v>
      </c>
    </row>
    <row r="40" spans="1:8" ht="40" customHeight="1">
      <c r="A40" s="3" t="s">
        <v>116</v>
      </c>
      <c r="B40" s="9">
        <v>399.467</v>
      </c>
      <c r="C40" s="4" t="s">
        <v>72</v>
      </c>
      <c r="D40" s="4" t="b">
        <v>1</v>
      </c>
      <c r="E40" s="4" t="s">
        <v>73</v>
      </c>
      <c r="F40" s="4" t="s">
        <v>74</v>
      </c>
      <c r="G40" s="4" t="s">
        <v>103</v>
      </c>
      <c r="H40" s="4" t="s">
        <v>76</v>
      </c>
    </row>
    <row r="41" spans="1:8" ht="85" customHeight="1">
      <c r="A41" s="6" t="s">
        <v>117</v>
      </c>
      <c r="B41" s="7" t="s">
        <v>118</v>
      </c>
      <c r="C41" s="7" t="s">
        <v>72</v>
      </c>
      <c r="D41" s="7" t="b">
        <v>1</v>
      </c>
      <c r="E41" s="7" t="s">
        <v>119</v>
      </c>
      <c r="F41" s="7" t="s">
        <v>120</v>
      </c>
      <c r="G41" s="7" t="s">
        <v>121</v>
      </c>
      <c r="H41" s="7" t="s">
        <v>122</v>
      </c>
    </row>
    <row r="42" spans="1:8" ht="55" customHeight="1">
      <c r="A42" s="3" t="s">
        <v>123</v>
      </c>
      <c r="B42" s="4"/>
      <c r="C42" s="4" t="s">
        <v>79</v>
      </c>
      <c r="D42" s="4" t="b">
        <v>1</v>
      </c>
      <c r="E42" s="4" t="s">
        <v>80</v>
      </c>
      <c r="F42" s="4" t="s">
        <v>124</v>
      </c>
      <c r="G42" s="4" t="s">
        <v>121</v>
      </c>
      <c r="H42" s="4" t="s">
        <v>122</v>
      </c>
    </row>
    <row r="43" spans="1:8" ht="55" customHeight="1">
      <c r="A43" s="6" t="s">
        <v>125</v>
      </c>
      <c r="B43" s="7"/>
      <c r="C43" s="7" t="s">
        <v>79</v>
      </c>
      <c r="D43" s="7" t="b">
        <v>1</v>
      </c>
      <c r="E43" s="7" t="s">
        <v>80</v>
      </c>
      <c r="F43" s="7" t="s">
        <v>126</v>
      </c>
      <c r="G43" s="7" t="s">
        <v>121</v>
      </c>
      <c r="H43" s="7" t="s">
        <v>122</v>
      </c>
    </row>
    <row r="44" spans="1:8" ht="55" customHeight="1">
      <c r="A44" s="3" t="s">
        <v>127</v>
      </c>
      <c r="B44" s="4"/>
      <c r="C44" s="4" t="s">
        <v>79</v>
      </c>
      <c r="D44" s="4" t="b">
        <v>1</v>
      </c>
      <c r="E44" s="4" t="s">
        <v>80</v>
      </c>
      <c r="F44" s="4" t="s">
        <v>128</v>
      </c>
      <c r="G44" s="4" t="s">
        <v>121</v>
      </c>
      <c r="H44" s="4" t="s">
        <v>122</v>
      </c>
    </row>
    <row r="45" spans="1:8" ht="55" customHeight="1">
      <c r="A45" s="6" t="s">
        <v>129</v>
      </c>
      <c r="B45" s="7"/>
      <c r="C45" s="7" t="s">
        <v>79</v>
      </c>
      <c r="D45" s="7" t="b">
        <v>1</v>
      </c>
      <c r="E45" s="7" t="s">
        <v>80</v>
      </c>
      <c r="F45" s="7" t="s">
        <v>130</v>
      </c>
      <c r="G45" s="7" t="s">
        <v>121</v>
      </c>
      <c r="H45" s="7" t="s">
        <v>122</v>
      </c>
    </row>
    <row r="46" spans="1:8" ht="55" customHeight="1">
      <c r="A46" s="3" t="s">
        <v>131</v>
      </c>
      <c r="B46" s="4"/>
      <c r="C46" s="4" t="s">
        <v>79</v>
      </c>
      <c r="D46" s="4" t="b">
        <v>1</v>
      </c>
      <c r="E46" s="4" t="s">
        <v>80</v>
      </c>
      <c r="F46" s="4" t="s">
        <v>132</v>
      </c>
      <c r="G46" s="4" t="s">
        <v>121</v>
      </c>
      <c r="H46" s="4" t="s">
        <v>122</v>
      </c>
    </row>
    <row r="47" spans="1:8" ht="55" customHeight="1">
      <c r="A47" s="6" t="s">
        <v>133</v>
      </c>
      <c r="B47" s="7"/>
      <c r="C47" s="7" t="s">
        <v>79</v>
      </c>
      <c r="D47" s="7" t="b">
        <v>1</v>
      </c>
      <c r="E47" s="7" t="s">
        <v>80</v>
      </c>
      <c r="F47" s="7" t="s">
        <v>134</v>
      </c>
      <c r="G47" s="7" t="s">
        <v>121</v>
      </c>
      <c r="H47" s="7" t="s">
        <v>122</v>
      </c>
    </row>
    <row r="48" spans="1:8" ht="70" customHeight="1">
      <c r="A48" s="3" t="s">
        <v>135</v>
      </c>
      <c r="B48" s="4" t="s">
        <v>136</v>
      </c>
      <c r="C48" s="4" t="s">
        <v>72</v>
      </c>
      <c r="D48" s="4" t="b">
        <v>1</v>
      </c>
      <c r="E48" s="4" t="s">
        <v>119</v>
      </c>
      <c r="F48" s="4" t="s">
        <v>137</v>
      </c>
      <c r="G48" s="4" t="s">
        <v>121</v>
      </c>
      <c r="H48" s="4" t="s">
        <v>122</v>
      </c>
    </row>
    <row r="49" spans="1:8" ht="40" customHeight="1">
      <c r="A49" s="6" t="s">
        <v>138</v>
      </c>
      <c r="B49" s="7"/>
      <c r="C49" s="7" t="s">
        <v>79</v>
      </c>
      <c r="D49" s="7" t="b">
        <v>1</v>
      </c>
      <c r="E49" s="7" t="s">
        <v>80</v>
      </c>
      <c r="F49" s="7" t="s">
        <v>139</v>
      </c>
      <c r="G49" s="7" t="s">
        <v>140</v>
      </c>
      <c r="H49" s="7" t="s">
        <v>141</v>
      </c>
    </row>
    <row r="50" spans="1:8" ht="55" customHeight="1">
      <c r="A50" s="3" t="s">
        <v>142</v>
      </c>
      <c r="B50" s="9">
        <v>1484.217</v>
      </c>
      <c r="C50" s="4" t="s">
        <v>72</v>
      </c>
      <c r="D50" s="4" t="b">
        <v>0</v>
      </c>
      <c r="E50" s="4" t="s">
        <v>73</v>
      </c>
      <c r="F50" s="4" t="s">
        <v>139</v>
      </c>
      <c r="G50" s="4" t="s">
        <v>143</v>
      </c>
      <c r="H50" s="4" t="s">
        <v>141</v>
      </c>
    </row>
    <row r="51" spans="1:8" ht="40" customHeight="1">
      <c r="A51" s="6" t="s">
        <v>144</v>
      </c>
      <c r="B51" s="7"/>
      <c r="C51" s="7" t="s">
        <v>79</v>
      </c>
      <c r="D51" s="7" t="b">
        <v>1</v>
      </c>
      <c r="E51" s="7" t="s">
        <v>80</v>
      </c>
      <c r="F51" s="7" t="s">
        <v>139</v>
      </c>
      <c r="G51" s="7" t="s">
        <v>140</v>
      </c>
      <c r="H51" s="7" t="s">
        <v>141</v>
      </c>
    </row>
    <row r="52" spans="1:8" ht="40" customHeight="1">
      <c r="A52" s="3" t="s">
        <v>145</v>
      </c>
      <c r="B52" s="4"/>
      <c r="C52" s="4" t="s">
        <v>79</v>
      </c>
      <c r="D52" s="4" t="b">
        <v>1</v>
      </c>
      <c r="E52" s="4" t="s">
        <v>80</v>
      </c>
      <c r="F52" s="4" t="s">
        <v>139</v>
      </c>
      <c r="G52" s="4" t="s">
        <v>140</v>
      </c>
      <c r="H52" s="4" t="s">
        <v>141</v>
      </c>
    </row>
    <row r="53" spans="1:8" ht="85" customHeight="1">
      <c r="A53" s="6" t="s">
        <v>146</v>
      </c>
      <c r="B53" s="7" t="s">
        <v>147</v>
      </c>
      <c r="C53" s="7" t="s">
        <v>148</v>
      </c>
      <c r="D53" s="7" t="b">
        <v>1</v>
      </c>
      <c r="E53" s="7" t="s">
        <v>149</v>
      </c>
      <c r="F53" s="7" t="s">
        <v>150</v>
      </c>
      <c r="G53" s="7" t="s">
        <v>151</v>
      </c>
      <c r="H53" s="7" t="s">
        <v>152</v>
      </c>
    </row>
    <row r="54" spans="1:8" ht="70" customHeight="1">
      <c r="A54" s="3" t="s">
        <v>153</v>
      </c>
      <c r="B54" s="4" t="s">
        <v>154</v>
      </c>
      <c r="C54" s="4" t="s">
        <v>148</v>
      </c>
      <c r="D54" s="4" t="b">
        <v>1</v>
      </c>
      <c r="E54" s="4" t="s">
        <v>155</v>
      </c>
      <c r="F54" s="4" t="s">
        <v>150</v>
      </c>
      <c r="G54" s="4" t="s">
        <v>151</v>
      </c>
      <c r="H54" s="4" t="s">
        <v>152</v>
      </c>
    </row>
    <row r="55" spans="1:8" ht="190" customHeight="1">
      <c r="A55" s="6" t="s">
        <v>156</v>
      </c>
      <c r="B55" s="7" t="s">
        <v>157</v>
      </c>
      <c r="C55" s="7" t="s">
        <v>148</v>
      </c>
      <c r="D55" s="7" t="b">
        <v>1</v>
      </c>
      <c r="E55" s="7" t="s">
        <v>158</v>
      </c>
      <c r="F55" s="7" t="s">
        <v>150</v>
      </c>
      <c r="G55" s="7" t="s">
        <v>151</v>
      </c>
      <c r="H55" s="7" t="s">
        <v>152</v>
      </c>
    </row>
    <row r="56" spans="1:8" ht="310" customHeight="1">
      <c r="A56" s="3" t="s">
        <v>159</v>
      </c>
      <c r="B56" s="4" t="s">
        <v>160</v>
      </c>
      <c r="C56" s="4" t="s">
        <v>148</v>
      </c>
      <c r="D56" s="4" t="b">
        <v>1</v>
      </c>
      <c r="E56" s="4" t="s">
        <v>161</v>
      </c>
      <c r="F56" s="4" t="s">
        <v>150</v>
      </c>
      <c r="G56" s="4" t="s">
        <v>151</v>
      </c>
      <c r="H56" s="4" t="s">
        <v>152</v>
      </c>
    </row>
    <row r="57" spans="1:8" ht="295" customHeight="1">
      <c r="A57" s="6" t="s">
        <v>162</v>
      </c>
      <c r="B57" s="7" t="s">
        <v>163</v>
      </c>
      <c r="C57" s="7" t="s">
        <v>148</v>
      </c>
      <c r="D57" s="7" t="b">
        <v>1</v>
      </c>
      <c r="E57" s="7" t="s">
        <v>164</v>
      </c>
      <c r="F57" s="7" t="s">
        <v>150</v>
      </c>
      <c r="G57" s="7" t="s">
        <v>151</v>
      </c>
      <c r="H57" s="7" t="s">
        <v>152</v>
      </c>
    </row>
    <row r="58" spans="1:8" ht="70" customHeight="1">
      <c r="A58" s="3" t="s">
        <v>165</v>
      </c>
      <c r="B58" s="4" t="s">
        <v>166</v>
      </c>
      <c r="C58" s="4" t="s">
        <v>148</v>
      </c>
      <c r="D58" s="4" t="b">
        <v>1</v>
      </c>
      <c r="E58" s="4" t="s">
        <v>167</v>
      </c>
      <c r="F58" s="4" t="s">
        <v>150</v>
      </c>
      <c r="G58" s="4" t="s">
        <v>151</v>
      </c>
      <c r="H58" s="4" t="s">
        <v>152</v>
      </c>
    </row>
    <row r="59" spans="1:8" ht="55" customHeight="1">
      <c r="A59" s="6" t="s">
        <v>168</v>
      </c>
      <c r="B59" s="10">
        <v>1689.94</v>
      </c>
      <c r="C59" s="7" t="s">
        <v>72</v>
      </c>
      <c r="D59" s="7" t="b">
        <v>0</v>
      </c>
      <c r="E59" s="7" t="s">
        <v>119</v>
      </c>
      <c r="F59" s="7" t="s">
        <v>169</v>
      </c>
      <c r="G59" s="7" t="s">
        <v>170</v>
      </c>
      <c r="H59" s="7" t="s">
        <v>171</v>
      </c>
    </row>
    <row r="60" spans="1:8" ht="85" customHeight="1">
      <c r="A60" s="3" t="s">
        <v>172</v>
      </c>
      <c r="B60" s="4" t="s">
        <v>173</v>
      </c>
      <c r="C60" s="4" t="s">
        <v>72</v>
      </c>
      <c r="D60" s="4" t="b">
        <v>0</v>
      </c>
      <c r="E60" s="4" t="s">
        <v>174</v>
      </c>
      <c r="F60" s="4" t="s">
        <v>169</v>
      </c>
      <c r="G60" s="4" t="s">
        <v>170</v>
      </c>
      <c r="H60" s="4" t="s">
        <v>171</v>
      </c>
    </row>
    <row r="61" spans="1:8" ht="145" customHeight="1">
      <c r="A61" s="6" t="s">
        <v>175</v>
      </c>
      <c r="B61" s="7" t="s">
        <v>176</v>
      </c>
      <c r="C61" s="7" t="s">
        <v>72</v>
      </c>
      <c r="D61" s="7" t="b">
        <v>0</v>
      </c>
      <c r="E61" s="7" t="s">
        <v>177</v>
      </c>
      <c r="F61" s="7" t="s">
        <v>169</v>
      </c>
      <c r="G61" s="7" t="s">
        <v>170</v>
      </c>
      <c r="H61" s="7" t="s">
        <v>171</v>
      </c>
    </row>
    <row r="62" spans="1:8" ht="55" customHeight="1">
      <c r="A62" s="3" t="s">
        <v>178</v>
      </c>
      <c r="B62" s="4" t="s">
        <v>179</v>
      </c>
      <c r="C62" s="4" t="s">
        <v>72</v>
      </c>
      <c r="D62" s="4" t="b">
        <v>0</v>
      </c>
      <c r="E62" s="4" t="s">
        <v>180</v>
      </c>
      <c r="F62" s="4" t="s">
        <v>169</v>
      </c>
      <c r="G62" s="4" t="s">
        <v>170</v>
      </c>
      <c r="H62" s="4" t="s">
        <v>171</v>
      </c>
    </row>
    <row r="63" spans="1:8" ht="100" customHeight="1">
      <c r="A63" s="6" t="s">
        <v>181</v>
      </c>
      <c r="B63" s="7" t="s">
        <v>182</v>
      </c>
      <c r="C63" s="7" t="s">
        <v>72</v>
      </c>
      <c r="D63" s="7" t="b">
        <v>0</v>
      </c>
      <c r="E63" s="7" t="s">
        <v>119</v>
      </c>
      <c r="F63" s="7" t="s">
        <v>169</v>
      </c>
      <c r="G63" s="7" t="s">
        <v>170</v>
      </c>
      <c r="H63" s="7" t="s">
        <v>171</v>
      </c>
    </row>
    <row r="64" spans="1:8" ht="115" customHeight="1">
      <c r="A64" s="3" t="s">
        <v>183</v>
      </c>
      <c r="B64" s="4" t="s">
        <v>184</v>
      </c>
      <c r="C64" s="4" t="s">
        <v>72</v>
      </c>
      <c r="D64" s="4" t="b">
        <v>0</v>
      </c>
      <c r="E64" s="4" t="s">
        <v>185</v>
      </c>
      <c r="F64" s="4" t="s">
        <v>169</v>
      </c>
      <c r="G64" s="4" t="s">
        <v>170</v>
      </c>
      <c r="H64" s="4" t="s">
        <v>171</v>
      </c>
    </row>
    <row r="65" spans="1:8" ht="55" customHeight="1">
      <c r="A65" s="6" t="s">
        <v>186</v>
      </c>
      <c r="B65" s="7" t="s">
        <v>187</v>
      </c>
      <c r="C65" s="7" t="s">
        <v>72</v>
      </c>
      <c r="D65" s="7" t="b">
        <v>0</v>
      </c>
      <c r="E65" s="7" t="s">
        <v>119</v>
      </c>
      <c r="F65" s="7" t="s">
        <v>169</v>
      </c>
      <c r="G65" s="7" t="s">
        <v>170</v>
      </c>
      <c r="H65" s="7" t="s">
        <v>171</v>
      </c>
    </row>
    <row r="66" spans="1:8" ht="55" customHeight="1">
      <c r="A66" s="3" t="s">
        <v>188</v>
      </c>
      <c r="B66" s="4" t="s">
        <v>189</v>
      </c>
      <c r="C66" s="4" t="s">
        <v>72</v>
      </c>
      <c r="D66" s="4" t="b">
        <v>0</v>
      </c>
      <c r="E66" s="4" t="s">
        <v>180</v>
      </c>
      <c r="F66" s="4" t="s">
        <v>169</v>
      </c>
      <c r="G66" s="4" t="s">
        <v>170</v>
      </c>
      <c r="H66" s="4" t="s">
        <v>171</v>
      </c>
    </row>
    <row r="67" spans="1:8" ht="85" customHeight="1">
      <c r="A67" s="6" t="s">
        <v>190</v>
      </c>
      <c r="B67" s="7" t="s">
        <v>191</v>
      </c>
      <c r="C67" s="7" t="s">
        <v>72</v>
      </c>
      <c r="D67" s="7" t="b">
        <v>0</v>
      </c>
      <c r="E67" s="7" t="s">
        <v>180</v>
      </c>
      <c r="F67" s="7" t="s">
        <v>169</v>
      </c>
      <c r="G67" s="7" t="s">
        <v>170</v>
      </c>
      <c r="H67" s="7" t="s">
        <v>171</v>
      </c>
    </row>
    <row r="68" spans="1:8" ht="55" customHeight="1">
      <c r="A68" s="3" t="s">
        <v>192</v>
      </c>
      <c r="B68" s="4" t="s">
        <v>193</v>
      </c>
      <c r="C68" s="4" t="s">
        <v>72</v>
      </c>
      <c r="D68" s="4" t="b">
        <v>0</v>
      </c>
      <c r="E68" s="4" t="s">
        <v>194</v>
      </c>
      <c r="F68" s="4" t="s">
        <v>169</v>
      </c>
      <c r="G68" s="4" t="s">
        <v>170</v>
      </c>
      <c r="H68" s="4" t="s">
        <v>171</v>
      </c>
    </row>
    <row r="69" spans="1:8" ht="55" customHeight="1">
      <c r="A69" s="6" t="s">
        <v>195</v>
      </c>
      <c r="B69" s="10">
        <v>180</v>
      </c>
      <c r="C69" s="7" t="s">
        <v>72</v>
      </c>
      <c r="D69" s="7" t="b">
        <v>0</v>
      </c>
      <c r="E69" s="7" t="s">
        <v>119</v>
      </c>
      <c r="F69" s="7" t="s">
        <v>169</v>
      </c>
      <c r="G69" s="7" t="s">
        <v>170</v>
      </c>
      <c r="H69" s="7" t="s">
        <v>171</v>
      </c>
    </row>
    <row r="70" spans="1:8" ht="55" customHeight="1">
      <c r="A70" s="3" t="s">
        <v>196</v>
      </c>
      <c r="B70" s="4" t="s">
        <v>197</v>
      </c>
      <c r="C70" s="4" t="s">
        <v>72</v>
      </c>
      <c r="D70" s="4" t="b">
        <v>0</v>
      </c>
      <c r="E70" s="4" t="s">
        <v>198</v>
      </c>
      <c r="F70" s="4" t="s">
        <v>169</v>
      </c>
      <c r="G70" s="4" t="s">
        <v>170</v>
      </c>
      <c r="H70" s="4" t="s">
        <v>171</v>
      </c>
    </row>
    <row r="71" spans="1:8" ht="55" customHeight="1">
      <c r="A71" s="6" t="s">
        <v>199</v>
      </c>
      <c r="B71" s="7" t="s">
        <v>200</v>
      </c>
      <c r="C71" s="7" t="s">
        <v>72</v>
      </c>
      <c r="D71" s="7" t="b">
        <v>0</v>
      </c>
      <c r="E71" s="7" t="s">
        <v>201</v>
      </c>
      <c r="F71" s="7" t="s">
        <v>169</v>
      </c>
      <c r="G71" s="7" t="s">
        <v>170</v>
      </c>
      <c r="H71" s="7" t="s">
        <v>171</v>
      </c>
    </row>
    <row r="72" spans="1:8" ht="145" customHeight="1">
      <c r="A72" s="3" t="s">
        <v>202</v>
      </c>
      <c r="B72" s="4" t="s">
        <v>203</v>
      </c>
      <c r="C72" s="4" t="s">
        <v>72</v>
      </c>
      <c r="D72" s="4" t="b">
        <v>0</v>
      </c>
      <c r="E72" s="4" t="s">
        <v>204</v>
      </c>
      <c r="F72" s="4" t="s">
        <v>169</v>
      </c>
      <c r="G72" s="4" t="s">
        <v>170</v>
      </c>
      <c r="H72" s="4" t="s">
        <v>171</v>
      </c>
    </row>
    <row r="73" spans="1:8" ht="55" customHeight="1">
      <c r="A73" s="6" t="s">
        <v>205</v>
      </c>
      <c r="B73" s="10">
        <v>401</v>
      </c>
      <c r="C73" s="7" t="s">
        <v>72</v>
      </c>
      <c r="D73" s="7" t="b">
        <v>0</v>
      </c>
      <c r="E73" s="7" t="s">
        <v>206</v>
      </c>
      <c r="F73" s="7" t="s">
        <v>169</v>
      </c>
      <c r="G73" s="7" t="s">
        <v>170</v>
      </c>
      <c r="H73" s="7" t="s">
        <v>171</v>
      </c>
    </row>
    <row r="74" spans="1:8" ht="115" customHeight="1">
      <c r="A74" s="3" t="s">
        <v>207</v>
      </c>
      <c r="B74" s="4" t="s">
        <v>208</v>
      </c>
      <c r="C74" s="4" t="s">
        <v>72</v>
      </c>
      <c r="D74" s="4" t="b">
        <v>0</v>
      </c>
      <c r="E74" s="4" t="s">
        <v>209</v>
      </c>
      <c r="F74" s="4" t="s">
        <v>169</v>
      </c>
      <c r="G74" s="4" t="s">
        <v>170</v>
      </c>
      <c r="H74" s="4" t="s">
        <v>171</v>
      </c>
    </row>
    <row r="75" spans="1:8" ht="55" customHeight="1">
      <c r="A75" s="6" t="s">
        <v>210</v>
      </c>
      <c r="B75" s="10">
        <v>50</v>
      </c>
      <c r="C75" s="7" t="s">
        <v>72</v>
      </c>
      <c r="D75" s="7" t="b">
        <v>0</v>
      </c>
      <c r="E75" s="7" t="s">
        <v>206</v>
      </c>
      <c r="F75" s="7" t="s">
        <v>169</v>
      </c>
      <c r="G75" s="7" t="s">
        <v>170</v>
      </c>
      <c r="H75" s="7" t="s">
        <v>171</v>
      </c>
    </row>
    <row r="76" spans="1:8" ht="100" customHeight="1">
      <c r="A76" s="3" t="s">
        <v>211</v>
      </c>
      <c r="B76" s="4" t="s">
        <v>212</v>
      </c>
      <c r="C76" s="4" t="s">
        <v>72</v>
      </c>
      <c r="D76" s="4" t="b">
        <v>0</v>
      </c>
      <c r="E76" s="4" t="s">
        <v>213</v>
      </c>
      <c r="F76" s="4" t="s">
        <v>169</v>
      </c>
      <c r="G76" s="4" t="s">
        <v>170</v>
      </c>
      <c r="H76" s="4" t="s">
        <v>171</v>
      </c>
    </row>
    <row r="77" spans="1:8" ht="160" customHeight="1">
      <c r="A77" s="6" t="s">
        <v>214</v>
      </c>
      <c r="B77" s="7" t="s">
        <v>215</v>
      </c>
      <c r="C77" s="7" t="s">
        <v>72</v>
      </c>
      <c r="D77" s="7" t="b">
        <v>0</v>
      </c>
      <c r="E77" s="7" t="s">
        <v>206</v>
      </c>
      <c r="F77" s="7" t="s">
        <v>169</v>
      </c>
      <c r="G77" s="7" t="s">
        <v>170</v>
      </c>
      <c r="H77" s="7" t="s">
        <v>171</v>
      </c>
    </row>
    <row r="78" spans="1:8" ht="55" customHeight="1">
      <c r="A78" s="3" t="s">
        <v>216</v>
      </c>
      <c r="B78" s="9">
        <v>7</v>
      </c>
      <c r="C78" s="4" t="s">
        <v>72</v>
      </c>
      <c r="D78" s="4" t="b">
        <v>0</v>
      </c>
      <c r="E78" s="4" t="s">
        <v>213</v>
      </c>
      <c r="F78" s="4" t="s">
        <v>169</v>
      </c>
      <c r="G78" s="4" t="s">
        <v>170</v>
      </c>
      <c r="H78" s="4" t="s">
        <v>171</v>
      </c>
    </row>
    <row r="79" spans="1:8" ht="55" customHeight="1">
      <c r="A79" s="6" t="s">
        <v>217</v>
      </c>
      <c r="B79" s="10">
        <v>400</v>
      </c>
      <c r="C79" s="7" t="s">
        <v>72</v>
      </c>
      <c r="D79" s="7" t="b">
        <v>0</v>
      </c>
      <c r="E79" s="7" t="s">
        <v>206</v>
      </c>
      <c r="F79" s="7" t="s">
        <v>169</v>
      </c>
      <c r="G79" s="7" t="s">
        <v>170</v>
      </c>
      <c r="H79" s="7" t="s">
        <v>171</v>
      </c>
    </row>
    <row r="80" spans="1:8" ht="130" customHeight="1">
      <c r="A80" s="3" t="s">
        <v>218</v>
      </c>
      <c r="B80" s="4" t="s">
        <v>219</v>
      </c>
      <c r="C80" s="4" t="s">
        <v>72</v>
      </c>
      <c r="D80" s="4" t="b">
        <v>0</v>
      </c>
      <c r="E80" s="4" t="s">
        <v>220</v>
      </c>
      <c r="F80" s="4" t="s">
        <v>169</v>
      </c>
      <c r="G80" s="4" t="s">
        <v>170</v>
      </c>
      <c r="H80" s="4" t="s">
        <v>171</v>
      </c>
    </row>
    <row r="81" spans="1:8" ht="85" customHeight="1">
      <c r="A81" s="6" t="s">
        <v>221</v>
      </c>
      <c r="B81" s="7" t="s">
        <v>222</v>
      </c>
      <c r="C81" s="7" t="s">
        <v>72</v>
      </c>
      <c r="D81" s="7" t="b">
        <v>0</v>
      </c>
      <c r="E81" s="7" t="s">
        <v>223</v>
      </c>
      <c r="F81" s="7" t="s">
        <v>169</v>
      </c>
      <c r="G81" s="7" t="s">
        <v>170</v>
      </c>
      <c r="H81" s="7" t="s">
        <v>171</v>
      </c>
    </row>
    <row r="82" spans="1:8" ht="55" customHeight="1">
      <c r="A82" s="3" t="s">
        <v>224</v>
      </c>
      <c r="B82" s="4" t="s">
        <v>225</v>
      </c>
      <c r="C82" s="4" t="s">
        <v>72</v>
      </c>
      <c r="D82" s="4" t="b">
        <v>0</v>
      </c>
      <c r="E82" s="4" t="s">
        <v>206</v>
      </c>
      <c r="F82" s="4" t="s">
        <v>169</v>
      </c>
      <c r="G82" s="4" t="s">
        <v>170</v>
      </c>
      <c r="H82" s="4" t="s">
        <v>171</v>
      </c>
    </row>
    <row r="83" spans="1:8" ht="55" customHeight="1">
      <c r="A83" s="6" t="s">
        <v>226</v>
      </c>
      <c r="B83" s="7" t="s">
        <v>227</v>
      </c>
      <c r="C83" s="7" t="s">
        <v>72</v>
      </c>
      <c r="D83" s="7" t="b">
        <v>0</v>
      </c>
      <c r="E83" s="7" t="s">
        <v>228</v>
      </c>
      <c r="F83" s="7" t="s">
        <v>169</v>
      </c>
      <c r="G83" s="7" t="s">
        <v>170</v>
      </c>
      <c r="H83" s="7" t="s">
        <v>171</v>
      </c>
    </row>
    <row r="84" spans="1:8" ht="55" customHeight="1">
      <c r="A84" s="3" t="s">
        <v>229</v>
      </c>
      <c r="B84" s="4" t="s">
        <v>230</v>
      </c>
      <c r="C84" s="4" t="s">
        <v>72</v>
      </c>
      <c r="D84" s="4" t="b">
        <v>0</v>
      </c>
      <c r="E84" s="4" t="s">
        <v>231</v>
      </c>
      <c r="F84" s="4" t="s">
        <v>169</v>
      </c>
      <c r="G84" s="4" t="s">
        <v>170</v>
      </c>
      <c r="H84" s="4" t="s">
        <v>171</v>
      </c>
    </row>
    <row r="85" spans="1:8" ht="145" customHeight="1">
      <c r="A85" s="6" t="s">
        <v>232</v>
      </c>
      <c r="B85" s="7" t="s">
        <v>233</v>
      </c>
      <c r="C85" s="7" t="s">
        <v>72</v>
      </c>
      <c r="D85" s="7" t="b">
        <v>0</v>
      </c>
      <c r="E85" s="7" t="s">
        <v>234</v>
      </c>
      <c r="F85" s="7" t="s">
        <v>169</v>
      </c>
      <c r="G85" s="7" t="s">
        <v>170</v>
      </c>
      <c r="H85" s="7" t="s">
        <v>171</v>
      </c>
    </row>
    <row r="86" spans="1:8" ht="190" customHeight="1">
      <c r="A86" s="3" t="s">
        <v>235</v>
      </c>
      <c r="B86" s="4" t="s">
        <v>236</v>
      </c>
      <c r="C86" s="4" t="s">
        <v>72</v>
      </c>
      <c r="D86" s="4" t="b">
        <v>0</v>
      </c>
      <c r="E86" s="4" t="s">
        <v>234</v>
      </c>
      <c r="F86" s="4" t="s">
        <v>169</v>
      </c>
      <c r="G86" s="4" t="s">
        <v>170</v>
      </c>
      <c r="H86" s="4" t="s">
        <v>171</v>
      </c>
    </row>
    <row r="87" spans="1:8" ht="55" customHeight="1">
      <c r="A87" s="6" t="s">
        <v>237</v>
      </c>
      <c r="B87" s="10">
        <v>285</v>
      </c>
      <c r="C87" s="7" t="s">
        <v>72</v>
      </c>
      <c r="D87" s="7" t="b">
        <v>0</v>
      </c>
      <c r="E87" s="7" t="s">
        <v>238</v>
      </c>
      <c r="F87" s="7" t="s">
        <v>74</v>
      </c>
      <c r="G87" s="7" t="s">
        <v>75</v>
      </c>
      <c r="H87" s="7" t="s">
        <v>76</v>
      </c>
    </row>
    <row r="88" spans="1:8" ht="55" customHeight="1">
      <c r="A88" s="3" t="s">
        <v>239</v>
      </c>
      <c r="B88" s="9">
        <v>208</v>
      </c>
      <c r="C88" s="4" t="s">
        <v>72</v>
      </c>
      <c r="D88" s="4" t="b">
        <v>0</v>
      </c>
      <c r="E88" s="4" t="s">
        <v>238</v>
      </c>
      <c r="F88" s="4" t="s">
        <v>74</v>
      </c>
      <c r="G88" s="4" t="s">
        <v>75</v>
      </c>
      <c r="H88" s="4" t="s">
        <v>76</v>
      </c>
    </row>
    <row r="89" spans="1:8" ht="55" customHeight="1">
      <c r="A89" s="6" t="s">
        <v>240</v>
      </c>
      <c r="B89" s="7"/>
      <c r="C89" s="7" t="s">
        <v>79</v>
      </c>
      <c r="D89" s="7" t="b">
        <v>0</v>
      </c>
      <c r="E89" s="7" t="s">
        <v>80</v>
      </c>
      <c r="F89" s="7" t="s">
        <v>74</v>
      </c>
      <c r="G89" s="7" t="s">
        <v>75</v>
      </c>
      <c r="H89" s="7" t="s">
        <v>76</v>
      </c>
    </row>
    <row r="90" spans="1:8" ht="55" customHeight="1">
      <c r="A90" s="3" t="s">
        <v>241</v>
      </c>
      <c r="B90" s="4"/>
      <c r="C90" s="4" t="s">
        <v>79</v>
      </c>
      <c r="D90" s="4" t="b">
        <v>0</v>
      </c>
      <c r="E90" s="4" t="s">
        <v>80</v>
      </c>
      <c r="F90" s="4" t="s">
        <v>74</v>
      </c>
      <c r="G90" s="4" t="s">
        <v>75</v>
      </c>
      <c r="H90" s="4" t="s">
        <v>76</v>
      </c>
    </row>
    <row r="91" spans="1:8" ht="55" customHeight="1">
      <c r="A91" s="6" t="s">
        <v>242</v>
      </c>
      <c r="B91" s="7"/>
      <c r="C91" s="7" t="s">
        <v>79</v>
      </c>
      <c r="D91" s="7" t="b">
        <v>0</v>
      </c>
      <c r="E91" s="7" t="s">
        <v>80</v>
      </c>
      <c r="F91" s="7" t="s">
        <v>74</v>
      </c>
      <c r="G91" s="7" t="s">
        <v>75</v>
      </c>
      <c r="H91" s="7" t="s">
        <v>76</v>
      </c>
    </row>
    <row r="92" spans="1:8" ht="55" customHeight="1">
      <c r="A92" s="3" t="s">
        <v>243</v>
      </c>
      <c r="B92" s="4"/>
      <c r="C92" s="4" t="s">
        <v>79</v>
      </c>
      <c r="D92" s="4" t="b">
        <v>0</v>
      </c>
      <c r="E92" s="4" t="s">
        <v>80</v>
      </c>
      <c r="F92" s="4" t="s">
        <v>74</v>
      </c>
      <c r="G92" s="4" t="s">
        <v>75</v>
      </c>
      <c r="H92" s="4" t="s">
        <v>76</v>
      </c>
    </row>
    <row r="93" spans="1:8" ht="55" customHeight="1">
      <c r="A93" s="6" t="s">
        <v>244</v>
      </c>
      <c r="B93" s="10">
        <v>173</v>
      </c>
      <c r="C93" s="7" t="s">
        <v>72</v>
      </c>
      <c r="D93" s="7" t="b">
        <v>0</v>
      </c>
      <c r="E93" s="7" t="s">
        <v>238</v>
      </c>
      <c r="F93" s="7" t="s">
        <v>74</v>
      </c>
      <c r="G93" s="7" t="s">
        <v>75</v>
      </c>
      <c r="H93" s="7" t="s">
        <v>76</v>
      </c>
    </row>
    <row r="94" spans="1:8" ht="55" customHeight="1">
      <c r="A94" s="3" t="s">
        <v>245</v>
      </c>
      <c r="B94" s="9">
        <v>581</v>
      </c>
      <c r="C94" s="4" t="s">
        <v>72</v>
      </c>
      <c r="D94" s="4" t="b">
        <v>0</v>
      </c>
      <c r="E94" s="4" t="s">
        <v>238</v>
      </c>
      <c r="F94" s="4" t="s">
        <v>74</v>
      </c>
      <c r="G94" s="4" t="s">
        <v>75</v>
      </c>
      <c r="H94" s="4" t="s">
        <v>76</v>
      </c>
    </row>
    <row r="95" spans="1:8" ht="55" customHeight="1">
      <c r="A95" s="6" t="s">
        <v>246</v>
      </c>
      <c r="B95" s="7"/>
      <c r="C95" s="7" t="s">
        <v>79</v>
      </c>
      <c r="D95" s="7" t="b">
        <v>0</v>
      </c>
      <c r="E95" s="7" t="s">
        <v>80</v>
      </c>
      <c r="F95" s="7" t="s">
        <v>74</v>
      </c>
      <c r="G95" s="7" t="s">
        <v>75</v>
      </c>
      <c r="H95" s="7" t="s">
        <v>76</v>
      </c>
    </row>
    <row r="96" spans="1:8" ht="55" customHeight="1">
      <c r="A96" s="3" t="s">
        <v>247</v>
      </c>
      <c r="B96" s="4"/>
      <c r="C96" s="4" t="s">
        <v>79</v>
      </c>
      <c r="D96" s="4" t="b">
        <v>0</v>
      </c>
      <c r="E96" s="4" t="s">
        <v>80</v>
      </c>
      <c r="F96" s="4" t="s">
        <v>74</v>
      </c>
      <c r="G96" s="4" t="s">
        <v>75</v>
      </c>
      <c r="H96" s="4" t="s">
        <v>76</v>
      </c>
    </row>
    <row r="97" spans="1:8" ht="55" customHeight="1">
      <c r="A97" s="6" t="s">
        <v>248</v>
      </c>
      <c r="B97" s="10">
        <v>8759</v>
      </c>
      <c r="C97" s="7" t="s">
        <v>72</v>
      </c>
      <c r="D97" s="7" t="b">
        <v>0</v>
      </c>
      <c r="E97" s="7" t="s">
        <v>238</v>
      </c>
      <c r="F97" s="7" t="s">
        <v>74</v>
      </c>
      <c r="G97" s="7" t="s">
        <v>75</v>
      </c>
      <c r="H97" s="7" t="s">
        <v>76</v>
      </c>
    </row>
    <row r="98" spans="1:8" ht="55" customHeight="1">
      <c r="A98" s="3" t="s">
        <v>249</v>
      </c>
      <c r="B98" s="9">
        <v>153</v>
      </c>
      <c r="C98" s="4" t="s">
        <v>72</v>
      </c>
      <c r="D98" s="4" t="b">
        <v>0</v>
      </c>
      <c r="E98" s="4" t="s">
        <v>238</v>
      </c>
      <c r="F98" s="4" t="s">
        <v>74</v>
      </c>
      <c r="G98" s="4" t="s">
        <v>75</v>
      </c>
      <c r="H98" s="4" t="s">
        <v>76</v>
      </c>
    </row>
    <row r="99" spans="1:8" ht="55" customHeight="1">
      <c r="A99" s="6" t="s">
        <v>250</v>
      </c>
      <c r="B99" s="10">
        <v>242</v>
      </c>
      <c r="C99" s="7" t="s">
        <v>72</v>
      </c>
      <c r="D99" s="7" t="b">
        <v>0</v>
      </c>
      <c r="E99" s="7" t="s">
        <v>238</v>
      </c>
      <c r="F99" s="7" t="s">
        <v>74</v>
      </c>
      <c r="G99" s="7" t="s">
        <v>75</v>
      </c>
      <c r="H99" s="7" t="s">
        <v>76</v>
      </c>
    </row>
    <row r="100" spans="1:8" ht="55" customHeight="1">
      <c r="A100" s="3" t="s">
        <v>251</v>
      </c>
      <c r="B100" s="9">
        <v>199</v>
      </c>
      <c r="C100" s="4" t="s">
        <v>72</v>
      </c>
      <c r="D100" s="4" t="b">
        <v>0</v>
      </c>
      <c r="E100" s="4" t="s">
        <v>238</v>
      </c>
      <c r="F100" s="4" t="s">
        <v>74</v>
      </c>
      <c r="G100" s="4" t="s">
        <v>75</v>
      </c>
      <c r="H100" s="4" t="s">
        <v>76</v>
      </c>
    </row>
    <row r="101" spans="1:8" ht="55" customHeight="1">
      <c r="A101" s="6" t="s">
        <v>252</v>
      </c>
      <c r="B101" s="7"/>
      <c r="C101" s="7" t="s">
        <v>79</v>
      </c>
      <c r="D101" s="7" t="b">
        <v>0</v>
      </c>
      <c r="E101" s="7" t="s">
        <v>80</v>
      </c>
      <c r="F101" s="7" t="s">
        <v>74</v>
      </c>
      <c r="G101" s="7" t="s">
        <v>75</v>
      </c>
      <c r="H101" s="7" t="s">
        <v>76</v>
      </c>
    </row>
    <row r="102" spans="1:8" ht="55" customHeight="1">
      <c r="A102" s="3" t="s">
        <v>253</v>
      </c>
      <c r="B102" s="4"/>
      <c r="C102" s="4" t="s">
        <v>79</v>
      </c>
      <c r="D102" s="4" t="b">
        <v>0</v>
      </c>
      <c r="E102" s="4" t="s">
        <v>80</v>
      </c>
      <c r="F102" s="4" t="s">
        <v>74</v>
      </c>
      <c r="G102" s="4" t="s">
        <v>75</v>
      </c>
      <c r="H102" s="4" t="s">
        <v>76</v>
      </c>
    </row>
    <row r="103" spans="1:8" ht="55" customHeight="1">
      <c r="A103" s="6" t="s">
        <v>254</v>
      </c>
      <c r="B103" s="10">
        <v>1509</v>
      </c>
      <c r="C103" s="7" t="s">
        <v>72</v>
      </c>
      <c r="D103" s="7" t="b">
        <v>0</v>
      </c>
      <c r="E103" s="7" t="s">
        <v>238</v>
      </c>
      <c r="F103" s="7" t="s">
        <v>74</v>
      </c>
      <c r="G103" s="7" t="s">
        <v>75</v>
      </c>
      <c r="H103" s="7" t="s">
        <v>76</v>
      </c>
    </row>
    <row r="104" spans="1:8" ht="55" customHeight="1">
      <c r="A104" s="3" t="s">
        <v>255</v>
      </c>
      <c r="B104" s="4"/>
      <c r="C104" s="4" t="s">
        <v>79</v>
      </c>
      <c r="D104" s="4" t="b">
        <v>0</v>
      </c>
      <c r="E104" s="4" t="s">
        <v>80</v>
      </c>
      <c r="F104" s="4" t="s">
        <v>74</v>
      </c>
      <c r="G104" s="4" t="s">
        <v>75</v>
      </c>
      <c r="H104" s="4" t="s">
        <v>76</v>
      </c>
    </row>
    <row r="105" spans="1:8" ht="55" customHeight="1">
      <c r="A105" s="6" t="s">
        <v>256</v>
      </c>
      <c r="B105" s="10">
        <v>91</v>
      </c>
      <c r="C105" s="7" t="s">
        <v>72</v>
      </c>
      <c r="D105" s="7" t="b">
        <v>0</v>
      </c>
      <c r="E105" s="7" t="s">
        <v>238</v>
      </c>
      <c r="F105" s="7" t="s">
        <v>74</v>
      </c>
      <c r="G105" s="7" t="s">
        <v>75</v>
      </c>
      <c r="H105" s="7" t="s">
        <v>76</v>
      </c>
    </row>
    <row r="106" spans="1:8" ht="55" customHeight="1">
      <c r="A106" s="3" t="s">
        <v>257</v>
      </c>
      <c r="B106" s="9">
        <v>142</v>
      </c>
      <c r="C106" s="4" t="s">
        <v>72</v>
      </c>
      <c r="D106" s="4" t="b">
        <v>0</v>
      </c>
      <c r="E106" s="4" t="s">
        <v>238</v>
      </c>
      <c r="F106" s="4" t="s">
        <v>74</v>
      </c>
      <c r="G106" s="4" t="s">
        <v>75</v>
      </c>
      <c r="H106" s="4" t="s">
        <v>76</v>
      </c>
    </row>
    <row r="107" spans="1:8" ht="55" customHeight="1">
      <c r="A107" s="6" t="s">
        <v>258</v>
      </c>
      <c r="B107" s="10">
        <v>366</v>
      </c>
      <c r="C107" s="7" t="s">
        <v>72</v>
      </c>
      <c r="D107" s="7" t="b">
        <v>0</v>
      </c>
      <c r="E107" s="7" t="s">
        <v>238</v>
      </c>
      <c r="F107" s="7" t="s">
        <v>74</v>
      </c>
      <c r="G107" s="7" t="s">
        <v>75</v>
      </c>
      <c r="H107" s="7" t="s">
        <v>76</v>
      </c>
    </row>
    <row r="108" spans="1:8" ht="55" customHeight="1">
      <c r="A108" s="3" t="s">
        <v>259</v>
      </c>
      <c r="B108" s="9">
        <v>160</v>
      </c>
      <c r="C108" s="4" t="s">
        <v>72</v>
      </c>
      <c r="D108" s="4" t="b">
        <v>0</v>
      </c>
      <c r="E108" s="4" t="s">
        <v>206</v>
      </c>
      <c r="F108" s="4" t="s">
        <v>74</v>
      </c>
      <c r="G108" s="4" t="s">
        <v>75</v>
      </c>
      <c r="H108" s="4" t="s">
        <v>76</v>
      </c>
    </row>
    <row r="109" spans="1:8" ht="55" customHeight="1">
      <c r="A109" s="6" t="s">
        <v>260</v>
      </c>
      <c r="B109" s="10">
        <v>8168</v>
      </c>
      <c r="C109" s="7" t="s">
        <v>72</v>
      </c>
      <c r="D109" s="7" t="b">
        <v>0</v>
      </c>
      <c r="E109" s="7" t="s">
        <v>238</v>
      </c>
      <c r="F109" s="7" t="s">
        <v>74</v>
      </c>
      <c r="G109" s="7" t="s">
        <v>75</v>
      </c>
      <c r="H109" s="7" t="s">
        <v>76</v>
      </c>
    </row>
    <row r="110" spans="1:8" ht="55" customHeight="1">
      <c r="A110" s="3" t="s">
        <v>261</v>
      </c>
      <c r="B110" s="9">
        <v>97</v>
      </c>
      <c r="C110" s="4" t="s">
        <v>72</v>
      </c>
      <c r="D110" s="4" t="b">
        <v>0</v>
      </c>
      <c r="E110" s="4" t="s">
        <v>238</v>
      </c>
      <c r="F110" s="4" t="s">
        <v>74</v>
      </c>
      <c r="G110" s="4" t="s">
        <v>75</v>
      </c>
      <c r="H110" s="4" t="s">
        <v>76</v>
      </c>
    </row>
    <row r="111" spans="1:8" ht="40" customHeight="1">
      <c r="A111" s="6" t="s">
        <v>262</v>
      </c>
      <c r="B111" s="10">
        <v>240</v>
      </c>
      <c r="C111" s="7" t="s">
        <v>72</v>
      </c>
      <c r="D111" s="7" t="b">
        <v>1</v>
      </c>
      <c r="E111" s="7" t="s">
        <v>238</v>
      </c>
      <c r="F111" s="7" t="s">
        <v>74</v>
      </c>
      <c r="G111" s="7" t="s">
        <v>103</v>
      </c>
      <c r="H111" s="7" t="s">
        <v>76</v>
      </c>
    </row>
    <row r="112" spans="1:8" ht="40" customHeight="1">
      <c r="A112" s="3" t="s">
        <v>263</v>
      </c>
      <c r="B112" s="9">
        <v>202</v>
      </c>
      <c r="C112" s="4" t="s">
        <v>72</v>
      </c>
      <c r="D112" s="4" t="b">
        <v>1</v>
      </c>
      <c r="E112" s="4" t="s">
        <v>238</v>
      </c>
      <c r="F112" s="4" t="s">
        <v>74</v>
      </c>
      <c r="G112" s="4" t="s">
        <v>103</v>
      </c>
      <c r="H112" s="4" t="s">
        <v>76</v>
      </c>
    </row>
    <row r="113" spans="1:8" ht="55" customHeight="1">
      <c r="A113" s="6" t="s">
        <v>264</v>
      </c>
      <c r="B113" s="7"/>
      <c r="C113" s="7" t="s">
        <v>79</v>
      </c>
      <c r="D113" s="7" t="b">
        <v>1</v>
      </c>
      <c r="E113" s="7" t="s">
        <v>80</v>
      </c>
      <c r="F113" s="7" t="s">
        <v>74</v>
      </c>
      <c r="G113" s="7" t="s">
        <v>106</v>
      </c>
      <c r="H113" s="7" t="s">
        <v>76</v>
      </c>
    </row>
    <row r="114" spans="1:8" ht="70" customHeight="1">
      <c r="A114" s="3" t="s">
        <v>265</v>
      </c>
      <c r="B114" s="9">
        <v>305</v>
      </c>
      <c r="C114" s="4" t="s">
        <v>72</v>
      </c>
      <c r="D114" s="4" t="b">
        <v>1</v>
      </c>
      <c r="E114" s="4" t="s">
        <v>266</v>
      </c>
      <c r="F114" s="4" t="s">
        <v>74</v>
      </c>
      <c r="G114" s="4" t="s">
        <v>103</v>
      </c>
      <c r="H114" s="4" t="s">
        <v>76</v>
      </c>
    </row>
    <row r="115" spans="1:8" ht="40" customHeight="1">
      <c r="A115" s="6" t="s">
        <v>267</v>
      </c>
      <c r="B115" s="10">
        <v>1525</v>
      </c>
      <c r="C115" s="7" t="s">
        <v>72</v>
      </c>
      <c r="D115" s="7" t="b">
        <v>1</v>
      </c>
      <c r="E115" s="7" t="s">
        <v>238</v>
      </c>
      <c r="F115" s="7" t="s">
        <v>74</v>
      </c>
      <c r="G115" s="7" t="s">
        <v>103</v>
      </c>
      <c r="H115" s="7" t="s">
        <v>76</v>
      </c>
    </row>
    <row r="116" spans="1:8" ht="40" customHeight="1">
      <c r="A116" s="3" t="s">
        <v>268</v>
      </c>
      <c r="B116" s="4"/>
      <c r="C116" s="4" t="s">
        <v>79</v>
      </c>
      <c r="D116" s="4" t="b">
        <v>1</v>
      </c>
      <c r="E116" s="4" t="s">
        <v>80</v>
      </c>
      <c r="F116" s="4" t="s">
        <v>74</v>
      </c>
      <c r="G116" s="4" t="s">
        <v>103</v>
      </c>
      <c r="H116" s="4" t="s">
        <v>76</v>
      </c>
    </row>
    <row r="117" spans="1:8" ht="40" customHeight="1">
      <c r="A117" s="6" t="s">
        <v>269</v>
      </c>
      <c r="B117" s="10">
        <v>345</v>
      </c>
      <c r="C117" s="7" t="s">
        <v>72</v>
      </c>
      <c r="D117" s="7" t="b">
        <v>1</v>
      </c>
      <c r="E117" s="7" t="s">
        <v>238</v>
      </c>
      <c r="F117" s="7" t="s">
        <v>74</v>
      </c>
      <c r="G117" s="7" t="s">
        <v>103</v>
      </c>
      <c r="H117" s="7" t="s">
        <v>76</v>
      </c>
    </row>
    <row r="118" spans="1:8" ht="40" customHeight="1">
      <c r="A118" s="3" t="s">
        <v>270</v>
      </c>
      <c r="B118" s="9">
        <v>103</v>
      </c>
      <c r="C118" s="4" t="s">
        <v>72</v>
      </c>
      <c r="D118" s="4" t="b">
        <v>1</v>
      </c>
      <c r="E118" s="4" t="s">
        <v>238</v>
      </c>
      <c r="F118" s="4" t="s">
        <v>74</v>
      </c>
      <c r="G118" s="4" t="s">
        <v>103</v>
      </c>
      <c r="H118" s="4" t="s">
        <v>76</v>
      </c>
    </row>
    <row r="119" spans="1:8" ht="40" customHeight="1">
      <c r="A119" s="6" t="s">
        <v>271</v>
      </c>
      <c r="B119" s="10">
        <v>378</v>
      </c>
      <c r="C119" s="7" t="s">
        <v>72</v>
      </c>
      <c r="D119" s="7" t="b">
        <v>1</v>
      </c>
      <c r="E119" s="7" t="s">
        <v>238</v>
      </c>
      <c r="F119" s="7" t="s">
        <v>74</v>
      </c>
      <c r="G119" s="7" t="s">
        <v>103</v>
      </c>
      <c r="H119" s="7" t="s">
        <v>76</v>
      </c>
    </row>
    <row r="120" spans="1:8" ht="40" customHeight="1">
      <c r="A120" s="3" t="s">
        <v>272</v>
      </c>
      <c r="B120" s="9">
        <v>156</v>
      </c>
      <c r="C120" s="4" t="s">
        <v>72</v>
      </c>
      <c r="D120" s="4" t="b">
        <v>1</v>
      </c>
      <c r="E120" s="4" t="s">
        <v>206</v>
      </c>
      <c r="F120" s="4" t="s">
        <v>74</v>
      </c>
      <c r="G120" s="4" t="s">
        <v>103</v>
      </c>
      <c r="H120" s="4" t="s">
        <v>76</v>
      </c>
    </row>
    <row r="121" spans="1:8" ht="40" customHeight="1">
      <c r="A121" s="6" t="s">
        <v>273</v>
      </c>
      <c r="B121" s="10">
        <v>7988</v>
      </c>
      <c r="C121" s="7" t="s">
        <v>72</v>
      </c>
      <c r="D121" s="7" t="b">
        <v>1</v>
      </c>
      <c r="E121" s="7" t="s">
        <v>238</v>
      </c>
      <c r="F121" s="7" t="s">
        <v>74</v>
      </c>
      <c r="G121" s="7" t="s">
        <v>103</v>
      </c>
      <c r="H121" s="7" t="s">
        <v>76</v>
      </c>
    </row>
    <row r="122" spans="1:8" ht="40" customHeight="1">
      <c r="A122" s="3" t="s">
        <v>274</v>
      </c>
      <c r="B122" s="9">
        <v>76</v>
      </c>
      <c r="C122" s="4" t="s">
        <v>72</v>
      </c>
      <c r="D122" s="4" t="b">
        <v>1</v>
      </c>
      <c r="E122" s="4" t="s">
        <v>238</v>
      </c>
      <c r="F122" s="4" t="s">
        <v>74</v>
      </c>
      <c r="G122" s="4" t="s">
        <v>103</v>
      </c>
      <c r="H122" s="4" t="s">
        <v>76</v>
      </c>
    </row>
    <row r="123" spans="1:8" ht="55" customHeight="1">
      <c r="A123" s="6" t="s">
        <v>275</v>
      </c>
      <c r="B123" s="7"/>
      <c r="C123" s="7" t="s">
        <v>79</v>
      </c>
      <c r="D123" s="7" t="b">
        <v>1</v>
      </c>
      <c r="E123" s="7" t="s">
        <v>80</v>
      </c>
      <c r="F123" s="7" t="s">
        <v>120</v>
      </c>
      <c r="G123" s="7" t="s">
        <v>121</v>
      </c>
      <c r="H123" s="7" t="s">
        <v>122</v>
      </c>
    </row>
    <row r="124" spans="1:8" ht="55" customHeight="1">
      <c r="A124" s="3" t="s">
        <v>276</v>
      </c>
      <c r="B124" s="4"/>
      <c r="C124" s="4" t="s">
        <v>79</v>
      </c>
      <c r="D124" s="4" t="b">
        <v>1</v>
      </c>
      <c r="E124" s="4" t="s">
        <v>80</v>
      </c>
      <c r="F124" s="4" t="s">
        <v>124</v>
      </c>
      <c r="G124" s="4" t="s">
        <v>121</v>
      </c>
      <c r="H124" s="4" t="s">
        <v>122</v>
      </c>
    </row>
    <row r="125" spans="1:8" ht="55" customHeight="1">
      <c r="A125" s="6" t="s">
        <v>277</v>
      </c>
      <c r="B125" s="7"/>
      <c r="C125" s="7" t="s">
        <v>79</v>
      </c>
      <c r="D125" s="7" t="b">
        <v>1</v>
      </c>
      <c r="E125" s="7" t="s">
        <v>80</v>
      </c>
      <c r="F125" s="7" t="s">
        <v>126</v>
      </c>
      <c r="G125" s="7" t="s">
        <v>121</v>
      </c>
      <c r="H125" s="7" t="s">
        <v>122</v>
      </c>
    </row>
    <row r="126" spans="1:8" ht="55" customHeight="1">
      <c r="A126" s="3" t="s">
        <v>278</v>
      </c>
      <c r="B126" s="4"/>
      <c r="C126" s="4" t="s">
        <v>79</v>
      </c>
      <c r="D126" s="4" t="b">
        <v>1</v>
      </c>
      <c r="E126" s="4" t="s">
        <v>80</v>
      </c>
      <c r="F126" s="4" t="s">
        <v>128</v>
      </c>
      <c r="G126" s="4" t="s">
        <v>121</v>
      </c>
      <c r="H126" s="4" t="s">
        <v>122</v>
      </c>
    </row>
    <row r="127" spans="1:8" ht="55" customHeight="1">
      <c r="A127" s="6" t="s">
        <v>279</v>
      </c>
      <c r="B127" s="7"/>
      <c r="C127" s="7" t="s">
        <v>79</v>
      </c>
      <c r="D127" s="7" t="b">
        <v>1</v>
      </c>
      <c r="E127" s="7" t="s">
        <v>80</v>
      </c>
      <c r="F127" s="7" t="s">
        <v>130</v>
      </c>
      <c r="G127" s="7" t="s">
        <v>121</v>
      </c>
      <c r="H127" s="7" t="s">
        <v>122</v>
      </c>
    </row>
    <row r="128" spans="1:8" ht="55" customHeight="1">
      <c r="A128" s="3" t="s">
        <v>280</v>
      </c>
      <c r="B128" s="4"/>
      <c r="C128" s="4" t="s">
        <v>79</v>
      </c>
      <c r="D128" s="4" t="b">
        <v>1</v>
      </c>
      <c r="E128" s="4" t="s">
        <v>80</v>
      </c>
      <c r="F128" s="4" t="s">
        <v>132</v>
      </c>
      <c r="G128" s="4" t="s">
        <v>121</v>
      </c>
      <c r="H128" s="4" t="s">
        <v>122</v>
      </c>
    </row>
    <row r="129" spans="1:8" ht="55" customHeight="1">
      <c r="A129" s="6" t="s">
        <v>281</v>
      </c>
      <c r="B129" s="7"/>
      <c r="C129" s="7" t="s">
        <v>79</v>
      </c>
      <c r="D129" s="7" t="b">
        <v>1</v>
      </c>
      <c r="E129" s="7" t="s">
        <v>80</v>
      </c>
      <c r="F129" s="7" t="s">
        <v>134</v>
      </c>
      <c r="G129" s="7" t="s">
        <v>121</v>
      </c>
      <c r="H129" s="7" t="s">
        <v>122</v>
      </c>
    </row>
    <row r="130" spans="1:8" ht="70" customHeight="1">
      <c r="A130" s="3" t="s">
        <v>282</v>
      </c>
      <c r="B130" s="4" t="s">
        <v>283</v>
      </c>
      <c r="C130" s="4" t="s">
        <v>72</v>
      </c>
      <c r="D130" s="4" t="b">
        <v>1</v>
      </c>
      <c r="E130" s="4" t="s">
        <v>206</v>
      </c>
      <c r="F130" s="4" t="s">
        <v>137</v>
      </c>
      <c r="G130" s="4" t="s">
        <v>121</v>
      </c>
      <c r="H130" s="4" t="s">
        <v>122</v>
      </c>
    </row>
    <row r="131" spans="1:8" ht="40" customHeight="1">
      <c r="A131" s="6" t="s">
        <v>284</v>
      </c>
      <c r="B131" s="7"/>
      <c r="C131" s="7" t="s">
        <v>79</v>
      </c>
      <c r="D131" s="7" t="b">
        <v>1</v>
      </c>
      <c r="E131" s="7" t="s">
        <v>80</v>
      </c>
      <c r="F131" s="7" t="s">
        <v>139</v>
      </c>
      <c r="G131" s="7" t="s">
        <v>140</v>
      </c>
      <c r="H131" s="7" t="s">
        <v>141</v>
      </c>
    </row>
    <row r="132" spans="1:8" ht="55" customHeight="1">
      <c r="A132" s="3" t="s">
        <v>285</v>
      </c>
      <c r="B132" s="9">
        <v>446</v>
      </c>
      <c r="C132" s="4" t="s">
        <v>72</v>
      </c>
      <c r="D132" s="4" t="b">
        <v>0</v>
      </c>
      <c r="E132" s="4" t="s">
        <v>238</v>
      </c>
      <c r="F132" s="4" t="s">
        <v>139</v>
      </c>
      <c r="G132" s="4" t="s">
        <v>143</v>
      </c>
      <c r="H132" s="4" t="s">
        <v>141</v>
      </c>
    </row>
    <row r="133" spans="1:8" ht="70" customHeight="1">
      <c r="A133" s="6" t="s">
        <v>286</v>
      </c>
      <c r="B133" s="10">
        <v>450</v>
      </c>
      <c r="C133" s="7" t="s">
        <v>72</v>
      </c>
      <c r="D133" s="7" t="b">
        <v>1</v>
      </c>
      <c r="E133" s="7" t="s">
        <v>287</v>
      </c>
      <c r="F133" s="7" t="s">
        <v>139</v>
      </c>
      <c r="G133" s="7" t="s">
        <v>140</v>
      </c>
      <c r="H133" s="7" t="s">
        <v>141</v>
      </c>
    </row>
    <row r="134" spans="1:8" ht="40" customHeight="1">
      <c r="A134" s="3" t="s">
        <v>288</v>
      </c>
      <c r="B134" s="4"/>
      <c r="C134" s="4" t="s">
        <v>79</v>
      </c>
      <c r="D134" s="4" t="b">
        <v>1</v>
      </c>
      <c r="E134" s="4" t="s">
        <v>80</v>
      </c>
      <c r="F134" s="4" t="s">
        <v>139</v>
      </c>
      <c r="G134" s="4" t="s">
        <v>140</v>
      </c>
      <c r="H134" s="4" t="s">
        <v>141</v>
      </c>
    </row>
    <row r="135" spans="1:8" ht="40" customHeight="1">
      <c r="A135" s="6" t="s">
        <v>289</v>
      </c>
      <c r="B135" s="10">
        <v>24</v>
      </c>
      <c r="C135" s="7" t="s">
        <v>72</v>
      </c>
      <c r="D135" s="7" t="b">
        <v>1</v>
      </c>
      <c r="E135" s="7" t="s">
        <v>290</v>
      </c>
      <c r="F135" s="7" t="s">
        <v>291</v>
      </c>
      <c r="G135" s="7" t="s">
        <v>292</v>
      </c>
      <c r="H135" s="7" t="s">
        <v>293</v>
      </c>
    </row>
    <row r="136" spans="1:8" ht="40" customHeight="1">
      <c r="A136" s="3" t="s">
        <v>294</v>
      </c>
      <c r="B136" s="4" t="s">
        <v>295</v>
      </c>
      <c r="C136" s="4" t="s">
        <v>72</v>
      </c>
      <c r="D136" s="4" t="b">
        <v>1</v>
      </c>
      <c r="E136" s="4" t="s">
        <v>290</v>
      </c>
      <c r="F136" s="4" t="s">
        <v>291</v>
      </c>
      <c r="G136" s="4" t="s">
        <v>292</v>
      </c>
      <c r="H136" s="4" t="s">
        <v>293</v>
      </c>
    </row>
    <row r="137" spans="1:8" ht="40" customHeight="1">
      <c r="A137" s="6" t="s">
        <v>296</v>
      </c>
      <c r="B137" s="10">
        <v>2500</v>
      </c>
      <c r="C137" s="7" t="s">
        <v>72</v>
      </c>
      <c r="D137" s="7" t="b">
        <v>0</v>
      </c>
      <c r="E137" s="7" t="s">
        <v>290</v>
      </c>
      <c r="F137" s="7" t="s">
        <v>291</v>
      </c>
      <c r="G137" s="7" t="s">
        <v>297</v>
      </c>
      <c r="H137" s="7" t="s">
        <v>293</v>
      </c>
    </row>
    <row r="138" spans="1:8" ht="40" customHeight="1">
      <c r="A138" s="3" t="s">
        <v>298</v>
      </c>
      <c r="B138" s="9">
        <v>2400</v>
      </c>
      <c r="C138" s="4" t="s">
        <v>72</v>
      </c>
      <c r="D138" s="4" t="b">
        <v>0</v>
      </c>
      <c r="E138" s="4" t="s">
        <v>290</v>
      </c>
      <c r="F138" s="4" t="s">
        <v>291</v>
      </c>
      <c r="G138" s="4" t="s">
        <v>297</v>
      </c>
      <c r="H138" s="4" t="s">
        <v>293</v>
      </c>
    </row>
    <row r="139" spans="1:8" ht="40" customHeight="1">
      <c r="A139" s="6" t="s">
        <v>299</v>
      </c>
      <c r="B139" s="10">
        <v>0.1168</v>
      </c>
      <c r="C139" s="7" t="s">
        <v>72</v>
      </c>
      <c r="D139" s="7" t="b">
        <v>1</v>
      </c>
      <c r="E139" s="7" t="s">
        <v>290</v>
      </c>
      <c r="F139" s="7" t="s">
        <v>291</v>
      </c>
      <c r="G139" s="7" t="s">
        <v>292</v>
      </c>
      <c r="H139" s="7" t="s">
        <v>293</v>
      </c>
    </row>
    <row r="140" spans="1:8" ht="40" customHeight="1">
      <c r="A140" s="3" t="s">
        <v>300</v>
      </c>
      <c r="B140" s="4"/>
      <c r="C140" s="4" t="s">
        <v>79</v>
      </c>
      <c r="D140" s="4" t="b">
        <v>1</v>
      </c>
      <c r="E140" s="4" t="s">
        <v>80</v>
      </c>
      <c r="F140" s="4" t="s">
        <v>291</v>
      </c>
      <c r="G140" s="4" t="s">
        <v>292</v>
      </c>
      <c r="H140" s="4" t="s">
        <v>293</v>
      </c>
    </row>
    <row r="141" spans="1:8" ht="40" customHeight="1">
      <c r="A141" s="6" t="s">
        <v>301</v>
      </c>
      <c r="B141" s="7" t="s">
        <v>302</v>
      </c>
      <c r="C141" s="7" t="s">
        <v>72</v>
      </c>
      <c r="D141" s="7" t="b">
        <v>1</v>
      </c>
      <c r="E141" s="7" t="s">
        <v>290</v>
      </c>
      <c r="F141" s="7" t="s">
        <v>291</v>
      </c>
      <c r="G141" s="7" t="s">
        <v>292</v>
      </c>
      <c r="H141" s="7" t="s">
        <v>293</v>
      </c>
    </row>
  </sheetData>
  <autoFilter ref="A4:H141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00">
    <cfRule type="cellIs" dxfId="1" priority="96" operator="equal">
      <formula>"verified fact"</formula>
    </cfRule>
  </conditionalFormatting>
  <conditionalFormatting sqref="C101">
    <cfRule type="cellIs" dxfId="2" priority="97" operator="equal">
      <formula>"missing evidence"</formula>
    </cfRule>
  </conditionalFormatting>
  <conditionalFormatting sqref="C102">
    <cfRule type="cellIs" dxfId="2" priority="98" operator="equal">
      <formula>"missing evidence"</formula>
    </cfRule>
  </conditionalFormatting>
  <conditionalFormatting sqref="C103">
    <cfRule type="cellIs" dxfId="1" priority="99" operator="equal">
      <formula>"verified fact"</formula>
    </cfRule>
  </conditionalFormatting>
  <conditionalFormatting sqref="C104">
    <cfRule type="cellIs" dxfId="2" priority="100" operator="equal">
      <formula>"missing evidence"</formula>
    </cfRule>
  </conditionalFormatting>
  <conditionalFormatting sqref="C105">
    <cfRule type="cellIs" dxfId="1" priority="101" operator="equal">
      <formula>"verified fact"</formula>
    </cfRule>
  </conditionalFormatting>
  <conditionalFormatting sqref="C106">
    <cfRule type="cellIs" dxfId="1" priority="102" operator="equal">
      <formula>"verified fact"</formula>
    </cfRule>
  </conditionalFormatting>
  <conditionalFormatting sqref="C107">
    <cfRule type="cellIs" dxfId="1" priority="103" operator="equal">
      <formula>"verified fact"</formula>
    </cfRule>
  </conditionalFormatting>
  <conditionalFormatting sqref="C108">
    <cfRule type="cellIs" dxfId="1" priority="104" operator="equal">
      <formula>"verified fact"</formula>
    </cfRule>
  </conditionalFormatting>
  <conditionalFormatting sqref="C109">
    <cfRule type="cellIs" dxfId="1" priority="105" operator="equal">
      <formula>"verified fact"</formula>
    </cfRule>
  </conditionalFormatting>
  <conditionalFormatting sqref="C11">
    <cfRule type="cellIs" dxfId="1" priority="7" operator="equal">
      <formula>"verified fact"</formula>
    </cfRule>
  </conditionalFormatting>
  <conditionalFormatting sqref="C110">
    <cfRule type="cellIs" dxfId="1" priority="106" operator="equal">
      <formula>"verified fact"</formula>
    </cfRule>
  </conditionalFormatting>
  <conditionalFormatting sqref="C111">
    <cfRule type="cellIs" dxfId="1" priority="107" operator="equal">
      <formula>"verified fact"</formula>
    </cfRule>
  </conditionalFormatting>
  <conditionalFormatting sqref="C112">
    <cfRule type="cellIs" dxfId="1" priority="108" operator="equal">
      <formula>"verified fact"</formula>
    </cfRule>
  </conditionalFormatting>
  <conditionalFormatting sqref="C113">
    <cfRule type="cellIs" dxfId="2" priority="109" operator="equal">
      <formula>"missing evidence"</formula>
    </cfRule>
  </conditionalFormatting>
  <conditionalFormatting sqref="C114">
    <cfRule type="cellIs" dxfId="1" priority="110" operator="equal">
      <formula>"verified fact"</formula>
    </cfRule>
  </conditionalFormatting>
  <conditionalFormatting sqref="C115">
    <cfRule type="cellIs" dxfId="1" priority="111" operator="equal">
      <formula>"verified fact"</formula>
    </cfRule>
  </conditionalFormatting>
  <conditionalFormatting sqref="C116">
    <cfRule type="cellIs" dxfId="2" priority="112" operator="equal">
      <formula>"missing evidence"</formula>
    </cfRule>
  </conditionalFormatting>
  <conditionalFormatting sqref="C117">
    <cfRule type="cellIs" dxfId="1" priority="113" operator="equal">
      <formula>"verified fact"</formula>
    </cfRule>
  </conditionalFormatting>
  <conditionalFormatting sqref="C118">
    <cfRule type="cellIs" dxfId="1" priority="114" operator="equal">
      <formula>"verified fact"</formula>
    </cfRule>
  </conditionalFormatting>
  <conditionalFormatting sqref="C119">
    <cfRule type="cellIs" dxfId="1" priority="115" operator="equal">
      <formula>"verified fact"</formula>
    </cfRule>
  </conditionalFormatting>
  <conditionalFormatting sqref="C12">
    <cfRule type="cellIs" dxfId="1" priority="8" operator="equal">
      <formula>"verified fact"</formula>
    </cfRule>
  </conditionalFormatting>
  <conditionalFormatting sqref="C120">
    <cfRule type="cellIs" dxfId="1" priority="116" operator="equal">
      <formula>"verified fact"</formula>
    </cfRule>
  </conditionalFormatting>
  <conditionalFormatting sqref="C121">
    <cfRule type="cellIs" dxfId="1" priority="117" operator="equal">
      <formula>"verified fact"</formula>
    </cfRule>
  </conditionalFormatting>
  <conditionalFormatting sqref="C122">
    <cfRule type="cellIs" dxfId="1" priority="118" operator="equal">
      <formula>"verified fact"</formula>
    </cfRule>
  </conditionalFormatting>
  <conditionalFormatting sqref="C123">
    <cfRule type="cellIs" dxfId="2" priority="119" operator="equal">
      <formula>"missing evidence"</formula>
    </cfRule>
  </conditionalFormatting>
  <conditionalFormatting sqref="C124">
    <cfRule type="cellIs" dxfId="2" priority="120" operator="equal">
      <formula>"missing evidence"</formula>
    </cfRule>
  </conditionalFormatting>
  <conditionalFormatting sqref="C125">
    <cfRule type="cellIs" dxfId="2" priority="121" operator="equal">
      <formula>"missing evidence"</formula>
    </cfRule>
  </conditionalFormatting>
  <conditionalFormatting sqref="C126">
    <cfRule type="cellIs" dxfId="2" priority="122" operator="equal">
      <formula>"missing evidence"</formula>
    </cfRule>
  </conditionalFormatting>
  <conditionalFormatting sqref="C127">
    <cfRule type="cellIs" dxfId="2" priority="123" operator="equal">
      <formula>"missing evidence"</formula>
    </cfRule>
  </conditionalFormatting>
  <conditionalFormatting sqref="C128">
    <cfRule type="cellIs" dxfId="2" priority="124" operator="equal">
      <formula>"missing evidence"</formula>
    </cfRule>
  </conditionalFormatting>
  <conditionalFormatting sqref="C129">
    <cfRule type="cellIs" dxfId="2" priority="125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30">
    <cfRule type="cellIs" dxfId="1" priority="126" operator="equal">
      <formula>"verified fact"</formula>
    </cfRule>
  </conditionalFormatting>
  <conditionalFormatting sqref="C131">
    <cfRule type="cellIs" dxfId="2" priority="127" operator="equal">
      <formula>"missing evidence"</formula>
    </cfRule>
  </conditionalFormatting>
  <conditionalFormatting sqref="C132">
    <cfRule type="cellIs" dxfId="1" priority="128" operator="equal">
      <formula>"verified fact"</formula>
    </cfRule>
  </conditionalFormatting>
  <conditionalFormatting sqref="C133">
    <cfRule type="cellIs" dxfId="1" priority="129" operator="equal">
      <formula>"verified fact"</formula>
    </cfRule>
  </conditionalFormatting>
  <conditionalFormatting sqref="C134">
    <cfRule type="cellIs" dxfId="2" priority="130" operator="equal">
      <formula>"missing evidence"</formula>
    </cfRule>
  </conditionalFormatting>
  <conditionalFormatting sqref="C135">
    <cfRule type="cellIs" dxfId="1" priority="131" operator="equal">
      <formula>"verified fact"</formula>
    </cfRule>
  </conditionalFormatting>
  <conditionalFormatting sqref="C136">
    <cfRule type="cellIs" dxfId="1" priority="132" operator="equal">
      <formula>"verified fact"</formula>
    </cfRule>
  </conditionalFormatting>
  <conditionalFormatting sqref="C137">
    <cfRule type="cellIs" dxfId="1" priority="133" operator="equal">
      <formula>"verified fact"</formula>
    </cfRule>
  </conditionalFormatting>
  <conditionalFormatting sqref="C138">
    <cfRule type="cellIs" dxfId="1" priority="134" operator="equal">
      <formula>"verified fact"</formula>
    </cfRule>
  </conditionalFormatting>
  <conditionalFormatting sqref="C139">
    <cfRule type="cellIs" dxfId="1" priority="135" operator="equal">
      <formula>"verified fact"</formula>
    </cfRule>
  </conditionalFormatting>
  <conditionalFormatting sqref="C14">
    <cfRule type="cellIs" dxfId="2" priority="10" operator="equal">
      <formula>"missing evidence"</formula>
    </cfRule>
  </conditionalFormatting>
  <conditionalFormatting sqref="C140">
    <cfRule type="cellIs" dxfId="2" priority="136" operator="equal">
      <formula>"missing evidence"</formula>
    </cfRule>
  </conditionalFormatting>
  <conditionalFormatting sqref="C141">
    <cfRule type="cellIs" dxfId="1" priority="137" operator="equal">
      <formula>"verified fact"</formula>
    </cfRule>
  </conditionalFormatting>
  <conditionalFormatting sqref="C15">
    <cfRule type="cellIs" dxfId="1" priority="11" operator="equal">
      <formula>"verified fact"</formula>
    </cfRule>
  </conditionalFormatting>
  <conditionalFormatting sqref="C16">
    <cfRule type="cellIs" dxfId="1" priority="12" operator="equal">
      <formula>"verified fact"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1" priority="17" operator="equal">
      <formula>"verified fact"</formula>
    </cfRule>
  </conditionalFormatting>
  <conditionalFormatting sqref="C22">
    <cfRule type="cellIs" dxfId="2" priority="18" operator="equal">
      <formula>"missing evidence"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1" priority="21" operator="equal">
      <formula>"verified fact"</formula>
    </cfRule>
  </conditionalFormatting>
  <conditionalFormatting sqref="C26">
    <cfRule type="cellIs" dxfId="1" priority="22" operator="equal">
      <formula>"verified fact"</formula>
    </cfRule>
  </conditionalFormatting>
  <conditionalFormatting sqref="C27">
    <cfRule type="cellIs" dxfId="1" priority="23" operator="equal">
      <formula>"verified fact"</formula>
    </cfRule>
  </conditionalFormatting>
  <conditionalFormatting sqref="C28">
    <cfRule type="cellIs" dxfId="1" priority="24" operator="equal">
      <formula>"verified fact"</formula>
    </cfRule>
  </conditionalFormatting>
  <conditionalFormatting sqref="C29">
    <cfRule type="cellIs" dxfId="1" priority="25" operator="equal">
      <formula>"verified fact"</formula>
    </cfRule>
  </conditionalFormatting>
  <conditionalFormatting sqref="C30">
    <cfRule type="cellIs" dxfId="1" priority="26" operator="equal">
      <formula>"verified fact"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1" priority="29" operator="equal">
      <formula>"verified fact"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1" priority="31" operator="equal">
      <formula>"verified fact"</formula>
    </cfRule>
  </conditionalFormatting>
  <conditionalFormatting sqref="C36">
    <cfRule type="cellIs" dxfId="1" priority="32" operator="equal">
      <formula>"verified fact"</formula>
    </cfRule>
  </conditionalFormatting>
  <conditionalFormatting sqref="C37">
    <cfRule type="cellIs" dxfId="1" priority="33" operator="equal">
      <formula>"verified fact"</formula>
    </cfRule>
  </conditionalFormatting>
  <conditionalFormatting sqref="C38">
    <cfRule type="cellIs" dxfId="1" priority="34" operator="equal">
      <formula>"verified fact"</formula>
    </cfRule>
  </conditionalFormatting>
  <conditionalFormatting sqref="C39">
    <cfRule type="cellIs" dxfId="1" priority="35" operator="equal">
      <formula>"verified fact"</formula>
    </cfRule>
  </conditionalFormatting>
  <conditionalFormatting sqref="C40">
    <cfRule type="cellIs" dxfId="1" priority="36" operator="equal">
      <formula>"verified fact"</formula>
    </cfRule>
  </conditionalFormatting>
  <conditionalFormatting sqref="C41">
    <cfRule type="cellIs" dxfId="1" priority="37" operator="equal">
      <formula>"verified fact"</formula>
    </cfRule>
  </conditionalFormatting>
  <conditionalFormatting sqref="C42">
    <cfRule type="cellIs" dxfId="2" priority="38" operator="equal">
      <formula>"missing evidence"</formula>
    </cfRule>
  </conditionalFormatting>
  <conditionalFormatting sqref="C43">
    <cfRule type="cellIs" dxfId="2" priority="39" operator="equal">
      <formula>"missing evidence"</formula>
    </cfRule>
  </conditionalFormatting>
  <conditionalFormatting sqref="C44">
    <cfRule type="cellIs" dxfId="2" priority="40" operator="equal">
      <formula>"missing evidence"</formula>
    </cfRule>
  </conditionalFormatting>
  <conditionalFormatting sqref="C45">
    <cfRule type="cellIs" dxfId="2" priority="41" operator="equal">
      <formula>"missing evidence"</formula>
    </cfRule>
  </conditionalFormatting>
  <conditionalFormatting sqref="C46">
    <cfRule type="cellIs" dxfId="2" priority="42" operator="equal">
      <formula>"missing evidence"</formula>
    </cfRule>
  </conditionalFormatting>
  <conditionalFormatting sqref="C47">
    <cfRule type="cellIs" dxfId="2" priority="43" operator="equal">
      <formula>"missing evidence"</formula>
    </cfRule>
  </conditionalFormatting>
  <conditionalFormatting sqref="C48">
    <cfRule type="cellIs" dxfId="1" priority="44" operator="equal">
      <formula>"verified fact"</formula>
    </cfRule>
  </conditionalFormatting>
  <conditionalFormatting sqref="C49">
    <cfRule type="cellIs" dxfId="2" priority="45" operator="equal">
      <formula>"missing evidence"</formula>
    </cfRule>
  </conditionalFormatting>
  <conditionalFormatting sqref="C5">
    <cfRule type="cellIs" dxfId="1" priority="1" operator="equal">
      <formula>"verified fact"</formula>
    </cfRule>
  </conditionalFormatting>
  <conditionalFormatting sqref="C50">
    <cfRule type="cellIs" dxfId="1" priority="46" operator="equal">
      <formula>"verified fact"</formula>
    </cfRule>
  </conditionalFormatting>
  <conditionalFormatting sqref="C51">
    <cfRule type="cellIs" dxfId="2" priority="47" operator="equal">
      <formula>"missing evidence"</formula>
    </cfRule>
  </conditionalFormatting>
  <conditionalFormatting sqref="C52">
    <cfRule type="cellIs" dxfId="2" priority="48" operator="equal">
      <formula>"missing evidence"</formula>
    </cfRule>
  </conditionalFormatting>
  <conditionalFormatting sqref="C53">
    <cfRule type="cellIs" dxfId="3" priority="49" operator="equal">
      <formula>"explicit modelling assumption"</formula>
    </cfRule>
  </conditionalFormatting>
  <conditionalFormatting sqref="C54">
    <cfRule type="cellIs" dxfId="3" priority="50" operator="equal">
      <formula>"explicit modelling assumption"</formula>
    </cfRule>
  </conditionalFormatting>
  <conditionalFormatting sqref="C55">
    <cfRule type="cellIs" dxfId="3" priority="51" operator="equal">
      <formula>"explicit modelling assumption"</formula>
    </cfRule>
  </conditionalFormatting>
  <conditionalFormatting sqref="C56">
    <cfRule type="cellIs" dxfId="3" priority="52" operator="equal">
      <formula>"explicit modelling assumption"</formula>
    </cfRule>
  </conditionalFormatting>
  <conditionalFormatting sqref="C57">
    <cfRule type="cellIs" dxfId="3" priority="53" operator="equal">
      <formula>"explicit modelling assumption"</formula>
    </cfRule>
  </conditionalFormatting>
  <conditionalFormatting sqref="C58">
    <cfRule type="cellIs" dxfId="3" priority="54" operator="equal">
      <formula>"explicit modelling assumption"</formula>
    </cfRule>
  </conditionalFormatting>
  <conditionalFormatting sqref="C59">
    <cfRule type="cellIs" dxfId="1" priority="55" operator="equal">
      <formula>"verified fact"</formula>
    </cfRule>
  </conditionalFormatting>
  <conditionalFormatting sqref="C6">
    <cfRule type="cellIs" dxfId="1" priority="2" operator="equal">
      <formula>"verified fact"</formula>
    </cfRule>
  </conditionalFormatting>
  <conditionalFormatting sqref="C60">
    <cfRule type="cellIs" dxfId="1" priority="56" operator="equal">
      <formula>"verified fact"</formula>
    </cfRule>
  </conditionalFormatting>
  <conditionalFormatting sqref="C61">
    <cfRule type="cellIs" dxfId="1" priority="57" operator="equal">
      <formula>"verified fact"</formula>
    </cfRule>
  </conditionalFormatting>
  <conditionalFormatting sqref="C62">
    <cfRule type="cellIs" dxfId="1" priority="58" operator="equal">
      <formula>"verified fact"</formula>
    </cfRule>
  </conditionalFormatting>
  <conditionalFormatting sqref="C63">
    <cfRule type="cellIs" dxfId="1" priority="59" operator="equal">
      <formula>"verified fact"</formula>
    </cfRule>
  </conditionalFormatting>
  <conditionalFormatting sqref="C64">
    <cfRule type="cellIs" dxfId="1" priority="60" operator="equal">
      <formula>"verified fact"</formula>
    </cfRule>
  </conditionalFormatting>
  <conditionalFormatting sqref="C65">
    <cfRule type="cellIs" dxfId="1" priority="61" operator="equal">
      <formula>"verified fact"</formula>
    </cfRule>
  </conditionalFormatting>
  <conditionalFormatting sqref="C66">
    <cfRule type="cellIs" dxfId="1" priority="62" operator="equal">
      <formula>"verified fact"</formula>
    </cfRule>
  </conditionalFormatting>
  <conditionalFormatting sqref="C67">
    <cfRule type="cellIs" dxfId="1" priority="63" operator="equal">
      <formula>"verified fact"</formula>
    </cfRule>
  </conditionalFormatting>
  <conditionalFormatting sqref="C68">
    <cfRule type="cellIs" dxfId="1" priority="64" operator="equal">
      <formula>"verified fact"</formula>
    </cfRule>
  </conditionalFormatting>
  <conditionalFormatting sqref="C69">
    <cfRule type="cellIs" dxfId="1" priority="65" operator="equal">
      <formula>"verified fact"</formula>
    </cfRule>
  </conditionalFormatting>
  <conditionalFormatting sqref="C7">
    <cfRule type="cellIs" dxfId="2" priority="3" operator="equal">
      <formula>"missing evidence"</formula>
    </cfRule>
  </conditionalFormatting>
  <conditionalFormatting sqref="C70">
    <cfRule type="cellIs" dxfId="1" priority="66" operator="equal">
      <formula>"verified fact"</formula>
    </cfRule>
  </conditionalFormatting>
  <conditionalFormatting sqref="C71">
    <cfRule type="cellIs" dxfId="1" priority="67" operator="equal">
      <formula>"verified fact"</formula>
    </cfRule>
  </conditionalFormatting>
  <conditionalFormatting sqref="C72">
    <cfRule type="cellIs" dxfId="1" priority="68" operator="equal">
      <formula>"verified fact"</formula>
    </cfRule>
  </conditionalFormatting>
  <conditionalFormatting sqref="C73">
    <cfRule type="cellIs" dxfId="1" priority="69" operator="equal">
      <formula>"verified fact"</formula>
    </cfRule>
  </conditionalFormatting>
  <conditionalFormatting sqref="C74">
    <cfRule type="cellIs" dxfId="1" priority="70" operator="equal">
      <formula>"verified fact"</formula>
    </cfRule>
  </conditionalFormatting>
  <conditionalFormatting sqref="C75">
    <cfRule type="cellIs" dxfId="1" priority="71" operator="equal">
      <formula>"verified fact"</formula>
    </cfRule>
  </conditionalFormatting>
  <conditionalFormatting sqref="C76">
    <cfRule type="cellIs" dxfId="1" priority="72" operator="equal">
      <formula>"verified fact"</formula>
    </cfRule>
  </conditionalFormatting>
  <conditionalFormatting sqref="C77">
    <cfRule type="cellIs" dxfId="1" priority="73" operator="equal">
      <formula>"verified fact"</formula>
    </cfRule>
  </conditionalFormatting>
  <conditionalFormatting sqref="C78">
    <cfRule type="cellIs" dxfId="1" priority="74" operator="equal">
      <formula>"verified fact"</formula>
    </cfRule>
  </conditionalFormatting>
  <conditionalFormatting sqref="C79">
    <cfRule type="cellIs" dxfId="1" priority="75" operator="equal">
      <formula>"verified fact"</formula>
    </cfRule>
  </conditionalFormatting>
  <conditionalFormatting sqref="C8">
    <cfRule type="cellIs" dxfId="2" priority="4" operator="equal">
      <formula>"missing evidence"</formula>
    </cfRule>
  </conditionalFormatting>
  <conditionalFormatting sqref="C80">
    <cfRule type="cellIs" dxfId="1" priority="76" operator="equal">
      <formula>"verified fact"</formula>
    </cfRule>
  </conditionalFormatting>
  <conditionalFormatting sqref="C81">
    <cfRule type="cellIs" dxfId="1" priority="77" operator="equal">
      <formula>"verified fact"</formula>
    </cfRule>
  </conditionalFormatting>
  <conditionalFormatting sqref="C82">
    <cfRule type="cellIs" dxfId="1" priority="78" operator="equal">
      <formula>"verified fact"</formula>
    </cfRule>
  </conditionalFormatting>
  <conditionalFormatting sqref="C83">
    <cfRule type="cellIs" dxfId="1" priority="79" operator="equal">
      <formula>"verified fact"</formula>
    </cfRule>
  </conditionalFormatting>
  <conditionalFormatting sqref="C84">
    <cfRule type="cellIs" dxfId="1" priority="80" operator="equal">
      <formula>"verified fact"</formula>
    </cfRule>
  </conditionalFormatting>
  <conditionalFormatting sqref="C85">
    <cfRule type="cellIs" dxfId="1" priority="81" operator="equal">
      <formula>"verified fact"</formula>
    </cfRule>
  </conditionalFormatting>
  <conditionalFormatting sqref="C86">
    <cfRule type="cellIs" dxfId="1" priority="82" operator="equal">
      <formula>"verified fact"</formula>
    </cfRule>
  </conditionalFormatting>
  <conditionalFormatting sqref="C87">
    <cfRule type="cellIs" dxfId="1" priority="83" operator="equal">
      <formula>"verified fact"</formula>
    </cfRule>
  </conditionalFormatting>
  <conditionalFormatting sqref="C88">
    <cfRule type="cellIs" dxfId="1" priority="84" operator="equal">
      <formula>"verified fact"</formula>
    </cfRule>
  </conditionalFormatting>
  <conditionalFormatting sqref="C89">
    <cfRule type="cellIs" dxfId="2" priority="85" operator="equal">
      <formula>"missing evidence"</formula>
    </cfRule>
  </conditionalFormatting>
  <conditionalFormatting sqref="C9">
    <cfRule type="cellIs" dxfId="2" priority="5" operator="equal">
      <formula>"missing evidence"</formula>
    </cfRule>
  </conditionalFormatting>
  <conditionalFormatting sqref="C90">
    <cfRule type="cellIs" dxfId="2" priority="86" operator="equal">
      <formula>"missing evidence"</formula>
    </cfRule>
  </conditionalFormatting>
  <conditionalFormatting sqref="C91">
    <cfRule type="cellIs" dxfId="2" priority="87" operator="equal">
      <formula>"missing evidence"</formula>
    </cfRule>
  </conditionalFormatting>
  <conditionalFormatting sqref="C92">
    <cfRule type="cellIs" dxfId="2" priority="88" operator="equal">
      <formula>"missing evidence"</formula>
    </cfRule>
  </conditionalFormatting>
  <conditionalFormatting sqref="C93">
    <cfRule type="cellIs" dxfId="1" priority="89" operator="equal">
      <formula>"verified fact"</formula>
    </cfRule>
  </conditionalFormatting>
  <conditionalFormatting sqref="C94">
    <cfRule type="cellIs" dxfId="1" priority="90" operator="equal">
      <formula>"verified fact"</formula>
    </cfRule>
  </conditionalFormatting>
  <conditionalFormatting sqref="C95">
    <cfRule type="cellIs" dxfId="2" priority="91" operator="equal">
      <formula>"missing evidence"</formula>
    </cfRule>
  </conditionalFormatting>
  <conditionalFormatting sqref="C96">
    <cfRule type="cellIs" dxfId="2" priority="92" operator="equal">
      <formula>"missing evidence"</formula>
    </cfRule>
  </conditionalFormatting>
  <conditionalFormatting sqref="C97">
    <cfRule type="cellIs" dxfId="1" priority="93" operator="equal">
      <formula>"verified fact"</formula>
    </cfRule>
  </conditionalFormatting>
  <conditionalFormatting sqref="C98">
    <cfRule type="cellIs" dxfId="1" priority="94" operator="equal">
      <formula>"verified fact"</formula>
    </cfRule>
  </conditionalFormatting>
  <conditionalFormatting sqref="C99">
    <cfRule type="cellIs" dxfId="1" priority="9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&amp;LEvidence&amp;RPage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C5658"/>
  </sheetPr>
  <dimension ref="A1:G2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1" spans="1:7" ht="9" customHeight="1"/>
    <row r="2" spans="1:7" ht="42" customHeight="1">
      <c r="A2" s="1" t="s">
        <v>303</v>
      </c>
      <c r="B2" s="1"/>
      <c r="C2" s="1"/>
      <c r="D2" s="1"/>
      <c r="E2" s="1"/>
      <c r="F2" s="1"/>
      <c r="G2" s="8"/>
    </row>
    <row r="3" spans="1:7" ht="30" customHeight="1">
      <c r="A3" s="2" t="s">
        <v>56</v>
      </c>
      <c r="B3" s="2"/>
      <c r="C3" s="2"/>
      <c r="D3" s="2"/>
      <c r="E3" s="2"/>
      <c r="F3" s="2"/>
      <c r="G3" s="8"/>
    </row>
    <row r="4" spans="1:7" ht="34" customHeight="1">
      <c r="A4" s="5" t="s">
        <v>304</v>
      </c>
      <c r="B4" s="5" t="s">
        <v>305</v>
      </c>
      <c r="C4" s="5" t="s">
        <v>306</v>
      </c>
      <c r="D4" s="5" t="s">
        <v>307</v>
      </c>
      <c r="E4" s="5" t="s">
        <v>308</v>
      </c>
      <c r="F4" s="5" t="s">
        <v>309</v>
      </c>
      <c r="G4" s="5" t="s">
        <v>310</v>
      </c>
    </row>
    <row r="5" spans="1:7" ht="40" customHeight="1">
      <c r="A5" s="6" t="s">
        <v>311</v>
      </c>
      <c r="B5" s="7" t="s">
        <v>312</v>
      </c>
      <c r="C5" s="7" t="s">
        <v>33</v>
      </c>
      <c r="D5" s="7" t="s">
        <v>313</v>
      </c>
      <c r="E5" s="7" t="s">
        <v>314</v>
      </c>
      <c r="F5" s="7" t="s">
        <v>315</v>
      </c>
      <c r="G5" s="7" t="s">
        <v>316</v>
      </c>
    </row>
    <row r="6" spans="1:7" ht="40" customHeight="1">
      <c r="A6" s="3" t="s">
        <v>317</v>
      </c>
      <c r="B6" s="4" t="s">
        <v>318</v>
      </c>
      <c r="C6" s="4" t="s">
        <v>319</v>
      </c>
      <c r="D6" s="4" t="s">
        <v>313</v>
      </c>
      <c r="E6" s="4" t="s">
        <v>320</v>
      </c>
      <c r="F6" s="4" t="s">
        <v>315</v>
      </c>
      <c r="G6" s="4" t="s">
        <v>321</v>
      </c>
    </row>
    <row r="7" spans="1:7" ht="40" customHeight="1">
      <c r="A7" s="6" t="s">
        <v>322</v>
      </c>
      <c r="B7" s="7" t="s">
        <v>323</v>
      </c>
      <c r="C7" s="7" t="s">
        <v>319</v>
      </c>
      <c r="D7" s="7" t="s">
        <v>313</v>
      </c>
      <c r="E7" s="7" t="s">
        <v>324</v>
      </c>
      <c r="F7" s="7" t="s">
        <v>315</v>
      </c>
      <c r="G7" s="7" t="s">
        <v>325</v>
      </c>
    </row>
    <row r="8" spans="1:7" ht="130" customHeight="1">
      <c r="A8" s="3" t="s">
        <v>326</v>
      </c>
      <c r="B8" s="4" t="s">
        <v>327</v>
      </c>
      <c r="C8" s="4" t="s">
        <v>319</v>
      </c>
      <c r="D8" s="4" t="s">
        <v>313</v>
      </c>
      <c r="E8" s="4" t="s">
        <v>320</v>
      </c>
      <c r="F8" s="4" t="s">
        <v>315</v>
      </c>
      <c r="G8" s="4" t="s">
        <v>328</v>
      </c>
    </row>
    <row r="9" spans="1:7" ht="145" customHeight="1">
      <c r="A9" s="6" t="s">
        <v>329</v>
      </c>
      <c r="B9" s="7" t="s">
        <v>330</v>
      </c>
      <c r="C9" s="7" t="s">
        <v>319</v>
      </c>
      <c r="D9" s="7" t="s">
        <v>313</v>
      </c>
      <c r="E9" s="7" t="s">
        <v>324</v>
      </c>
      <c r="F9" s="7" t="s">
        <v>315</v>
      </c>
      <c r="G9" s="7" t="s">
        <v>331</v>
      </c>
    </row>
    <row r="10" spans="1:7" ht="70" customHeight="1">
      <c r="A10" s="3" t="s">
        <v>332</v>
      </c>
      <c r="B10" s="4" t="s">
        <v>333</v>
      </c>
      <c r="C10" s="4" t="s">
        <v>33</v>
      </c>
      <c r="D10" s="4" t="s">
        <v>313</v>
      </c>
      <c r="E10" s="4" t="s">
        <v>334</v>
      </c>
      <c r="F10" s="4" t="s">
        <v>315</v>
      </c>
      <c r="G10" s="4" t="s">
        <v>335</v>
      </c>
    </row>
    <row r="11" spans="1:7" ht="40" customHeight="1">
      <c r="A11" s="6" t="s">
        <v>336</v>
      </c>
      <c r="B11" s="7" t="s">
        <v>337</v>
      </c>
      <c r="C11" s="7" t="s">
        <v>338</v>
      </c>
      <c r="D11" s="7" t="s">
        <v>313</v>
      </c>
      <c r="E11" s="7" t="s">
        <v>339</v>
      </c>
      <c r="F11" s="7" t="s">
        <v>315</v>
      </c>
      <c r="G11" s="7" t="s">
        <v>340</v>
      </c>
    </row>
    <row r="12" spans="1:7" ht="40" customHeight="1">
      <c r="A12" s="3" t="s">
        <v>341</v>
      </c>
      <c r="B12" s="4" t="s">
        <v>342</v>
      </c>
      <c r="C12" s="4" t="s">
        <v>343</v>
      </c>
      <c r="D12" s="4" t="s">
        <v>313</v>
      </c>
      <c r="E12" s="4" t="s">
        <v>344</v>
      </c>
      <c r="F12" s="4" t="s">
        <v>315</v>
      </c>
      <c r="G12" s="4" t="s">
        <v>345</v>
      </c>
    </row>
    <row r="13" spans="1:7" ht="40" customHeight="1">
      <c r="A13" s="6" t="s">
        <v>346</v>
      </c>
      <c r="B13" s="7" t="s">
        <v>347</v>
      </c>
      <c r="C13" s="7" t="s">
        <v>338</v>
      </c>
      <c r="D13" s="7" t="s">
        <v>313</v>
      </c>
      <c r="E13" s="7" t="s">
        <v>348</v>
      </c>
      <c r="F13" s="7" t="s">
        <v>315</v>
      </c>
      <c r="G13" s="7" t="s">
        <v>349</v>
      </c>
    </row>
    <row r="14" spans="1:7" ht="40" customHeight="1">
      <c r="A14" s="3" t="s">
        <v>350</v>
      </c>
      <c r="B14" s="4" t="s">
        <v>351</v>
      </c>
      <c r="C14" s="4" t="s">
        <v>352</v>
      </c>
      <c r="D14" s="4" t="s">
        <v>313</v>
      </c>
      <c r="E14" s="4" t="s">
        <v>353</v>
      </c>
      <c r="F14" s="4" t="s">
        <v>315</v>
      </c>
      <c r="G14" s="4" t="s">
        <v>354</v>
      </c>
    </row>
    <row r="15" spans="1:7" ht="40" customHeight="1">
      <c r="A15" s="6" t="s">
        <v>355</v>
      </c>
      <c r="B15" s="7" t="s">
        <v>356</v>
      </c>
      <c r="C15" s="7" t="s">
        <v>357</v>
      </c>
      <c r="D15" s="7" t="s">
        <v>313</v>
      </c>
      <c r="E15" s="7" t="s">
        <v>358</v>
      </c>
      <c r="F15" s="7" t="s">
        <v>315</v>
      </c>
      <c r="G15" s="7" t="s">
        <v>359</v>
      </c>
    </row>
    <row r="16" spans="1:7" ht="40" customHeight="1">
      <c r="A16" s="3" t="s">
        <v>360</v>
      </c>
      <c r="B16" s="4" t="s">
        <v>361</v>
      </c>
      <c r="C16" s="4" t="s">
        <v>362</v>
      </c>
      <c r="D16" s="4" t="s">
        <v>313</v>
      </c>
      <c r="E16" s="4" t="s">
        <v>363</v>
      </c>
      <c r="F16" s="4" t="s">
        <v>315</v>
      </c>
      <c r="G16" s="4" t="s">
        <v>364</v>
      </c>
    </row>
    <row r="17" spans="1:7" ht="40" customHeight="1">
      <c r="A17" s="6" t="s">
        <v>365</v>
      </c>
      <c r="B17" s="7" t="s">
        <v>366</v>
      </c>
      <c r="C17" s="7" t="s">
        <v>33</v>
      </c>
      <c r="D17" s="7" t="s">
        <v>313</v>
      </c>
      <c r="E17" s="7" t="s">
        <v>367</v>
      </c>
      <c r="F17" s="7" t="s">
        <v>315</v>
      </c>
      <c r="G17" s="7" t="s">
        <v>368</v>
      </c>
    </row>
    <row r="18" spans="1:7" ht="40" customHeight="1">
      <c r="A18" s="3" t="s">
        <v>369</v>
      </c>
      <c r="B18" s="4" t="s">
        <v>370</v>
      </c>
      <c r="C18" s="4" t="s">
        <v>33</v>
      </c>
      <c r="D18" s="4" t="s">
        <v>313</v>
      </c>
      <c r="E18" s="4" t="s">
        <v>371</v>
      </c>
      <c r="F18" s="4" t="s">
        <v>315</v>
      </c>
      <c r="G18" s="4" t="s">
        <v>372</v>
      </c>
    </row>
    <row r="19" spans="1:7" ht="55" customHeight="1">
      <c r="A19" s="6" t="s">
        <v>373</v>
      </c>
      <c r="B19" s="7" t="s">
        <v>327</v>
      </c>
      <c r="C19" s="7" t="s">
        <v>319</v>
      </c>
      <c r="D19" s="7" t="s">
        <v>374</v>
      </c>
      <c r="E19" s="7" t="s">
        <v>320</v>
      </c>
      <c r="F19" s="7" t="s">
        <v>315</v>
      </c>
      <c r="G19" s="7" t="s">
        <v>375</v>
      </c>
    </row>
    <row r="20" spans="1:7" ht="55" customHeight="1">
      <c r="A20" s="3" t="s">
        <v>376</v>
      </c>
      <c r="B20" s="4" t="s">
        <v>330</v>
      </c>
      <c r="C20" s="4" t="s">
        <v>319</v>
      </c>
      <c r="D20" s="4" t="s">
        <v>374</v>
      </c>
      <c r="E20" s="4" t="s">
        <v>324</v>
      </c>
      <c r="F20" s="4" t="s">
        <v>315</v>
      </c>
      <c r="G20" s="4" t="s">
        <v>377</v>
      </c>
    </row>
    <row r="21" spans="1:7" ht="40" customHeight="1">
      <c r="A21" s="6" t="s">
        <v>378</v>
      </c>
      <c r="B21" s="7" t="s">
        <v>356</v>
      </c>
      <c r="C21" s="7" t="s">
        <v>357</v>
      </c>
      <c r="D21" s="7" t="s">
        <v>374</v>
      </c>
      <c r="E21" s="7" t="s">
        <v>358</v>
      </c>
      <c r="F21" s="7" t="s">
        <v>315</v>
      </c>
      <c r="G21" s="7" t="s">
        <v>379</v>
      </c>
    </row>
    <row r="22" spans="1:7" ht="55" customHeight="1">
      <c r="A22" s="3" t="s">
        <v>380</v>
      </c>
      <c r="B22" s="4" t="s">
        <v>361</v>
      </c>
      <c r="C22" s="4" t="s">
        <v>362</v>
      </c>
      <c r="D22" s="4" t="s">
        <v>374</v>
      </c>
      <c r="E22" s="4" t="s">
        <v>363</v>
      </c>
      <c r="F22" s="4" t="s">
        <v>315</v>
      </c>
      <c r="G22" s="4" t="s">
        <v>381</v>
      </c>
    </row>
    <row r="23" spans="1:7" ht="55" customHeight="1">
      <c r="A23" s="6" t="s">
        <v>382</v>
      </c>
      <c r="B23" s="7" t="s">
        <v>330</v>
      </c>
      <c r="C23" s="7" t="s">
        <v>319</v>
      </c>
      <c r="D23" s="7" t="s">
        <v>383</v>
      </c>
      <c r="E23" s="7" t="s">
        <v>324</v>
      </c>
      <c r="F23" s="7" t="s">
        <v>315</v>
      </c>
      <c r="G23" s="7" t="s">
        <v>384</v>
      </c>
    </row>
    <row r="24" spans="1:7" ht="100" customHeight="1">
      <c r="A24" s="3" t="s">
        <v>385</v>
      </c>
      <c r="B24" s="4" t="s">
        <v>327</v>
      </c>
      <c r="C24" s="4" t="s">
        <v>319</v>
      </c>
      <c r="D24" s="4" t="s">
        <v>383</v>
      </c>
      <c r="E24" s="4" t="s">
        <v>320</v>
      </c>
      <c r="F24" s="4" t="s">
        <v>315</v>
      </c>
      <c r="G24" s="4" t="s">
        <v>386</v>
      </c>
    </row>
  </sheetData>
  <autoFilter ref="A4:G2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&amp;LSources&amp;RPage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3C5658"/>
  </sheetPr>
  <dimension ref="A1:G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1" spans="1:7" ht="9" customHeight="1"/>
    <row r="2" spans="1:7" ht="42" customHeight="1">
      <c r="A2" s="1" t="s">
        <v>387</v>
      </c>
      <c r="B2" s="1"/>
      <c r="C2" s="1"/>
      <c r="D2" s="1"/>
      <c r="E2" s="1"/>
      <c r="F2" s="1"/>
      <c r="G2" s="8"/>
    </row>
    <row r="3" spans="1:7" ht="30" customHeight="1">
      <c r="A3" s="2" t="s">
        <v>56</v>
      </c>
      <c r="B3" s="2"/>
      <c r="C3" s="2"/>
      <c r="D3" s="2"/>
      <c r="E3" s="2"/>
      <c r="F3" s="2"/>
      <c r="G3" s="8"/>
    </row>
    <row r="4" spans="1:7" ht="34" customHeight="1">
      <c r="A4" s="5" t="s">
        <v>388</v>
      </c>
      <c r="B4" s="5" t="s">
        <v>389</v>
      </c>
      <c r="C4" s="5" t="s">
        <v>42</v>
      </c>
      <c r="D4" s="5" t="s">
        <v>390</v>
      </c>
      <c r="E4" s="5" t="s">
        <v>391</v>
      </c>
      <c r="F4" s="5" t="s">
        <v>392</v>
      </c>
      <c r="G4" s="5" t="s">
        <v>393</v>
      </c>
    </row>
    <row r="5" spans="1:7" ht="40" customHeight="1">
      <c r="A5" s="6" t="s">
        <v>394</v>
      </c>
      <c r="B5" s="7" t="s">
        <v>395</v>
      </c>
      <c r="C5" s="11">
        <v>1874.341</v>
      </c>
      <c r="D5" s="7" t="s">
        <v>396</v>
      </c>
      <c r="E5" s="7" t="s">
        <v>397</v>
      </c>
      <c r="F5" s="7" t="s">
        <v>398</v>
      </c>
      <c r="G5" s="7" t="s">
        <v>399</v>
      </c>
    </row>
    <row r="6" spans="1:7" ht="40" customHeight="1">
      <c r="A6" s="3" t="s">
        <v>400</v>
      </c>
      <c r="B6" s="4" t="s">
        <v>395</v>
      </c>
      <c r="C6" s="12">
        <v>509.27</v>
      </c>
      <c r="D6" s="4" t="s">
        <v>396</v>
      </c>
      <c r="E6" s="4" t="s">
        <v>401</v>
      </c>
      <c r="F6" s="4" t="s">
        <v>402</v>
      </c>
      <c r="G6" s="4" t="s">
        <v>403</v>
      </c>
    </row>
    <row r="7" spans="1:7" ht="40" customHeight="1">
      <c r="A7" s="6" t="s">
        <v>404</v>
      </c>
      <c r="B7" s="7" t="s">
        <v>395</v>
      </c>
      <c r="C7" s="11">
        <v>2066.337</v>
      </c>
      <c r="D7" s="7" t="s">
        <v>396</v>
      </c>
      <c r="E7" s="7" t="s">
        <v>405</v>
      </c>
      <c r="F7" s="7" t="s">
        <v>406</v>
      </c>
      <c r="G7" s="7" t="s">
        <v>407</v>
      </c>
    </row>
    <row r="8" spans="1:7" ht="40" customHeight="1">
      <c r="A8" s="3" t="s">
        <v>408</v>
      </c>
      <c r="B8" s="4" t="s">
        <v>395</v>
      </c>
      <c r="C8" s="12">
        <v>394.5319999999999</v>
      </c>
      <c r="D8" s="4" t="s">
        <v>396</v>
      </c>
      <c r="E8" s="4" t="s">
        <v>409</v>
      </c>
      <c r="F8" s="4" t="s">
        <v>410</v>
      </c>
      <c r="G8" s="4" t="s">
        <v>411</v>
      </c>
    </row>
    <row r="9" spans="1:7" ht="40" customHeight="1">
      <c r="A9" s="6" t="s">
        <v>412</v>
      </c>
      <c r="B9" s="7" t="s">
        <v>395</v>
      </c>
      <c r="C9" s="11">
        <v>305</v>
      </c>
      <c r="D9" s="7" t="s">
        <v>396</v>
      </c>
      <c r="E9" s="7" t="s">
        <v>397</v>
      </c>
      <c r="F9" s="7" t="s">
        <v>413</v>
      </c>
      <c r="G9" s="7" t="s">
        <v>399</v>
      </c>
    </row>
    <row r="10" spans="1:7" ht="40" customHeight="1">
      <c r="A10" s="3" t="s">
        <v>414</v>
      </c>
      <c r="B10" s="4" t="s">
        <v>395</v>
      </c>
      <c r="C10" s="12">
        <v>105</v>
      </c>
      <c r="D10" s="4" t="s">
        <v>396</v>
      </c>
      <c r="E10" s="4" t="s">
        <v>401</v>
      </c>
      <c r="F10" s="4" t="s">
        <v>415</v>
      </c>
      <c r="G10" s="4" t="s">
        <v>403</v>
      </c>
    </row>
    <row r="11" spans="1:7" ht="40" customHeight="1">
      <c r="A11" s="6" t="s">
        <v>416</v>
      </c>
      <c r="B11" s="7" t="s">
        <v>395</v>
      </c>
      <c r="C11" s="11">
        <v>1303</v>
      </c>
      <c r="D11" s="7" t="s">
        <v>396</v>
      </c>
      <c r="E11" s="7" t="s">
        <v>405</v>
      </c>
      <c r="F11" s="7" t="s">
        <v>417</v>
      </c>
      <c r="G11" s="7" t="s">
        <v>407</v>
      </c>
    </row>
    <row r="12" spans="1:7" ht="40" customHeight="1">
      <c r="A12" s="3" t="s">
        <v>418</v>
      </c>
      <c r="B12" s="4" t="s">
        <v>395</v>
      </c>
      <c r="C12" s="12">
        <v>192</v>
      </c>
      <c r="D12" s="4" t="s">
        <v>396</v>
      </c>
      <c r="E12" s="4" t="s">
        <v>409</v>
      </c>
      <c r="F12" s="4" t="s">
        <v>419</v>
      </c>
      <c r="G12" s="4" t="s">
        <v>411</v>
      </c>
    </row>
    <row r="13" spans="1:7" ht="25" customHeight="1">
      <c r="A13" s="6" t="s">
        <v>420</v>
      </c>
      <c r="B13" s="7" t="s">
        <v>395</v>
      </c>
      <c r="C13" s="11">
        <v>0</v>
      </c>
      <c r="D13" s="7" t="s">
        <v>396</v>
      </c>
      <c r="E13" s="7" t="s">
        <v>421</v>
      </c>
      <c r="F13" s="7" t="s">
        <v>422</v>
      </c>
      <c r="G13" s="7" t="s">
        <v>423</v>
      </c>
    </row>
    <row r="14" spans="1:7" ht="40" customHeight="1">
      <c r="A14" s="3" t="s">
        <v>424</v>
      </c>
      <c r="B14" s="4" t="s">
        <v>395</v>
      </c>
      <c r="C14" s="12">
        <v>450</v>
      </c>
      <c r="D14" s="4" t="s">
        <v>396</v>
      </c>
      <c r="E14" s="4" t="s">
        <v>425</v>
      </c>
      <c r="F14" s="4" t="s">
        <v>426</v>
      </c>
      <c r="G14" s="4" t="s">
        <v>427</v>
      </c>
    </row>
    <row r="15" spans="1:7" ht="40" customHeight="1">
      <c r="A15" s="6" t="s">
        <v>428</v>
      </c>
      <c r="B15" s="7" t="s">
        <v>395</v>
      </c>
      <c r="C15" s="11">
        <v>0</v>
      </c>
      <c r="D15" s="7" t="s">
        <v>396</v>
      </c>
      <c r="E15" s="7" t="s">
        <v>429</v>
      </c>
      <c r="F15" s="7" t="s">
        <v>430</v>
      </c>
      <c r="G15" s="7" t="s">
        <v>431</v>
      </c>
    </row>
    <row r="16" spans="1:7" ht="40" customHeight="1">
      <c r="A16" s="3" t="s">
        <v>432</v>
      </c>
      <c r="B16" s="4" t="s">
        <v>395</v>
      </c>
      <c r="C16" s="12">
        <v>2293.453968</v>
      </c>
      <c r="D16" s="4" t="s">
        <v>396</v>
      </c>
      <c r="E16" s="4" t="s">
        <v>433</v>
      </c>
      <c r="F16" s="4" t="s">
        <v>434</v>
      </c>
      <c r="G16" s="4" t="s">
        <v>435</v>
      </c>
    </row>
    <row r="17" spans="1:7" ht="40" customHeight="1">
      <c r="A17" s="6" t="s">
        <v>436</v>
      </c>
      <c r="B17" s="7" t="s">
        <v>395</v>
      </c>
      <c r="C17" s="11">
        <v>11.1614759776</v>
      </c>
      <c r="D17" s="7" t="s">
        <v>437</v>
      </c>
      <c r="E17" s="7" t="s">
        <v>438</v>
      </c>
      <c r="F17" s="7" t="s">
        <v>439</v>
      </c>
      <c r="G17" s="7" t="s">
        <v>440</v>
      </c>
    </row>
    <row r="18" spans="1:7" ht="25" customHeight="1">
      <c r="A18" s="3" t="s">
        <v>441</v>
      </c>
      <c r="B18" s="4" t="s">
        <v>395</v>
      </c>
      <c r="C18" s="12">
        <v>54.375</v>
      </c>
      <c r="D18" s="4" t="s">
        <v>396</v>
      </c>
      <c r="E18" s="4" t="s">
        <v>442</v>
      </c>
      <c r="F18" s="4" t="s">
        <v>443</v>
      </c>
      <c r="G18" s="4" t="s">
        <v>444</v>
      </c>
    </row>
    <row r="19" spans="1:7" ht="25" customHeight="1">
      <c r="A19" s="6" t="s">
        <v>445</v>
      </c>
      <c r="B19" s="7" t="s">
        <v>395</v>
      </c>
      <c r="C19" s="11">
        <v>16</v>
      </c>
      <c r="D19" s="7" t="s">
        <v>396</v>
      </c>
      <c r="E19" s="7" t="s">
        <v>446</v>
      </c>
      <c r="F19" s="7" t="s">
        <v>447</v>
      </c>
      <c r="G19" s="7" t="s">
        <v>448</v>
      </c>
    </row>
  </sheetData>
  <autoFilter ref="A4:G19"/>
  <mergeCells count="2">
    <mergeCell ref="A2:F2"/>
    <mergeCell ref="A3:F3"/>
  </mergeCells>
  <conditionalFormatting sqref="B10">
    <cfRule type="cellIs" dxfId="1" priority="6" operator="equal">
      <formula>"Supported"</formula>
    </cfRule>
  </conditionalFormatting>
  <conditionalFormatting sqref="B11">
    <cfRule type="cellIs" dxfId="1" priority="7" operator="equal">
      <formula>"Supported"</formula>
    </cfRule>
  </conditionalFormatting>
  <conditionalFormatting sqref="B12">
    <cfRule type="cellIs" dxfId="1" priority="8" operator="equal">
      <formula>"Supported"</formula>
    </cfRule>
  </conditionalFormatting>
  <conditionalFormatting sqref="B13">
    <cfRule type="cellIs" dxfId="1" priority="9" operator="equal">
      <formula>"Supported"</formula>
    </cfRule>
  </conditionalFormatting>
  <conditionalFormatting sqref="B14">
    <cfRule type="cellIs" dxfId="1" priority="10" operator="equal">
      <formula>"Supported"</formula>
    </cfRule>
  </conditionalFormatting>
  <conditionalFormatting sqref="B15">
    <cfRule type="cellIs" dxfId="1" priority="11" operator="equal">
      <formula>"Supported"</formula>
    </cfRule>
  </conditionalFormatting>
  <conditionalFormatting sqref="B16">
    <cfRule type="cellIs" dxfId="1" priority="12" operator="equal">
      <formula>"Supported"</formula>
    </cfRule>
  </conditionalFormatting>
  <conditionalFormatting sqref="B17">
    <cfRule type="cellIs" dxfId="1" priority="13" operator="equal">
      <formula>"Supported"</formula>
    </cfRule>
  </conditionalFormatting>
  <conditionalFormatting sqref="B18">
    <cfRule type="cellIs" dxfId="1" priority="14" operator="equal">
      <formula>"Supported"</formula>
    </cfRule>
  </conditionalFormatting>
  <conditionalFormatting sqref="B19">
    <cfRule type="cellIs" dxfId="1" priority="15" operator="equal">
      <formula>"Supported"</formula>
    </cfRule>
  </conditionalFormatting>
  <conditionalFormatting sqref="B5">
    <cfRule type="cellIs" dxfId="1" priority="1" operator="equal">
      <formula>"Supported"</formula>
    </cfRule>
  </conditionalFormatting>
  <conditionalFormatting sqref="B6">
    <cfRule type="cellIs" dxfId="1" priority="2" operator="equal">
      <formula>"Supported"</formula>
    </cfRule>
  </conditionalFormatting>
  <conditionalFormatting sqref="B7">
    <cfRule type="cellIs" dxfId="1" priority="3" operator="equal">
      <formula>"Supported"</formula>
    </cfRule>
  </conditionalFormatting>
  <conditionalFormatting sqref="B8">
    <cfRule type="cellIs" dxfId="1" priority="4" operator="equal">
      <formula>"Supported"</formula>
    </cfRule>
  </conditionalFormatting>
  <conditionalFormatting sqref="B9">
    <cfRule type="cellIs" dxfId="1" priority="5" operator="equal">
      <formula>"Supported"</formula>
    </cfRule>
  </conditionalFormatting>
  <pageMargins left="0.3" right="0.3" top="0.4" bottom="0.4" header="0.3" footer="0.3"/>
  <pageSetup paperSize="9" scale="85" orientation="landscape"/>
  <headerFooter>
    <oddFooter>&amp;LHistorical calculations&amp;RPage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3C5658"/>
  </sheetPr>
  <dimension ref="A1:J4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1" spans="1:10" ht="9" customHeight="1"/>
    <row r="2" spans="1:10" ht="42" customHeight="1">
      <c r="A2" s="1" t="s">
        <v>449</v>
      </c>
      <c r="B2" s="1"/>
      <c r="C2" s="1"/>
      <c r="D2" s="1"/>
      <c r="E2" s="1"/>
      <c r="F2" s="1"/>
      <c r="G2" s="8"/>
      <c r="H2" s="8"/>
      <c r="I2" s="8"/>
      <c r="J2" s="8"/>
    </row>
    <row r="3" spans="1:10" ht="30" customHeight="1">
      <c r="A3" s="2" t="s">
        <v>56</v>
      </c>
      <c r="B3" s="2"/>
      <c r="C3" s="2"/>
      <c r="D3" s="2"/>
      <c r="E3" s="2"/>
      <c r="F3" s="2"/>
      <c r="G3" s="8"/>
      <c r="H3" s="8"/>
      <c r="I3" s="8"/>
      <c r="J3" s="8"/>
    </row>
    <row r="4" spans="1:10" ht="34" customHeight="1">
      <c r="A4" s="5" t="s">
        <v>64</v>
      </c>
      <c r="B4" s="5" t="s">
        <v>389</v>
      </c>
      <c r="C4" s="5" t="s">
        <v>65</v>
      </c>
      <c r="D4" s="5" t="s">
        <v>450</v>
      </c>
      <c r="E4" s="5" t="s">
        <v>69</v>
      </c>
      <c r="F4" s="5" t="s">
        <v>451</v>
      </c>
      <c r="G4" s="5" t="s">
        <v>452</v>
      </c>
      <c r="H4" s="5" t="s">
        <v>453</v>
      </c>
      <c r="I4" s="5" t="s">
        <v>454</v>
      </c>
      <c r="J4" s="5" t="s">
        <v>70</v>
      </c>
    </row>
    <row r="5" spans="1:10" ht="55" customHeight="1">
      <c r="A5" s="6" t="s">
        <v>300</v>
      </c>
      <c r="B5" s="7" t="s">
        <v>455</v>
      </c>
      <c r="C5" s="7" t="s">
        <v>79</v>
      </c>
      <c r="D5" s="7" t="s">
        <v>456</v>
      </c>
      <c r="E5" s="7" t="s">
        <v>292</v>
      </c>
      <c r="F5" s="7" t="s">
        <v>457</v>
      </c>
      <c r="G5" s="7" t="s">
        <v>458</v>
      </c>
      <c r="H5" s="7" t="s">
        <v>459</v>
      </c>
      <c r="I5" s="7" t="s">
        <v>334</v>
      </c>
      <c r="J5" s="7" t="s">
        <v>460</v>
      </c>
    </row>
    <row r="6" spans="1:10" ht="40" customHeight="1">
      <c r="A6" s="3" t="s">
        <v>145</v>
      </c>
      <c r="B6" s="4" t="s">
        <v>455</v>
      </c>
      <c r="C6" s="4" t="s">
        <v>79</v>
      </c>
      <c r="D6" s="4" t="s">
        <v>456</v>
      </c>
      <c r="E6" s="4" t="s">
        <v>140</v>
      </c>
      <c r="F6" s="4" t="s">
        <v>461</v>
      </c>
      <c r="G6" s="4" t="s">
        <v>462</v>
      </c>
      <c r="H6" s="4" t="s">
        <v>463</v>
      </c>
      <c r="I6" s="4" t="s">
        <v>320</v>
      </c>
      <c r="J6" s="4" t="s">
        <v>464</v>
      </c>
    </row>
    <row r="7" spans="1:10" ht="40" customHeight="1">
      <c r="A7" s="6" t="s">
        <v>138</v>
      </c>
      <c r="B7" s="7" t="s">
        <v>455</v>
      </c>
      <c r="C7" s="7" t="s">
        <v>79</v>
      </c>
      <c r="D7" s="7" t="s">
        <v>456</v>
      </c>
      <c r="E7" s="7" t="s">
        <v>140</v>
      </c>
      <c r="F7" s="7" t="s">
        <v>461</v>
      </c>
      <c r="G7" s="7" t="s">
        <v>462</v>
      </c>
      <c r="H7" s="7" t="s">
        <v>463</v>
      </c>
      <c r="I7" s="7" t="s">
        <v>320</v>
      </c>
      <c r="J7" s="7" t="s">
        <v>464</v>
      </c>
    </row>
    <row r="8" spans="1:10" ht="40" customHeight="1">
      <c r="A8" s="3" t="s">
        <v>144</v>
      </c>
      <c r="B8" s="4" t="s">
        <v>455</v>
      </c>
      <c r="C8" s="4" t="s">
        <v>79</v>
      </c>
      <c r="D8" s="4" t="s">
        <v>456</v>
      </c>
      <c r="E8" s="4" t="s">
        <v>140</v>
      </c>
      <c r="F8" s="4" t="s">
        <v>465</v>
      </c>
      <c r="G8" s="4" t="s">
        <v>466</v>
      </c>
      <c r="H8" s="4" t="s">
        <v>459</v>
      </c>
      <c r="I8" s="4" t="s">
        <v>320</v>
      </c>
      <c r="J8" s="4" t="s">
        <v>467</v>
      </c>
    </row>
    <row r="9" spans="1:10" ht="40" customHeight="1">
      <c r="A9" s="6" t="s">
        <v>107</v>
      </c>
      <c r="B9" s="7" t="s">
        <v>468</v>
      </c>
      <c r="C9" s="7" t="s">
        <v>72</v>
      </c>
      <c r="D9" s="7" t="s">
        <v>456</v>
      </c>
      <c r="E9" s="7" t="s">
        <v>103</v>
      </c>
      <c r="F9" s="7" t="s">
        <v>469</v>
      </c>
      <c r="G9" s="7" t="s">
        <v>470</v>
      </c>
      <c r="H9" s="7" t="s">
        <v>459</v>
      </c>
      <c r="I9" s="7" t="s">
        <v>320</v>
      </c>
      <c r="J9" s="7" t="s">
        <v>471</v>
      </c>
    </row>
    <row r="10" spans="1:10" ht="40" customHeight="1">
      <c r="A10" s="3" t="s">
        <v>110</v>
      </c>
      <c r="B10" s="4" t="s">
        <v>455</v>
      </c>
      <c r="C10" s="4" t="s">
        <v>79</v>
      </c>
      <c r="D10" s="4" t="s">
        <v>456</v>
      </c>
      <c r="E10" s="4" t="s">
        <v>103</v>
      </c>
      <c r="F10" s="4" t="s">
        <v>472</v>
      </c>
      <c r="G10" s="4" t="s">
        <v>473</v>
      </c>
      <c r="H10" s="4" t="s">
        <v>459</v>
      </c>
      <c r="I10" s="4" t="s">
        <v>320</v>
      </c>
      <c r="J10" s="4" t="s">
        <v>474</v>
      </c>
    </row>
    <row r="11" spans="1:10" ht="70" customHeight="1">
      <c r="A11" s="6" t="s">
        <v>105</v>
      </c>
      <c r="B11" s="7" t="s">
        <v>455</v>
      </c>
      <c r="C11" s="7" t="s">
        <v>79</v>
      </c>
      <c r="D11" s="7" t="s">
        <v>456</v>
      </c>
      <c r="E11" s="7" t="s">
        <v>106</v>
      </c>
      <c r="F11" s="7" t="s">
        <v>475</v>
      </c>
      <c r="G11" s="7" t="s">
        <v>476</v>
      </c>
      <c r="H11" s="7" t="s">
        <v>459</v>
      </c>
      <c r="I11" s="7" t="s">
        <v>320</v>
      </c>
      <c r="J11" s="7" t="s">
        <v>477</v>
      </c>
    </row>
    <row r="12" spans="1:10" ht="55" customHeight="1">
      <c r="A12" s="3" t="s">
        <v>129</v>
      </c>
      <c r="B12" s="4" t="s">
        <v>455</v>
      </c>
      <c r="C12" s="4" t="s">
        <v>79</v>
      </c>
      <c r="D12" s="4" t="s">
        <v>478</v>
      </c>
      <c r="E12" s="4" t="s">
        <v>121</v>
      </c>
      <c r="F12" s="4" t="s">
        <v>479</v>
      </c>
      <c r="G12" s="4" t="s">
        <v>480</v>
      </c>
      <c r="H12" s="4" t="s">
        <v>459</v>
      </c>
      <c r="I12" s="4" t="s">
        <v>320</v>
      </c>
      <c r="J12" s="4" t="s">
        <v>481</v>
      </c>
    </row>
    <row r="13" spans="1:10" ht="55" customHeight="1">
      <c r="A13" s="6" t="s">
        <v>131</v>
      </c>
      <c r="B13" s="7" t="s">
        <v>455</v>
      </c>
      <c r="C13" s="7" t="s">
        <v>79</v>
      </c>
      <c r="D13" s="7" t="s">
        <v>478</v>
      </c>
      <c r="E13" s="7" t="s">
        <v>121</v>
      </c>
      <c r="F13" s="7" t="s">
        <v>482</v>
      </c>
      <c r="G13" s="7" t="s">
        <v>483</v>
      </c>
      <c r="H13" s="7" t="s">
        <v>459</v>
      </c>
      <c r="I13" s="7" t="s">
        <v>320</v>
      </c>
      <c r="J13" s="7" t="s">
        <v>484</v>
      </c>
    </row>
    <row r="14" spans="1:10" ht="55" customHeight="1">
      <c r="A14" s="3" t="s">
        <v>125</v>
      </c>
      <c r="B14" s="4" t="s">
        <v>455</v>
      </c>
      <c r="C14" s="4" t="s">
        <v>79</v>
      </c>
      <c r="D14" s="4" t="s">
        <v>478</v>
      </c>
      <c r="E14" s="4" t="s">
        <v>121</v>
      </c>
      <c r="F14" s="4" t="s">
        <v>485</v>
      </c>
      <c r="G14" s="4" t="s">
        <v>486</v>
      </c>
      <c r="H14" s="4" t="s">
        <v>459</v>
      </c>
      <c r="I14" s="4" t="s">
        <v>320</v>
      </c>
      <c r="J14" s="4" t="s">
        <v>487</v>
      </c>
    </row>
    <row r="15" spans="1:10" ht="55" customHeight="1">
      <c r="A15" s="6" t="s">
        <v>123</v>
      </c>
      <c r="B15" s="7" t="s">
        <v>455</v>
      </c>
      <c r="C15" s="7" t="s">
        <v>79</v>
      </c>
      <c r="D15" s="7" t="s">
        <v>478</v>
      </c>
      <c r="E15" s="7" t="s">
        <v>121</v>
      </c>
      <c r="F15" s="7" t="s">
        <v>488</v>
      </c>
      <c r="G15" s="7" t="s">
        <v>489</v>
      </c>
      <c r="H15" s="7" t="s">
        <v>459</v>
      </c>
      <c r="I15" s="7" t="s">
        <v>334</v>
      </c>
      <c r="J15" s="7" t="s">
        <v>490</v>
      </c>
    </row>
    <row r="16" spans="1:10" ht="55" customHeight="1">
      <c r="A16" s="3" t="s">
        <v>133</v>
      </c>
      <c r="B16" s="4" t="s">
        <v>455</v>
      </c>
      <c r="C16" s="4" t="s">
        <v>79</v>
      </c>
      <c r="D16" s="4" t="s">
        <v>478</v>
      </c>
      <c r="E16" s="4" t="s">
        <v>121</v>
      </c>
      <c r="F16" s="4" t="s">
        <v>491</v>
      </c>
      <c r="G16" s="4" t="s">
        <v>492</v>
      </c>
      <c r="H16" s="4" t="s">
        <v>493</v>
      </c>
      <c r="I16" s="4" t="s">
        <v>339</v>
      </c>
      <c r="J16" s="4" t="s">
        <v>494</v>
      </c>
    </row>
    <row r="17" spans="1:10" ht="55" customHeight="1">
      <c r="A17" s="6" t="s">
        <v>135</v>
      </c>
      <c r="B17" s="7" t="s">
        <v>468</v>
      </c>
      <c r="C17" s="7" t="s">
        <v>72</v>
      </c>
      <c r="D17" s="7" t="s">
        <v>478</v>
      </c>
      <c r="E17" s="7" t="s">
        <v>121</v>
      </c>
      <c r="F17" s="7" t="s">
        <v>495</v>
      </c>
      <c r="G17" s="7" t="s">
        <v>470</v>
      </c>
      <c r="H17" s="7" t="s">
        <v>459</v>
      </c>
      <c r="I17" s="7" t="s">
        <v>320</v>
      </c>
      <c r="J17" s="7" t="s">
        <v>496</v>
      </c>
    </row>
    <row r="18" spans="1:10" ht="55" customHeight="1">
      <c r="A18" s="3" t="s">
        <v>117</v>
      </c>
      <c r="B18" s="4" t="s">
        <v>468</v>
      </c>
      <c r="C18" s="4" t="s">
        <v>72</v>
      </c>
      <c r="D18" s="4" t="s">
        <v>478</v>
      </c>
      <c r="E18" s="4" t="s">
        <v>121</v>
      </c>
      <c r="F18" s="4" t="s">
        <v>497</v>
      </c>
      <c r="G18" s="4" t="s">
        <v>470</v>
      </c>
      <c r="H18" s="4" t="s">
        <v>498</v>
      </c>
      <c r="I18" s="4" t="s">
        <v>320</v>
      </c>
      <c r="J18" s="4" t="s">
        <v>499</v>
      </c>
    </row>
    <row r="19" spans="1:10" ht="55" customHeight="1">
      <c r="A19" s="6" t="s">
        <v>127</v>
      </c>
      <c r="B19" s="7" t="s">
        <v>455</v>
      </c>
      <c r="C19" s="7" t="s">
        <v>79</v>
      </c>
      <c r="D19" s="7" t="s">
        <v>478</v>
      </c>
      <c r="E19" s="7" t="s">
        <v>121</v>
      </c>
      <c r="F19" s="7" t="s">
        <v>500</v>
      </c>
      <c r="G19" s="7" t="s">
        <v>501</v>
      </c>
      <c r="H19" s="7" t="s">
        <v>459</v>
      </c>
      <c r="I19" s="7" t="s">
        <v>348</v>
      </c>
      <c r="J19" s="7" t="s">
        <v>502</v>
      </c>
    </row>
    <row r="20" spans="1:10" ht="40" customHeight="1">
      <c r="A20" s="3" t="s">
        <v>288</v>
      </c>
      <c r="B20" s="4" t="s">
        <v>455</v>
      </c>
      <c r="C20" s="4" t="s">
        <v>79</v>
      </c>
      <c r="D20" s="4" t="s">
        <v>456</v>
      </c>
      <c r="E20" s="4" t="s">
        <v>140</v>
      </c>
      <c r="F20" s="4" t="s">
        <v>461</v>
      </c>
      <c r="G20" s="4" t="s">
        <v>462</v>
      </c>
      <c r="H20" s="4" t="s">
        <v>463</v>
      </c>
      <c r="I20" s="4" t="s">
        <v>324</v>
      </c>
      <c r="J20" s="4" t="s">
        <v>464</v>
      </c>
    </row>
    <row r="21" spans="1:10" ht="40" customHeight="1">
      <c r="A21" s="6" t="s">
        <v>284</v>
      </c>
      <c r="B21" s="7" t="s">
        <v>455</v>
      </c>
      <c r="C21" s="7" t="s">
        <v>79</v>
      </c>
      <c r="D21" s="7" t="s">
        <v>456</v>
      </c>
      <c r="E21" s="7" t="s">
        <v>140</v>
      </c>
      <c r="F21" s="7" t="s">
        <v>461</v>
      </c>
      <c r="G21" s="7" t="s">
        <v>462</v>
      </c>
      <c r="H21" s="7" t="s">
        <v>463</v>
      </c>
      <c r="I21" s="7" t="s">
        <v>324</v>
      </c>
      <c r="J21" s="7" t="s">
        <v>464</v>
      </c>
    </row>
    <row r="22" spans="1:10" ht="40" customHeight="1">
      <c r="A22" s="3" t="s">
        <v>286</v>
      </c>
      <c r="B22" s="4" t="s">
        <v>468</v>
      </c>
      <c r="C22" s="4" t="s">
        <v>72</v>
      </c>
      <c r="D22" s="4" t="s">
        <v>456</v>
      </c>
      <c r="E22" s="4" t="s">
        <v>140</v>
      </c>
      <c r="F22" s="4" t="s">
        <v>465</v>
      </c>
      <c r="G22" s="4" t="s">
        <v>470</v>
      </c>
      <c r="H22" s="4" t="s">
        <v>459</v>
      </c>
      <c r="I22" s="4" t="s">
        <v>324</v>
      </c>
      <c r="J22" s="4" t="s">
        <v>467</v>
      </c>
    </row>
    <row r="23" spans="1:10" ht="40" customHeight="1">
      <c r="A23" s="6" t="s">
        <v>265</v>
      </c>
      <c r="B23" s="7" t="s">
        <v>468</v>
      </c>
      <c r="C23" s="7" t="s">
        <v>72</v>
      </c>
      <c r="D23" s="7" t="s">
        <v>456</v>
      </c>
      <c r="E23" s="7" t="s">
        <v>103</v>
      </c>
      <c r="F23" s="7" t="s">
        <v>469</v>
      </c>
      <c r="G23" s="7" t="s">
        <v>470</v>
      </c>
      <c r="H23" s="7" t="s">
        <v>459</v>
      </c>
      <c r="I23" s="7" t="s">
        <v>324</v>
      </c>
      <c r="J23" s="7" t="s">
        <v>471</v>
      </c>
    </row>
    <row r="24" spans="1:10" ht="40" customHeight="1">
      <c r="A24" s="3" t="s">
        <v>272</v>
      </c>
      <c r="B24" s="4" t="s">
        <v>468</v>
      </c>
      <c r="C24" s="4" t="s">
        <v>72</v>
      </c>
      <c r="D24" s="4" t="s">
        <v>456</v>
      </c>
      <c r="E24" s="4" t="s">
        <v>103</v>
      </c>
      <c r="F24" s="4" t="s">
        <v>503</v>
      </c>
      <c r="G24" s="4" t="s">
        <v>470</v>
      </c>
      <c r="H24" s="4" t="s">
        <v>459</v>
      </c>
      <c r="I24" s="4" t="s">
        <v>324</v>
      </c>
      <c r="J24" s="4" t="s">
        <v>504</v>
      </c>
    </row>
    <row r="25" spans="1:10" ht="40" customHeight="1">
      <c r="A25" s="6" t="s">
        <v>268</v>
      </c>
      <c r="B25" s="7" t="s">
        <v>455</v>
      </c>
      <c r="C25" s="7" t="s">
        <v>79</v>
      </c>
      <c r="D25" s="7" t="s">
        <v>456</v>
      </c>
      <c r="E25" s="7" t="s">
        <v>103</v>
      </c>
      <c r="F25" s="7" t="s">
        <v>472</v>
      </c>
      <c r="G25" s="7" t="s">
        <v>473</v>
      </c>
      <c r="H25" s="7" t="s">
        <v>459</v>
      </c>
      <c r="I25" s="7" t="s">
        <v>324</v>
      </c>
      <c r="J25" s="7" t="s">
        <v>474</v>
      </c>
    </row>
    <row r="26" spans="1:10" ht="55" customHeight="1">
      <c r="A26" s="3" t="s">
        <v>264</v>
      </c>
      <c r="B26" s="4" t="s">
        <v>455</v>
      </c>
      <c r="C26" s="4" t="s">
        <v>79</v>
      </c>
      <c r="D26" s="4" t="s">
        <v>456</v>
      </c>
      <c r="E26" s="4" t="s">
        <v>106</v>
      </c>
      <c r="F26" s="4" t="s">
        <v>505</v>
      </c>
      <c r="G26" s="4" t="s">
        <v>476</v>
      </c>
      <c r="H26" s="4" t="s">
        <v>459</v>
      </c>
      <c r="I26" s="4" t="s">
        <v>324</v>
      </c>
      <c r="J26" s="4" t="s">
        <v>477</v>
      </c>
    </row>
    <row r="27" spans="1:10" ht="55" customHeight="1">
      <c r="A27" s="6" t="s">
        <v>279</v>
      </c>
      <c r="B27" s="7" t="s">
        <v>455</v>
      </c>
      <c r="C27" s="7" t="s">
        <v>79</v>
      </c>
      <c r="D27" s="7" t="s">
        <v>478</v>
      </c>
      <c r="E27" s="7" t="s">
        <v>121</v>
      </c>
      <c r="F27" s="7" t="s">
        <v>479</v>
      </c>
      <c r="G27" s="7" t="s">
        <v>480</v>
      </c>
      <c r="H27" s="7" t="s">
        <v>459</v>
      </c>
      <c r="I27" s="7" t="s">
        <v>324</v>
      </c>
      <c r="J27" s="7" t="s">
        <v>481</v>
      </c>
    </row>
    <row r="28" spans="1:10" ht="55" customHeight="1">
      <c r="A28" s="3" t="s">
        <v>280</v>
      </c>
      <c r="B28" s="4" t="s">
        <v>455</v>
      </c>
      <c r="C28" s="4" t="s">
        <v>79</v>
      </c>
      <c r="D28" s="4" t="s">
        <v>478</v>
      </c>
      <c r="E28" s="4" t="s">
        <v>121</v>
      </c>
      <c r="F28" s="4" t="s">
        <v>482</v>
      </c>
      <c r="G28" s="4" t="s">
        <v>483</v>
      </c>
      <c r="H28" s="4" t="s">
        <v>459</v>
      </c>
      <c r="I28" s="4" t="s">
        <v>324</v>
      </c>
      <c r="J28" s="4" t="s">
        <v>484</v>
      </c>
    </row>
    <row r="29" spans="1:10" ht="55" customHeight="1">
      <c r="A29" s="6" t="s">
        <v>277</v>
      </c>
      <c r="B29" s="7" t="s">
        <v>455</v>
      </c>
      <c r="C29" s="7" t="s">
        <v>79</v>
      </c>
      <c r="D29" s="7" t="s">
        <v>478</v>
      </c>
      <c r="E29" s="7" t="s">
        <v>121</v>
      </c>
      <c r="F29" s="7" t="s">
        <v>485</v>
      </c>
      <c r="G29" s="7" t="s">
        <v>486</v>
      </c>
      <c r="H29" s="7" t="s">
        <v>459</v>
      </c>
      <c r="I29" s="7" t="s">
        <v>324</v>
      </c>
      <c r="J29" s="7" t="s">
        <v>487</v>
      </c>
    </row>
    <row r="30" spans="1:10" ht="55" customHeight="1">
      <c r="A30" s="3" t="s">
        <v>276</v>
      </c>
      <c r="B30" s="4" t="s">
        <v>455</v>
      </c>
      <c r="C30" s="4" t="s">
        <v>79</v>
      </c>
      <c r="D30" s="4" t="s">
        <v>478</v>
      </c>
      <c r="E30" s="4" t="s">
        <v>121</v>
      </c>
      <c r="F30" s="4" t="s">
        <v>488</v>
      </c>
      <c r="G30" s="4" t="s">
        <v>489</v>
      </c>
      <c r="H30" s="4" t="s">
        <v>459</v>
      </c>
      <c r="I30" s="4" t="s">
        <v>334</v>
      </c>
      <c r="J30" s="4" t="s">
        <v>490</v>
      </c>
    </row>
    <row r="31" spans="1:10" ht="55" customHeight="1">
      <c r="A31" s="6" t="s">
        <v>281</v>
      </c>
      <c r="B31" s="7" t="s">
        <v>455</v>
      </c>
      <c r="C31" s="7" t="s">
        <v>79</v>
      </c>
      <c r="D31" s="7" t="s">
        <v>478</v>
      </c>
      <c r="E31" s="7" t="s">
        <v>121</v>
      </c>
      <c r="F31" s="7" t="s">
        <v>491</v>
      </c>
      <c r="G31" s="7" t="s">
        <v>492</v>
      </c>
      <c r="H31" s="7" t="s">
        <v>493</v>
      </c>
      <c r="I31" s="7" t="s">
        <v>344</v>
      </c>
      <c r="J31" s="7" t="s">
        <v>494</v>
      </c>
    </row>
    <row r="32" spans="1:10" ht="55" customHeight="1">
      <c r="A32" s="3" t="s">
        <v>282</v>
      </c>
      <c r="B32" s="4" t="s">
        <v>468</v>
      </c>
      <c r="C32" s="4" t="s">
        <v>72</v>
      </c>
      <c r="D32" s="4" t="s">
        <v>478</v>
      </c>
      <c r="E32" s="4" t="s">
        <v>121</v>
      </c>
      <c r="F32" s="4" t="s">
        <v>495</v>
      </c>
      <c r="G32" s="4" t="s">
        <v>470</v>
      </c>
      <c r="H32" s="4" t="s">
        <v>459</v>
      </c>
      <c r="I32" s="4" t="s">
        <v>324</v>
      </c>
      <c r="J32" s="4" t="s">
        <v>496</v>
      </c>
    </row>
    <row r="33" spans="1:10" ht="55" customHeight="1">
      <c r="A33" s="6" t="s">
        <v>275</v>
      </c>
      <c r="B33" s="7" t="s">
        <v>455</v>
      </c>
      <c r="C33" s="7" t="s">
        <v>79</v>
      </c>
      <c r="D33" s="7" t="s">
        <v>478</v>
      </c>
      <c r="E33" s="7" t="s">
        <v>121</v>
      </c>
      <c r="F33" s="7" t="s">
        <v>497</v>
      </c>
      <c r="G33" s="7" t="s">
        <v>506</v>
      </c>
      <c r="H33" s="7" t="s">
        <v>498</v>
      </c>
      <c r="I33" s="7" t="s">
        <v>324</v>
      </c>
      <c r="J33" s="7" t="s">
        <v>499</v>
      </c>
    </row>
    <row r="34" spans="1:10" ht="55" customHeight="1">
      <c r="A34" s="3" t="s">
        <v>278</v>
      </c>
      <c r="B34" s="4" t="s">
        <v>455</v>
      </c>
      <c r="C34" s="4" t="s">
        <v>79</v>
      </c>
      <c r="D34" s="4" t="s">
        <v>478</v>
      </c>
      <c r="E34" s="4" t="s">
        <v>121</v>
      </c>
      <c r="F34" s="4" t="s">
        <v>500</v>
      </c>
      <c r="G34" s="4" t="s">
        <v>501</v>
      </c>
      <c r="H34" s="4" t="s">
        <v>459</v>
      </c>
      <c r="I34" s="4" t="s">
        <v>353</v>
      </c>
      <c r="J34" s="4" t="s">
        <v>502</v>
      </c>
    </row>
    <row r="35" spans="1:10" ht="85" customHeight="1">
      <c r="A35" s="6" t="s">
        <v>156</v>
      </c>
      <c r="B35" s="7" t="s">
        <v>468</v>
      </c>
      <c r="C35" s="7" t="s">
        <v>148</v>
      </c>
      <c r="D35" s="7" t="s">
        <v>507</v>
      </c>
      <c r="E35" s="7" t="s">
        <v>151</v>
      </c>
      <c r="F35" s="7" t="s">
        <v>158</v>
      </c>
      <c r="G35" s="7" t="s">
        <v>470</v>
      </c>
      <c r="H35" s="7" t="s">
        <v>508</v>
      </c>
      <c r="I35" s="7" t="s">
        <v>509</v>
      </c>
      <c r="J35" s="7" t="s">
        <v>510</v>
      </c>
    </row>
    <row r="36" spans="1:10" ht="55" customHeight="1">
      <c r="A36" s="3" t="s">
        <v>162</v>
      </c>
      <c r="B36" s="4" t="s">
        <v>468</v>
      </c>
      <c r="C36" s="4" t="s">
        <v>148</v>
      </c>
      <c r="D36" s="4" t="s">
        <v>507</v>
      </c>
      <c r="E36" s="4" t="s">
        <v>151</v>
      </c>
      <c r="F36" s="4" t="s">
        <v>164</v>
      </c>
      <c r="G36" s="4" t="s">
        <v>470</v>
      </c>
      <c r="H36" s="4" t="s">
        <v>508</v>
      </c>
      <c r="I36" s="4" t="s">
        <v>509</v>
      </c>
      <c r="J36" s="4" t="s">
        <v>510</v>
      </c>
    </row>
    <row r="37" spans="1:10" ht="40" customHeight="1">
      <c r="A37" s="6" t="s">
        <v>165</v>
      </c>
      <c r="B37" s="7" t="s">
        <v>468</v>
      </c>
      <c r="C37" s="7" t="s">
        <v>148</v>
      </c>
      <c r="D37" s="7" t="s">
        <v>507</v>
      </c>
      <c r="E37" s="7" t="s">
        <v>151</v>
      </c>
      <c r="F37" s="7" t="s">
        <v>167</v>
      </c>
      <c r="G37" s="7" t="s">
        <v>470</v>
      </c>
      <c r="H37" s="7" t="s">
        <v>508</v>
      </c>
      <c r="I37" s="7" t="s">
        <v>509</v>
      </c>
      <c r="J37" s="7" t="s">
        <v>510</v>
      </c>
    </row>
    <row r="38" spans="1:10" ht="70" customHeight="1">
      <c r="A38" s="3" t="s">
        <v>159</v>
      </c>
      <c r="B38" s="4" t="s">
        <v>468</v>
      </c>
      <c r="C38" s="4" t="s">
        <v>148</v>
      </c>
      <c r="D38" s="4" t="s">
        <v>507</v>
      </c>
      <c r="E38" s="4" t="s">
        <v>151</v>
      </c>
      <c r="F38" s="4" t="s">
        <v>161</v>
      </c>
      <c r="G38" s="4" t="s">
        <v>470</v>
      </c>
      <c r="H38" s="4" t="s">
        <v>508</v>
      </c>
      <c r="I38" s="4" t="s">
        <v>509</v>
      </c>
      <c r="J38" s="4" t="s">
        <v>510</v>
      </c>
    </row>
    <row r="39" spans="1:10" ht="40" customHeight="1">
      <c r="A39" s="6" t="s">
        <v>146</v>
      </c>
      <c r="B39" s="7" t="s">
        <v>468</v>
      </c>
      <c r="C39" s="7" t="s">
        <v>148</v>
      </c>
      <c r="D39" s="7" t="s">
        <v>507</v>
      </c>
      <c r="E39" s="7" t="s">
        <v>151</v>
      </c>
      <c r="F39" s="7" t="s">
        <v>149</v>
      </c>
      <c r="G39" s="7" t="s">
        <v>470</v>
      </c>
      <c r="H39" s="7" t="s">
        <v>508</v>
      </c>
      <c r="I39" s="7" t="s">
        <v>509</v>
      </c>
      <c r="J39" s="7" t="s">
        <v>510</v>
      </c>
    </row>
    <row r="40" spans="1:10" ht="40" customHeight="1">
      <c r="A40" s="3" t="s">
        <v>153</v>
      </c>
      <c r="B40" s="4" t="s">
        <v>468</v>
      </c>
      <c r="C40" s="4" t="s">
        <v>148</v>
      </c>
      <c r="D40" s="4" t="s">
        <v>507</v>
      </c>
      <c r="E40" s="4" t="s">
        <v>151</v>
      </c>
      <c r="F40" s="4" t="s">
        <v>155</v>
      </c>
      <c r="G40" s="4" t="s">
        <v>470</v>
      </c>
      <c r="H40" s="4" t="s">
        <v>508</v>
      </c>
      <c r="I40" s="4" t="s">
        <v>509</v>
      </c>
      <c r="J40" s="4" t="s">
        <v>510</v>
      </c>
    </row>
  </sheetData>
  <autoFilter ref="A4:J40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1">
    <cfRule type="cellIs" dxfId="2" priority="7" operator="equal">
      <formula>"missing evidence"</formula>
    </cfRule>
  </conditionalFormatting>
  <conditionalFormatting sqref="C12">
    <cfRule type="cellIs" dxfId="2" priority="8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4">
    <cfRule type="cellIs" dxfId="2" priority="10" operator="equal">
      <formula>"missing evidence"</formula>
    </cfRule>
  </conditionalFormatting>
  <conditionalFormatting sqref="C15">
    <cfRule type="cellIs" dxfId="2" priority="11" operator="equal">
      <formula>"missing evidence"</formula>
    </cfRule>
  </conditionalFormatting>
  <conditionalFormatting sqref="C16">
    <cfRule type="cellIs" dxfId="2" priority="12" operator="equal">
      <formula>"missing evidence"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2" priority="17" operator="equal">
      <formula>"missing evidence"</formula>
    </cfRule>
  </conditionalFormatting>
  <conditionalFormatting sqref="C22">
    <cfRule type="cellIs" dxfId="1" priority="18" operator="equal">
      <formula>"verified fact"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2" priority="21" operator="equal">
      <formula>"missing evidence"</formula>
    </cfRule>
  </conditionalFormatting>
  <conditionalFormatting sqref="C26">
    <cfRule type="cellIs" dxfId="2" priority="22" operator="equal">
      <formula>"missing evidence"</formula>
    </cfRule>
  </conditionalFormatting>
  <conditionalFormatting sqref="C27">
    <cfRule type="cellIs" dxfId="2" priority="23" operator="equal">
      <formula>"missing evidence"</formula>
    </cfRule>
  </conditionalFormatting>
  <conditionalFormatting sqref="C28">
    <cfRule type="cellIs" dxfId="2" priority="24" operator="equal">
      <formula>"missing evidence"</formula>
    </cfRule>
  </conditionalFormatting>
  <conditionalFormatting sqref="C29">
    <cfRule type="cellIs" dxfId="2" priority="25" operator="equal">
      <formula>"missing evidence"</formula>
    </cfRule>
  </conditionalFormatting>
  <conditionalFormatting sqref="C30">
    <cfRule type="cellIs" dxfId="2" priority="26" operator="equal">
      <formula>"missing evidence"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2" priority="29" operator="equal">
      <formula>"missing evidence"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3" priority="31" operator="equal">
      <formula>"explicit modelling assumption"</formula>
    </cfRule>
  </conditionalFormatting>
  <conditionalFormatting sqref="C36">
    <cfRule type="cellIs" dxfId="3" priority="32" operator="equal">
      <formula>"explicit modelling assumption"</formula>
    </cfRule>
  </conditionalFormatting>
  <conditionalFormatting sqref="C37">
    <cfRule type="cellIs" dxfId="3" priority="33" operator="equal">
      <formula>"explicit modelling assumption"</formula>
    </cfRule>
  </conditionalFormatting>
  <conditionalFormatting sqref="C38">
    <cfRule type="cellIs" dxfId="3" priority="34" operator="equal">
      <formula>"explicit modelling assumption"</formula>
    </cfRule>
  </conditionalFormatting>
  <conditionalFormatting sqref="C39">
    <cfRule type="cellIs" dxfId="3" priority="35" operator="equal">
      <formula>"explicit modelling assumption"</formula>
    </cfRule>
  </conditionalFormatting>
  <conditionalFormatting sqref="C40">
    <cfRule type="cellIs" dxfId="3" priority="36" operator="equal">
      <formula>"explicit modelling assumption"</formula>
    </cfRule>
  </conditionalFormatting>
  <conditionalFormatting sqref="C5">
    <cfRule type="cellIs" dxfId="2" priority="1" operator="equal">
      <formula>"missing evidence"</formula>
    </cfRule>
  </conditionalFormatting>
  <conditionalFormatting sqref="C6">
    <cfRule type="cellIs" dxfId="2" priority="2" operator="equal">
      <formula>"missing evidence"</formula>
    </cfRule>
  </conditionalFormatting>
  <conditionalFormatting sqref="C7">
    <cfRule type="cellIs" dxfId="2" priority="3" operator="equal">
      <formula>"missing evidence"</formula>
    </cfRule>
  </conditionalFormatting>
  <conditionalFormatting sqref="C8">
    <cfRule type="cellIs" dxfId="2" priority="4" operator="equal">
      <formula>"missing evidence"</formula>
    </cfRule>
  </conditionalFormatting>
  <conditionalFormatting sqref="C9">
    <cfRule type="cellIs" dxfId="1" priority="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&amp;LHistorical gap review&amp;RPage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3C5658"/>
  </sheetPr>
  <dimension ref="A1:H9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1" spans="1:8" ht="9" customHeight="1"/>
    <row r="2" spans="1:8" ht="42" customHeight="1">
      <c r="A2" s="1" t="s">
        <v>511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56</v>
      </c>
      <c r="B3" s="2"/>
      <c r="C3" s="2"/>
      <c r="D3" s="2"/>
      <c r="E3" s="2"/>
      <c r="F3" s="2"/>
      <c r="G3" s="8"/>
      <c r="H3" s="8"/>
    </row>
    <row r="4" spans="1:8" ht="34" customHeight="1">
      <c r="A4" s="5" t="s">
        <v>512</v>
      </c>
      <c r="B4" s="5" t="s">
        <v>513</v>
      </c>
      <c r="C4" s="5" t="s">
        <v>58</v>
      </c>
      <c r="D4" s="5" t="s">
        <v>514</v>
      </c>
      <c r="E4" s="5" t="s">
        <v>515</v>
      </c>
      <c r="F4" s="5" t="s">
        <v>516</v>
      </c>
      <c r="G4" s="5" t="s">
        <v>517</v>
      </c>
      <c r="H4" s="5" t="s">
        <v>53</v>
      </c>
    </row>
    <row r="5" spans="1:8" ht="40" customHeight="1">
      <c r="A5" s="6" t="s">
        <v>518</v>
      </c>
      <c r="B5" s="7" t="s">
        <v>519</v>
      </c>
      <c r="C5" s="13">
        <v>1</v>
      </c>
      <c r="D5" s="14">
        <v>0</v>
      </c>
      <c r="E5" s="14">
        <v>0</v>
      </c>
      <c r="F5" s="10">
        <v>13442.849</v>
      </c>
      <c r="G5" s="10">
        <v>1874.341</v>
      </c>
      <c r="H5" s="7" t="s">
        <v>520</v>
      </c>
    </row>
    <row r="6" spans="1:8" ht="40" customHeight="1">
      <c r="A6" s="3" t="s">
        <v>518</v>
      </c>
      <c r="B6" s="4" t="s">
        <v>519</v>
      </c>
      <c r="C6" s="15">
        <v>2</v>
      </c>
      <c r="D6" s="16">
        <v>0</v>
      </c>
      <c r="E6" s="16">
        <v>0</v>
      </c>
      <c r="F6" s="9">
        <v>13442.849</v>
      </c>
      <c r="G6" s="9">
        <v>1874.341</v>
      </c>
      <c r="H6" s="4" t="s">
        <v>520</v>
      </c>
    </row>
    <row r="7" spans="1:8" ht="40" customHeight="1">
      <c r="A7" s="6" t="s">
        <v>518</v>
      </c>
      <c r="B7" s="7" t="s">
        <v>519</v>
      </c>
      <c r="C7" s="13">
        <v>3</v>
      </c>
      <c r="D7" s="14">
        <v>0</v>
      </c>
      <c r="E7" s="14">
        <v>0</v>
      </c>
      <c r="F7" s="10">
        <v>13442.849</v>
      </c>
      <c r="G7" s="10">
        <v>1874.341</v>
      </c>
      <c r="H7" s="7" t="s">
        <v>520</v>
      </c>
    </row>
    <row r="8" spans="1:8" ht="40" customHeight="1">
      <c r="A8" s="3" t="s">
        <v>518</v>
      </c>
      <c r="B8" s="4" t="s">
        <v>519</v>
      </c>
      <c r="C8" s="15">
        <v>4</v>
      </c>
      <c r="D8" s="16">
        <v>0</v>
      </c>
      <c r="E8" s="16">
        <v>0</v>
      </c>
      <c r="F8" s="9">
        <v>13442.849</v>
      </c>
      <c r="G8" s="9">
        <v>1874.341</v>
      </c>
      <c r="H8" s="4" t="s">
        <v>520</v>
      </c>
    </row>
    <row r="9" spans="1:8" ht="40" customHeight="1">
      <c r="A9" s="6" t="s">
        <v>518</v>
      </c>
      <c r="B9" s="7" t="s">
        <v>519</v>
      </c>
      <c r="C9" s="13">
        <v>5</v>
      </c>
      <c r="D9" s="14">
        <v>0</v>
      </c>
      <c r="E9" s="14">
        <v>0</v>
      </c>
      <c r="F9" s="10">
        <v>13442.849</v>
      </c>
      <c r="G9" s="10">
        <v>1874.341</v>
      </c>
      <c r="H9" s="7" t="s">
        <v>520</v>
      </c>
    </row>
    <row r="10" spans="1:8" ht="40" customHeight="1">
      <c r="A10" s="3" t="s">
        <v>518</v>
      </c>
      <c r="B10" s="4" t="s">
        <v>519</v>
      </c>
      <c r="C10" s="15">
        <v>1</v>
      </c>
      <c r="D10" s="16">
        <v>0</v>
      </c>
      <c r="E10" s="16">
        <v>-0.01</v>
      </c>
      <c r="F10" s="9">
        <v>13442.849</v>
      </c>
      <c r="G10" s="9">
        <v>1739.91251</v>
      </c>
      <c r="H10" s="4" t="s">
        <v>520</v>
      </c>
    </row>
    <row r="11" spans="1:8" ht="40" customHeight="1">
      <c r="A11" s="6" t="s">
        <v>518</v>
      </c>
      <c r="B11" s="7" t="s">
        <v>519</v>
      </c>
      <c r="C11" s="13">
        <v>2</v>
      </c>
      <c r="D11" s="14">
        <v>0</v>
      </c>
      <c r="E11" s="14">
        <v>-0.01</v>
      </c>
      <c r="F11" s="10">
        <v>13442.849</v>
      </c>
      <c r="G11" s="10">
        <v>1739.91251</v>
      </c>
      <c r="H11" s="7" t="s">
        <v>520</v>
      </c>
    </row>
    <row r="12" spans="1:8" ht="40" customHeight="1">
      <c r="A12" s="3" t="s">
        <v>518</v>
      </c>
      <c r="B12" s="4" t="s">
        <v>519</v>
      </c>
      <c r="C12" s="15">
        <v>3</v>
      </c>
      <c r="D12" s="16">
        <v>0</v>
      </c>
      <c r="E12" s="16">
        <v>-0.01</v>
      </c>
      <c r="F12" s="9">
        <v>13442.849</v>
      </c>
      <c r="G12" s="9">
        <v>1739.91251</v>
      </c>
      <c r="H12" s="4" t="s">
        <v>520</v>
      </c>
    </row>
    <row r="13" spans="1:8" ht="40" customHeight="1">
      <c r="A13" s="6" t="s">
        <v>518</v>
      </c>
      <c r="B13" s="7" t="s">
        <v>519</v>
      </c>
      <c r="C13" s="13">
        <v>4</v>
      </c>
      <c r="D13" s="14">
        <v>0</v>
      </c>
      <c r="E13" s="14">
        <v>-0.01</v>
      </c>
      <c r="F13" s="10">
        <v>13442.849</v>
      </c>
      <c r="G13" s="10">
        <v>1739.91251</v>
      </c>
      <c r="H13" s="7" t="s">
        <v>520</v>
      </c>
    </row>
    <row r="14" spans="1:8" ht="40" customHeight="1">
      <c r="A14" s="3" t="s">
        <v>518</v>
      </c>
      <c r="B14" s="4" t="s">
        <v>519</v>
      </c>
      <c r="C14" s="15">
        <v>5</v>
      </c>
      <c r="D14" s="16">
        <v>0</v>
      </c>
      <c r="E14" s="16">
        <v>-0.01</v>
      </c>
      <c r="F14" s="9">
        <v>13442.849</v>
      </c>
      <c r="G14" s="9">
        <v>1739.91251</v>
      </c>
      <c r="H14" s="4" t="s">
        <v>520</v>
      </c>
    </row>
    <row r="15" spans="1:8" ht="40" customHeight="1">
      <c r="A15" s="6" t="s">
        <v>518</v>
      </c>
      <c r="B15" s="7" t="s">
        <v>519</v>
      </c>
      <c r="C15" s="13">
        <v>1</v>
      </c>
      <c r="D15" s="14">
        <v>0</v>
      </c>
      <c r="E15" s="14">
        <v>-0.02</v>
      </c>
      <c r="F15" s="10">
        <v>13442.849</v>
      </c>
      <c r="G15" s="10">
        <v>1605.48402</v>
      </c>
      <c r="H15" s="7" t="s">
        <v>520</v>
      </c>
    </row>
    <row r="16" spans="1:8" ht="40" customHeight="1">
      <c r="A16" s="3" t="s">
        <v>518</v>
      </c>
      <c r="B16" s="4" t="s">
        <v>519</v>
      </c>
      <c r="C16" s="15">
        <v>2</v>
      </c>
      <c r="D16" s="16">
        <v>0</v>
      </c>
      <c r="E16" s="16">
        <v>-0.02</v>
      </c>
      <c r="F16" s="9">
        <v>13442.849</v>
      </c>
      <c r="G16" s="9">
        <v>1605.48402</v>
      </c>
      <c r="H16" s="4" t="s">
        <v>520</v>
      </c>
    </row>
    <row r="17" spans="1:8" ht="40" customHeight="1">
      <c r="A17" s="6" t="s">
        <v>518</v>
      </c>
      <c r="B17" s="7" t="s">
        <v>519</v>
      </c>
      <c r="C17" s="13">
        <v>3</v>
      </c>
      <c r="D17" s="14">
        <v>0</v>
      </c>
      <c r="E17" s="14">
        <v>-0.02</v>
      </c>
      <c r="F17" s="10">
        <v>13442.849</v>
      </c>
      <c r="G17" s="10">
        <v>1605.48402</v>
      </c>
      <c r="H17" s="7" t="s">
        <v>520</v>
      </c>
    </row>
    <row r="18" spans="1:8" ht="40" customHeight="1">
      <c r="A18" s="3" t="s">
        <v>518</v>
      </c>
      <c r="B18" s="4" t="s">
        <v>519</v>
      </c>
      <c r="C18" s="15">
        <v>4</v>
      </c>
      <c r="D18" s="16">
        <v>0</v>
      </c>
      <c r="E18" s="16">
        <v>-0.02</v>
      </c>
      <c r="F18" s="9">
        <v>13442.849</v>
      </c>
      <c r="G18" s="9">
        <v>1605.48402</v>
      </c>
      <c r="H18" s="4" t="s">
        <v>520</v>
      </c>
    </row>
    <row r="19" spans="1:8" ht="40" customHeight="1">
      <c r="A19" s="6" t="s">
        <v>518</v>
      </c>
      <c r="B19" s="7" t="s">
        <v>519</v>
      </c>
      <c r="C19" s="13">
        <v>5</v>
      </c>
      <c r="D19" s="14">
        <v>0</v>
      </c>
      <c r="E19" s="14">
        <v>-0.02</v>
      </c>
      <c r="F19" s="10">
        <v>13442.849</v>
      </c>
      <c r="G19" s="10">
        <v>1605.48402</v>
      </c>
      <c r="H19" s="7" t="s">
        <v>520</v>
      </c>
    </row>
    <row r="20" spans="1:8" ht="40" customHeight="1">
      <c r="A20" s="3" t="s">
        <v>518</v>
      </c>
      <c r="B20" s="4" t="s">
        <v>519</v>
      </c>
      <c r="C20" s="15">
        <v>1</v>
      </c>
      <c r="D20" s="16">
        <v>-0.05</v>
      </c>
      <c r="E20" s="16">
        <v>0</v>
      </c>
      <c r="F20" s="9">
        <v>12770.70655</v>
      </c>
      <c r="G20" s="9">
        <v>1780.62395</v>
      </c>
      <c r="H20" s="4" t="s">
        <v>520</v>
      </c>
    </row>
    <row r="21" spans="1:8" ht="40" customHeight="1">
      <c r="A21" s="6" t="s">
        <v>518</v>
      </c>
      <c r="B21" s="7" t="s">
        <v>519</v>
      </c>
      <c r="C21" s="13">
        <v>2</v>
      </c>
      <c r="D21" s="14">
        <v>-0.05</v>
      </c>
      <c r="E21" s="14">
        <v>0</v>
      </c>
      <c r="F21" s="10">
        <v>12132.1712225</v>
      </c>
      <c r="G21" s="10">
        <v>1691.5927525</v>
      </c>
      <c r="H21" s="7" t="s">
        <v>520</v>
      </c>
    </row>
    <row r="22" spans="1:8" ht="40" customHeight="1">
      <c r="A22" s="3" t="s">
        <v>518</v>
      </c>
      <c r="B22" s="4" t="s">
        <v>519</v>
      </c>
      <c r="C22" s="15">
        <v>3</v>
      </c>
      <c r="D22" s="16">
        <v>-0.05</v>
      </c>
      <c r="E22" s="16">
        <v>0</v>
      </c>
      <c r="F22" s="9">
        <v>11525.562661375</v>
      </c>
      <c r="G22" s="9">
        <v>1607.013114875</v>
      </c>
      <c r="H22" s="4" t="s">
        <v>520</v>
      </c>
    </row>
    <row r="23" spans="1:8" ht="40" customHeight="1">
      <c r="A23" s="6" t="s">
        <v>518</v>
      </c>
      <c r="B23" s="7" t="s">
        <v>519</v>
      </c>
      <c r="C23" s="13">
        <v>4</v>
      </c>
      <c r="D23" s="14">
        <v>-0.05</v>
      </c>
      <c r="E23" s="14">
        <v>0</v>
      </c>
      <c r="F23" s="10">
        <v>10949.28452830625</v>
      </c>
      <c r="G23" s="10">
        <v>1526.66245913125</v>
      </c>
      <c r="H23" s="7" t="s">
        <v>520</v>
      </c>
    </row>
    <row r="24" spans="1:8" ht="40" customHeight="1">
      <c r="A24" s="3" t="s">
        <v>518</v>
      </c>
      <c r="B24" s="4" t="s">
        <v>519</v>
      </c>
      <c r="C24" s="15">
        <v>5</v>
      </c>
      <c r="D24" s="16">
        <v>-0.05</v>
      </c>
      <c r="E24" s="16">
        <v>0</v>
      </c>
      <c r="F24" s="9">
        <v>10401.82030189094</v>
      </c>
      <c r="G24" s="9">
        <v>1450.329336174687</v>
      </c>
      <c r="H24" s="4" t="s">
        <v>520</v>
      </c>
    </row>
    <row r="25" spans="1:8" ht="40" customHeight="1">
      <c r="A25" s="6" t="s">
        <v>518</v>
      </c>
      <c r="B25" s="7" t="s">
        <v>519</v>
      </c>
      <c r="C25" s="13">
        <v>1</v>
      </c>
      <c r="D25" s="14">
        <v>-0.05</v>
      </c>
      <c r="E25" s="14">
        <v>-0.01</v>
      </c>
      <c r="F25" s="10">
        <v>12770.70655</v>
      </c>
      <c r="G25" s="10">
        <v>1652.9168845</v>
      </c>
      <c r="H25" s="7" t="s">
        <v>520</v>
      </c>
    </row>
    <row r="26" spans="1:8" ht="40" customHeight="1">
      <c r="A26" s="3" t="s">
        <v>518</v>
      </c>
      <c r="B26" s="4" t="s">
        <v>519</v>
      </c>
      <c r="C26" s="15">
        <v>2</v>
      </c>
      <c r="D26" s="16">
        <v>-0.05</v>
      </c>
      <c r="E26" s="16">
        <v>-0.01</v>
      </c>
      <c r="F26" s="9">
        <v>12132.1712225</v>
      </c>
      <c r="G26" s="9">
        <v>1570.271040275</v>
      </c>
      <c r="H26" s="4" t="s">
        <v>520</v>
      </c>
    </row>
    <row r="27" spans="1:8" ht="40" customHeight="1">
      <c r="A27" s="6" t="s">
        <v>518</v>
      </c>
      <c r="B27" s="7" t="s">
        <v>519</v>
      </c>
      <c r="C27" s="13">
        <v>3</v>
      </c>
      <c r="D27" s="14">
        <v>-0.05</v>
      </c>
      <c r="E27" s="14">
        <v>-0.01</v>
      </c>
      <c r="F27" s="10">
        <v>11525.562661375</v>
      </c>
      <c r="G27" s="10">
        <v>1491.75748826125</v>
      </c>
      <c r="H27" s="7" t="s">
        <v>520</v>
      </c>
    </row>
    <row r="28" spans="1:8" ht="40" customHeight="1">
      <c r="A28" s="3" t="s">
        <v>518</v>
      </c>
      <c r="B28" s="4" t="s">
        <v>519</v>
      </c>
      <c r="C28" s="15">
        <v>4</v>
      </c>
      <c r="D28" s="16">
        <v>-0.05</v>
      </c>
      <c r="E28" s="16">
        <v>-0.01</v>
      </c>
      <c r="F28" s="9">
        <v>10949.28452830625</v>
      </c>
      <c r="G28" s="9">
        <v>1417.169613848187</v>
      </c>
      <c r="H28" s="4" t="s">
        <v>520</v>
      </c>
    </row>
    <row r="29" spans="1:8" ht="40" customHeight="1">
      <c r="A29" s="6" t="s">
        <v>518</v>
      </c>
      <c r="B29" s="7" t="s">
        <v>519</v>
      </c>
      <c r="C29" s="13">
        <v>5</v>
      </c>
      <c r="D29" s="14">
        <v>-0.05</v>
      </c>
      <c r="E29" s="14">
        <v>-0.01</v>
      </c>
      <c r="F29" s="10">
        <v>10401.82030189094</v>
      </c>
      <c r="G29" s="10">
        <v>1346.311133155778</v>
      </c>
      <c r="H29" s="7" t="s">
        <v>520</v>
      </c>
    </row>
    <row r="30" spans="1:8" ht="40" customHeight="1">
      <c r="A30" s="3" t="s">
        <v>518</v>
      </c>
      <c r="B30" s="4" t="s">
        <v>519</v>
      </c>
      <c r="C30" s="15">
        <v>1</v>
      </c>
      <c r="D30" s="16">
        <v>-0.05</v>
      </c>
      <c r="E30" s="16">
        <v>-0.02</v>
      </c>
      <c r="F30" s="9">
        <v>12770.70655</v>
      </c>
      <c r="G30" s="9">
        <v>1525.209819</v>
      </c>
      <c r="H30" s="4" t="s">
        <v>520</v>
      </c>
    </row>
    <row r="31" spans="1:8" ht="40" customHeight="1">
      <c r="A31" s="6" t="s">
        <v>518</v>
      </c>
      <c r="B31" s="7" t="s">
        <v>519</v>
      </c>
      <c r="C31" s="13">
        <v>2</v>
      </c>
      <c r="D31" s="14">
        <v>-0.05</v>
      </c>
      <c r="E31" s="14">
        <v>-0.02</v>
      </c>
      <c r="F31" s="10">
        <v>12132.1712225</v>
      </c>
      <c r="G31" s="10">
        <v>1448.94932805</v>
      </c>
      <c r="H31" s="7" t="s">
        <v>520</v>
      </c>
    </row>
    <row r="32" spans="1:8" ht="40" customHeight="1">
      <c r="A32" s="3" t="s">
        <v>518</v>
      </c>
      <c r="B32" s="4" t="s">
        <v>519</v>
      </c>
      <c r="C32" s="15">
        <v>3</v>
      </c>
      <c r="D32" s="16">
        <v>-0.05</v>
      </c>
      <c r="E32" s="16">
        <v>-0.02</v>
      </c>
      <c r="F32" s="9">
        <v>11525.562661375</v>
      </c>
      <c r="G32" s="9">
        <v>1376.5018616475</v>
      </c>
      <c r="H32" s="4" t="s">
        <v>520</v>
      </c>
    </row>
    <row r="33" spans="1:8" ht="40" customHeight="1">
      <c r="A33" s="6" t="s">
        <v>518</v>
      </c>
      <c r="B33" s="7" t="s">
        <v>519</v>
      </c>
      <c r="C33" s="13">
        <v>4</v>
      </c>
      <c r="D33" s="14">
        <v>-0.05</v>
      </c>
      <c r="E33" s="14">
        <v>-0.02</v>
      </c>
      <c r="F33" s="10">
        <v>10949.28452830625</v>
      </c>
      <c r="G33" s="10">
        <v>1307.676768565125</v>
      </c>
      <c r="H33" s="7" t="s">
        <v>520</v>
      </c>
    </row>
    <row r="34" spans="1:8" ht="40" customHeight="1">
      <c r="A34" s="3" t="s">
        <v>518</v>
      </c>
      <c r="B34" s="4" t="s">
        <v>519</v>
      </c>
      <c r="C34" s="15">
        <v>5</v>
      </c>
      <c r="D34" s="16">
        <v>-0.05</v>
      </c>
      <c r="E34" s="16">
        <v>-0.02</v>
      </c>
      <c r="F34" s="9">
        <v>10401.82030189094</v>
      </c>
      <c r="G34" s="9">
        <v>1242.292930136869</v>
      </c>
      <c r="H34" s="4" t="s">
        <v>520</v>
      </c>
    </row>
    <row r="35" spans="1:8" ht="40" customHeight="1">
      <c r="A35" s="6" t="s">
        <v>518</v>
      </c>
      <c r="B35" s="7" t="s">
        <v>519</v>
      </c>
      <c r="C35" s="13">
        <v>1</v>
      </c>
      <c r="D35" s="14">
        <v>-0.1</v>
      </c>
      <c r="E35" s="14">
        <v>0</v>
      </c>
      <c r="F35" s="10">
        <v>12098.5641</v>
      </c>
      <c r="G35" s="10">
        <v>1686.9069</v>
      </c>
      <c r="H35" s="7" t="s">
        <v>520</v>
      </c>
    </row>
    <row r="36" spans="1:8" ht="40" customHeight="1">
      <c r="A36" s="3" t="s">
        <v>518</v>
      </c>
      <c r="B36" s="4" t="s">
        <v>519</v>
      </c>
      <c r="C36" s="15">
        <v>2</v>
      </c>
      <c r="D36" s="16">
        <v>-0.1</v>
      </c>
      <c r="E36" s="16">
        <v>0</v>
      </c>
      <c r="F36" s="9">
        <v>10888.70769</v>
      </c>
      <c r="G36" s="9">
        <v>1518.21621</v>
      </c>
      <c r="H36" s="4" t="s">
        <v>520</v>
      </c>
    </row>
    <row r="37" spans="1:8" ht="40" customHeight="1">
      <c r="A37" s="6" t="s">
        <v>518</v>
      </c>
      <c r="B37" s="7" t="s">
        <v>519</v>
      </c>
      <c r="C37" s="13">
        <v>3</v>
      </c>
      <c r="D37" s="14">
        <v>-0.1</v>
      </c>
      <c r="E37" s="14">
        <v>0</v>
      </c>
      <c r="F37" s="10">
        <v>9799.836921000002</v>
      </c>
      <c r="G37" s="10">
        <v>1366.394589</v>
      </c>
      <c r="H37" s="7" t="s">
        <v>520</v>
      </c>
    </row>
    <row r="38" spans="1:8" ht="40" customHeight="1">
      <c r="A38" s="3" t="s">
        <v>518</v>
      </c>
      <c r="B38" s="4" t="s">
        <v>519</v>
      </c>
      <c r="C38" s="15">
        <v>4</v>
      </c>
      <c r="D38" s="16">
        <v>-0.1</v>
      </c>
      <c r="E38" s="16">
        <v>0</v>
      </c>
      <c r="F38" s="9">
        <v>8819.8532289</v>
      </c>
      <c r="G38" s="9">
        <v>1229.7551301</v>
      </c>
      <c r="H38" s="4" t="s">
        <v>520</v>
      </c>
    </row>
    <row r="39" spans="1:8" ht="40" customHeight="1">
      <c r="A39" s="6" t="s">
        <v>518</v>
      </c>
      <c r="B39" s="7" t="s">
        <v>519</v>
      </c>
      <c r="C39" s="13">
        <v>5</v>
      </c>
      <c r="D39" s="14">
        <v>-0.1</v>
      </c>
      <c r="E39" s="14">
        <v>0</v>
      </c>
      <c r="F39" s="10">
        <v>7937.867906010001</v>
      </c>
      <c r="G39" s="10">
        <v>1106.77961709</v>
      </c>
      <c r="H39" s="7" t="s">
        <v>520</v>
      </c>
    </row>
    <row r="40" spans="1:8" ht="40" customHeight="1">
      <c r="A40" s="3" t="s">
        <v>518</v>
      </c>
      <c r="B40" s="4" t="s">
        <v>519</v>
      </c>
      <c r="C40" s="15">
        <v>1</v>
      </c>
      <c r="D40" s="16">
        <v>-0.1</v>
      </c>
      <c r="E40" s="16">
        <v>-0.01</v>
      </c>
      <c r="F40" s="9">
        <v>12098.5641</v>
      </c>
      <c r="G40" s="9">
        <v>1565.921259</v>
      </c>
      <c r="H40" s="4" t="s">
        <v>520</v>
      </c>
    </row>
    <row r="41" spans="1:8" ht="40" customHeight="1">
      <c r="A41" s="6" t="s">
        <v>518</v>
      </c>
      <c r="B41" s="7" t="s">
        <v>519</v>
      </c>
      <c r="C41" s="13">
        <v>2</v>
      </c>
      <c r="D41" s="14">
        <v>-0.1</v>
      </c>
      <c r="E41" s="14">
        <v>-0.01</v>
      </c>
      <c r="F41" s="10">
        <v>10888.70769</v>
      </c>
      <c r="G41" s="10">
        <v>1409.3291331</v>
      </c>
      <c r="H41" s="7" t="s">
        <v>520</v>
      </c>
    </row>
    <row r="42" spans="1:8" ht="40" customHeight="1">
      <c r="A42" s="3" t="s">
        <v>518</v>
      </c>
      <c r="B42" s="4" t="s">
        <v>519</v>
      </c>
      <c r="C42" s="15">
        <v>3</v>
      </c>
      <c r="D42" s="16">
        <v>-0.1</v>
      </c>
      <c r="E42" s="16">
        <v>-0.01</v>
      </c>
      <c r="F42" s="9">
        <v>9799.836921000002</v>
      </c>
      <c r="G42" s="9">
        <v>1268.39621979</v>
      </c>
      <c r="H42" s="4" t="s">
        <v>520</v>
      </c>
    </row>
    <row r="43" spans="1:8" ht="40" customHeight="1">
      <c r="A43" s="6" t="s">
        <v>518</v>
      </c>
      <c r="B43" s="7" t="s">
        <v>519</v>
      </c>
      <c r="C43" s="13">
        <v>4</v>
      </c>
      <c r="D43" s="14">
        <v>-0.1</v>
      </c>
      <c r="E43" s="14">
        <v>-0.01</v>
      </c>
      <c r="F43" s="10">
        <v>8819.8532289</v>
      </c>
      <c r="G43" s="10">
        <v>1141.556597811</v>
      </c>
      <c r="H43" s="7" t="s">
        <v>520</v>
      </c>
    </row>
    <row r="44" spans="1:8" ht="40" customHeight="1">
      <c r="A44" s="3" t="s">
        <v>518</v>
      </c>
      <c r="B44" s="4" t="s">
        <v>519</v>
      </c>
      <c r="C44" s="15">
        <v>5</v>
      </c>
      <c r="D44" s="16">
        <v>-0.1</v>
      </c>
      <c r="E44" s="16">
        <v>-0.01</v>
      </c>
      <c r="F44" s="9">
        <v>7937.867906010001</v>
      </c>
      <c r="G44" s="9">
        <v>1027.4009380299</v>
      </c>
      <c r="H44" s="4" t="s">
        <v>520</v>
      </c>
    </row>
    <row r="45" spans="1:8" ht="40" customHeight="1">
      <c r="A45" s="6" t="s">
        <v>518</v>
      </c>
      <c r="B45" s="7" t="s">
        <v>519</v>
      </c>
      <c r="C45" s="13">
        <v>1</v>
      </c>
      <c r="D45" s="14">
        <v>-0.1</v>
      </c>
      <c r="E45" s="14">
        <v>-0.02</v>
      </c>
      <c r="F45" s="10">
        <v>12098.5641</v>
      </c>
      <c r="G45" s="10">
        <v>1444.935618</v>
      </c>
      <c r="H45" s="7" t="s">
        <v>520</v>
      </c>
    </row>
    <row r="46" spans="1:8" ht="40" customHeight="1">
      <c r="A46" s="3" t="s">
        <v>518</v>
      </c>
      <c r="B46" s="4" t="s">
        <v>519</v>
      </c>
      <c r="C46" s="15">
        <v>2</v>
      </c>
      <c r="D46" s="16">
        <v>-0.1</v>
      </c>
      <c r="E46" s="16">
        <v>-0.02</v>
      </c>
      <c r="F46" s="9">
        <v>10888.70769</v>
      </c>
      <c r="G46" s="9">
        <v>1300.4420562</v>
      </c>
      <c r="H46" s="4" t="s">
        <v>520</v>
      </c>
    </row>
    <row r="47" spans="1:8" ht="40" customHeight="1">
      <c r="A47" s="6" t="s">
        <v>518</v>
      </c>
      <c r="B47" s="7" t="s">
        <v>519</v>
      </c>
      <c r="C47" s="13">
        <v>3</v>
      </c>
      <c r="D47" s="14">
        <v>-0.1</v>
      </c>
      <c r="E47" s="14">
        <v>-0.02</v>
      </c>
      <c r="F47" s="10">
        <v>9799.836921000002</v>
      </c>
      <c r="G47" s="10">
        <v>1170.39785058</v>
      </c>
      <c r="H47" s="7" t="s">
        <v>520</v>
      </c>
    </row>
    <row r="48" spans="1:8" ht="40" customHeight="1">
      <c r="A48" s="3" t="s">
        <v>518</v>
      </c>
      <c r="B48" s="4" t="s">
        <v>519</v>
      </c>
      <c r="C48" s="15">
        <v>4</v>
      </c>
      <c r="D48" s="16">
        <v>-0.1</v>
      </c>
      <c r="E48" s="16">
        <v>-0.02</v>
      </c>
      <c r="F48" s="9">
        <v>8819.8532289</v>
      </c>
      <c r="G48" s="9">
        <v>1053.358065522</v>
      </c>
      <c r="H48" s="4" t="s">
        <v>520</v>
      </c>
    </row>
    <row r="49" spans="1:8" ht="40" customHeight="1">
      <c r="A49" s="6" t="s">
        <v>518</v>
      </c>
      <c r="B49" s="7" t="s">
        <v>519</v>
      </c>
      <c r="C49" s="13">
        <v>5</v>
      </c>
      <c r="D49" s="14">
        <v>-0.1</v>
      </c>
      <c r="E49" s="14">
        <v>-0.02</v>
      </c>
      <c r="F49" s="10">
        <v>7937.867906010001</v>
      </c>
      <c r="G49" s="10">
        <v>948.0222589698001</v>
      </c>
      <c r="H49" s="7" t="s">
        <v>520</v>
      </c>
    </row>
    <row r="50" spans="1:8" ht="40" customHeight="1">
      <c r="A50" s="3" t="s">
        <v>518</v>
      </c>
      <c r="B50" s="4" t="s">
        <v>521</v>
      </c>
      <c r="C50" s="15">
        <v>1</v>
      </c>
      <c r="D50" s="16">
        <v>0</v>
      </c>
      <c r="E50" s="16">
        <v>0</v>
      </c>
      <c r="F50" s="9">
        <v>7988</v>
      </c>
      <c r="G50" s="9">
        <v>305</v>
      </c>
      <c r="H50" s="4" t="s">
        <v>520</v>
      </c>
    </row>
    <row r="51" spans="1:8" ht="40" customHeight="1">
      <c r="A51" s="6" t="s">
        <v>518</v>
      </c>
      <c r="B51" s="7" t="s">
        <v>521</v>
      </c>
      <c r="C51" s="13">
        <v>2</v>
      </c>
      <c r="D51" s="14">
        <v>0</v>
      </c>
      <c r="E51" s="14">
        <v>0</v>
      </c>
      <c r="F51" s="10">
        <v>7988</v>
      </c>
      <c r="G51" s="10">
        <v>305</v>
      </c>
      <c r="H51" s="7" t="s">
        <v>520</v>
      </c>
    </row>
    <row r="52" spans="1:8" ht="40" customHeight="1">
      <c r="A52" s="3" t="s">
        <v>518</v>
      </c>
      <c r="B52" s="4" t="s">
        <v>521</v>
      </c>
      <c r="C52" s="15">
        <v>3</v>
      </c>
      <c r="D52" s="16">
        <v>0</v>
      </c>
      <c r="E52" s="16">
        <v>0</v>
      </c>
      <c r="F52" s="9">
        <v>7988</v>
      </c>
      <c r="G52" s="9">
        <v>305</v>
      </c>
      <c r="H52" s="4" t="s">
        <v>520</v>
      </c>
    </row>
    <row r="53" spans="1:8" ht="40" customHeight="1">
      <c r="A53" s="6" t="s">
        <v>518</v>
      </c>
      <c r="B53" s="7" t="s">
        <v>521</v>
      </c>
      <c r="C53" s="13">
        <v>4</v>
      </c>
      <c r="D53" s="14">
        <v>0</v>
      </c>
      <c r="E53" s="14">
        <v>0</v>
      </c>
      <c r="F53" s="10">
        <v>7988</v>
      </c>
      <c r="G53" s="10">
        <v>305</v>
      </c>
      <c r="H53" s="7" t="s">
        <v>520</v>
      </c>
    </row>
    <row r="54" spans="1:8" ht="40" customHeight="1">
      <c r="A54" s="3" t="s">
        <v>518</v>
      </c>
      <c r="B54" s="4" t="s">
        <v>521</v>
      </c>
      <c r="C54" s="15">
        <v>5</v>
      </c>
      <c r="D54" s="16">
        <v>0</v>
      </c>
      <c r="E54" s="16">
        <v>0</v>
      </c>
      <c r="F54" s="9">
        <v>7988</v>
      </c>
      <c r="G54" s="9">
        <v>305</v>
      </c>
      <c r="H54" s="4" t="s">
        <v>520</v>
      </c>
    </row>
    <row r="55" spans="1:8" ht="40" customHeight="1">
      <c r="A55" s="6" t="s">
        <v>518</v>
      </c>
      <c r="B55" s="7" t="s">
        <v>521</v>
      </c>
      <c r="C55" s="13">
        <v>1</v>
      </c>
      <c r="D55" s="14">
        <v>0</v>
      </c>
      <c r="E55" s="14">
        <v>-0.01</v>
      </c>
      <c r="F55" s="10">
        <v>7988</v>
      </c>
      <c r="G55" s="10">
        <v>225.12</v>
      </c>
      <c r="H55" s="7" t="s">
        <v>520</v>
      </c>
    </row>
    <row r="56" spans="1:8" ht="40" customHeight="1">
      <c r="A56" s="3" t="s">
        <v>518</v>
      </c>
      <c r="B56" s="4" t="s">
        <v>521</v>
      </c>
      <c r="C56" s="15">
        <v>2</v>
      </c>
      <c r="D56" s="16">
        <v>0</v>
      </c>
      <c r="E56" s="16">
        <v>-0.01</v>
      </c>
      <c r="F56" s="9">
        <v>7988</v>
      </c>
      <c r="G56" s="9">
        <v>225.12</v>
      </c>
      <c r="H56" s="4" t="s">
        <v>520</v>
      </c>
    </row>
    <row r="57" spans="1:8" ht="40" customHeight="1">
      <c r="A57" s="6" t="s">
        <v>518</v>
      </c>
      <c r="B57" s="7" t="s">
        <v>521</v>
      </c>
      <c r="C57" s="13">
        <v>3</v>
      </c>
      <c r="D57" s="14">
        <v>0</v>
      </c>
      <c r="E57" s="14">
        <v>-0.01</v>
      </c>
      <c r="F57" s="10">
        <v>7988</v>
      </c>
      <c r="G57" s="10">
        <v>225.12</v>
      </c>
      <c r="H57" s="7" t="s">
        <v>520</v>
      </c>
    </row>
    <row r="58" spans="1:8" ht="40" customHeight="1">
      <c r="A58" s="3" t="s">
        <v>518</v>
      </c>
      <c r="B58" s="4" t="s">
        <v>521</v>
      </c>
      <c r="C58" s="15">
        <v>4</v>
      </c>
      <c r="D58" s="16">
        <v>0</v>
      </c>
      <c r="E58" s="16">
        <v>-0.01</v>
      </c>
      <c r="F58" s="9">
        <v>7988</v>
      </c>
      <c r="G58" s="9">
        <v>225.12</v>
      </c>
      <c r="H58" s="4" t="s">
        <v>520</v>
      </c>
    </row>
    <row r="59" spans="1:8" ht="40" customHeight="1">
      <c r="A59" s="6" t="s">
        <v>518</v>
      </c>
      <c r="B59" s="7" t="s">
        <v>521</v>
      </c>
      <c r="C59" s="13">
        <v>5</v>
      </c>
      <c r="D59" s="14">
        <v>0</v>
      </c>
      <c r="E59" s="14">
        <v>-0.01</v>
      </c>
      <c r="F59" s="10">
        <v>7988</v>
      </c>
      <c r="G59" s="10">
        <v>225.12</v>
      </c>
      <c r="H59" s="7" t="s">
        <v>520</v>
      </c>
    </row>
    <row r="60" spans="1:8" ht="40" customHeight="1">
      <c r="A60" s="3" t="s">
        <v>518</v>
      </c>
      <c r="B60" s="4" t="s">
        <v>521</v>
      </c>
      <c r="C60" s="15">
        <v>1</v>
      </c>
      <c r="D60" s="16">
        <v>0</v>
      </c>
      <c r="E60" s="16">
        <v>-0.02</v>
      </c>
      <c r="F60" s="9">
        <v>7988</v>
      </c>
      <c r="G60" s="9">
        <v>145.24</v>
      </c>
      <c r="H60" s="4" t="s">
        <v>520</v>
      </c>
    </row>
    <row r="61" spans="1:8" ht="40" customHeight="1">
      <c r="A61" s="6" t="s">
        <v>518</v>
      </c>
      <c r="B61" s="7" t="s">
        <v>521</v>
      </c>
      <c r="C61" s="13">
        <v>2</v>
      </c>
      <c r="D61" s="14">
        <v>0</v>
      </c>
      <c r="E61" s="14">
        <v>-0.02</v>
      </c>
      <c r="F61" s="10">
        <v>7988</v>
      </c>
      <c r="G61" s="10">
        <v>145.24</v>
      </c>
      <c r="H61" s="7" t="s">
        <v>520</v>
      </c>
    </row>
    <row r="62" spans="1:8" ht="40" customHeight="1">
      <c r="A62" s="3" t="s">
        <v>518</v>
      </c>
      <c r="B62" s="4" t="s">
        <v>521</v>
      </c>
      <c r="C62" s="15">
        <v>3</v>
      </c>
      <c r="D62" s="16">
        <v>0</v>
      </c>
      <c r="E62" s="16">
        <v>-0.02</v>
      </c>
      <c r="F62" s="9">
        <v>7988</v>
      </c>
      <c r="G62" s="9">
        <v>145.24</v>
      </c>
      <c r="H62" s="4" t="s">
        <v>520</v>
      </c>
    </row>
    <row r="63" spans="1:8" ht="40" customHeight="1">
      <c r="A63" s="6" t="s">
        <v>518</v>
      </c>
      <c r="B63" s="7" t="s">
        <v>521</v>
      </c>
      <c r="C63" s="13">
        <v>4</v>
      </c>
      <c r="D63" s="14">
        <v>0</v>
      </c>
      <c r="E63" s="14">
        <v>-0.02</v>
      </c>
      <c r="F63" s="10">
        <v>7988</v>
      </c>
      <c r="G63" s="10">
        <v>145.24</v>
      </c>
      <c r="H63" s="7" t="s">
        <v>520</v>
      </c>
    </row>
    <row r="64" spans="1:8" ht="40" customHeight="1">
      <c r="A64" s="3" t="s">
        <v>518</v>
      </c>
      <c r="B64" s="4" t="s">
        <v>521</v>
      </c>
      <c r="C64" s="15">
        <v>5</v>
      </c>
      <c r="D64" s="16">
        <v>0</v>
      </c>
      <c r="E64" s="16">
        <v>-0.02</v>
      </c>
      <c r="F64" s="9">
        <v>7988</v>
      </c>
      <c r="G64" s="9">
        <v>145.24</v>
      </c>
      <c r="H64" s="4" t="s">
        <v>520</v>
      </c>
    </row>
    <row r="65" spans="1:8" ht="40" customHeight="1">
      <c r="A65" s="6" t="s">
        <v>518</v>
      </c>
      <c r="B65" s="7" t="s">
        <v>521</v>
      </c>
      <c r="C65" s="13">
        <v>1</v>
      </c>
      <c r="D65" s="14">
        <v>-0.05</v>
      </c>
      <c r="E65" s="14">
        <v>0</v>
      </c>
      <c r="F65" s="10">
        <v>7588.599999999999</v>
      </c>
      <c r="G65" s="10">
        <v>289.75</v>
      </c>
      <c r="H65" s="7" t="s">
        <v>520</v>
      </c>
    </row>
    <row r="66" spans="1:8" ht="40" customHeight="1">
      <c r="A66" s="3" t="s">
        <v>518</v>
      </c>
      <c r="B66" s="4" t="s">
        <v>521</v>
      </c>
      <c r="C66" s="15">
        <v>2</v>
      </c>
      <c r="D66" s="16">
        <v>-0.05</v>
      </c>
      <c r="E66" s="16">
        <v>0</v>
      </c>
      <c r="F66" s="9">
        <v>7209.17</v>
      </c>
      <c r="G66" s="9">
        <v>275.2625</v>
      </c>
      <c r="H66" s="4" t="s">
        <v>520</v>
      </c>
    </row>
    <row r="67" spans="1:8" ht="40" customHeight="1">
      <c r="A67" s="6" t="s">
        <v>518</v>
      </c>
      <c r="B67" s="7" t="s">
        <v>521</v>
      </c>
      <c r="C67" s="13">
        <v>3</v>
      </c>
      <c r="D67" s="14">
        <v>-0.05</v>
      </c>
      <c r="E67" s="14">
        <v>0</v>
      </c>
      <c r="F67" s="10">
        <v>6848.711499999999</v>
      </c>
      <c r="G67" s="10">
        <v>261.499375</v>
      </c>
      <c r="H67" s="7" t="s">
        <v>520</v>
      </c>
    </row>
    <row r="68" spans="1:8" ht="40" customHeight="1">
      <c r="A68" s="3" t="s">
        <v>518</v>
      </c>
      <c r="B68" s="4" t="s">
        <v>521</v>
      </c>
      <c r="C68" s="15">
        <v>4</v>
      </c>
      <c r="D68" s="16">
        <v>-0.05</v>
      </c>
      <c r="E68" s="16">
        <v>0</v>
      </c>
      <c r="F68" s="9">
        <v>6506.275924999999</v>
      </c>
      <c r="G68" s="9">
        <v>248.42440625</v>
      </c>
      <c r="H68" s="4" t="s">
        <v>520</v>
      </c>
    </row>
    <row r="69" spans="1:8" ht="40" customHeight="1">
      <c r="A69" s="6" t="s">
        <v>518</v>
      </c>
      <c r="B69" s="7" t="s">
        <v>521</v>
      </c>
      <c r="C69" s="13">
        <v>5</v>
      </c>
      <c r="D69" s="14">
        <v>-0.05</v>
      </c>
      <c r="E69" s="14">
        <v>0</v>
      </c>
      <c r="F69" s="10">
        <v>6180.962128749999</v>
      </c>
      <c r="G69" s="10">
        <v>236.0031859374999</v>
      </c>
      <c r="H69" s="7" t="s">
        <v>520</v>
      </c>
    </row>
    <row r="70" spans="1:8" ht="40" customHeight="1">
      <c r="A70" s="3" t="s">
        <v>518</v>
      </c>
      <c r="B70" s="4" t="s">
        <v>521</v>
      </c>
      <c r="C70" s="15">
        <v>1</v>
      </c>
      <c r="D70" s="16">
        <v>-0.05</v>
      </c>
      <c r="E70" s="16">
        <v>-0.01</v>
      </c>
      <c r="F70" s="9">
        <v>7588.599999999999</v>
      </c>
      <c r="G70" s="9">
        <v>213.864</v>
      </c>
      <c r="H70" s="4" t="s">
        <v>520</v>
      </c>
    </row>
    <row r="71" spans="1:8" ht="40" customHeight="1">
      <c r="A71" s="6" t="s">
        <v>518</v>
      </c>
      <c r="B71" s="7" t="s">
        <v>521</v>
      </c>
      <c r="C71" s="13">
        <v>2</v>
      </c>
      <c r="D71" s="14">
        <v>-0.05</v>
      </c>
      <c r="E71" s="14">
        <v>-0.01</v>
      </c>
      <c r="F71" s="10">
        <v>7209.17</v>
      </c>
      <c r="G71" s="10">
        <v>203.1708</v>
      </c>
      <c r="H71" s="7" t="s">
        <v>520</v>
      </c>
    </row>
    <row r="72" spans="1:8" ht="40" customHeight="1">
      <c r="A72" s="3" t="s">
        <v>518</v>
      </c>
      <c r="B72" s="4" t="s">
        <v>521</v>
      </c>
      <c r="C72" s="15">
        <v>3</v>
      </c>
      <c r="D72" s="16">
        <v>-0.05</v>
      </c>
      <c r="E72" s="16">
        <v>-0.01</v>
      </c>
      <c r="F72" s="9">
        <v>6848.711499999999</v>
      </c>
      <c r="G72" s="9">
        <v>193.01226</v>
      </c>
      <c r="H72" s="4" t="s">
        <v>520</v>
      </c>
    </row>
    <row r="73" spans="1:8" ht="40" customHeight="1">
      <c r="A73" s="6" t="s">
        <v>518</v>
      </c>
      <c r="B73" s="7" t="s">
        <v>521</v>
      </c>
      <c r="C73" s="13">
        <v>4</v>
      </c>
      <c r="D73" s="14">
        <v>-0.05</v>
      </c>
      <c r="E73" s="14">
        <v>-0.01</v>
      </c>
      <c r="F73" s="10">
        <v>6506.275924999999</v>
      </c>
      <c r="G73" s="10">
        <v>183.361647</v>
      </c>
      <c r="H73" s="7" t="s">
        <v>520</v>
      </c>
    </row>
    <row r="74" spans="1:8" ht="40" customHeight="1">
      <c r="A74" s="3" t="s">
        <v>518</v>
      </c>
      <c r="B74" s="4" t="s">
        <v>521</v>
      </c>
      <c r="C74" s="15">
        <v>5</v>
      </c>
      <c r="D74" s="16">
        <v>-0.05</v>
      </c>
      <c r="E74" s="16">
        <v>-0.01</v>
      </c>
      <c r="F74" s="9">
        <v>6180.962128749999</v>
      </c>
      <c r="G74" s="9">
        <v>174.19356465</v>
      </c>
      <c r="H74" s="4" t="s">
        <v>520</v>
      </c>
    </row>
    <row r="75" spans="1:8" ht="40" customHeight="1">
      <c r="A75" s="6" t="s">
        <v>518</v>
      </c>
      <c r="B75" s="7" t="s">
        <v>521</v>
      </c>
      <c r="C75" s="13">
        <v>1</v>
      </c>
      <c r="D75" s="14">
        <v>-0.05</v>
      </c>
      <c r="E75" s="14">
        <v>-0.02</v>
      </c>
      <c r="F75" s="10">
        <v>7588.599999999999</v>
      </c>
      <c r="G75" s="10">
        <v>137.978</v>
      </c>
      <c r="H75" s="7" t="s">
        <v>520</v>
      </c>
    </row>
    <row r="76" spans="1:8" ht="40" customHeight="1">
      <c r="A76" s="3" t="s">
        <v>518</v>
      </c>
      <c r="B76" s="4" t="s">
        <v>521</v>
      </c>
      <c r="C76" s="15">
        <v>2</v>
      </c>
      <c r="D76" s="16">
        <v>-0.05</v>
      </c>
      <c r="E76" s="16">
        <v>-0.02</v>
      </c>
      <c r="F76" s="9">
        <v>7209.17</v>
      </c>
      <c r="G76" s="9">
        <v>131.0791</v>
      </c>
      <c r="H76" s="4" t="s">
        <v>520</v>
      </c>
    </row>
    <row r="77" spans="1:8" ht="40" customHeight="1">
      <c r="A77" s="6" t="s">
        <v>518</v>
      </c>
      <c r="B77" s="7" t="s">
        <v>521</v>
      </c>
      <c r="C77" s="13">
        <v>3</v>
      </c>
      <c r="D77" s="14">
        <v>-0.05</v>
      </c>
      <c r="E77" s="14">
        <v>-0.02</v>
      </c>
      <c r="F77" s="10">
        <v>6848.711499999999</v>
      </c>
      <c r="G77" s="10">
        <v>124.525145</v>
      </c>
      <c r="H77" s="7" t="s">
        <v>520</v>
      </c>
    </row>
    <row r="78" spans="1:8" ht="40" customHeight="1">
      <c r="A78" s="3" t="s">
        <v>518</v>
      </c>
      <c r="B78" s="4" t="s">
        <v>521</v>
      </c>
      <c r="C78" s="15">
        <v>4</v>
      </c>
      <c r="D78" s="16">
        <v>-0.05</v>
      </c>
      <c r="E78" s="16">
        <v>-0.02</v>
      </c>
      <c r="F78" s="9">
        <v>6506.275924999999</v>
      </c>
      <c r="G78" s="9">
        <v>118.29888775</v>
      </c>
      <c r="H78" s="4" t="s">
        <v>520</v>
      </c>
    </row>
    <row r="79" spans="1:8" ht="40" customHeight="1">
      <c r="A79" s="6" t="s">
        <v>518</v>
      </c>
      <c r="B79" s="7" t="s">
        <v>521</v>
      </c>
      <c r="C79" s="13">
        <v>5</v>
      </c>
      <c r="D79" s="14">
        <v>-0.05</v>
      </c>
      <c r="E79" s="14">
        <v>-0.02</v>
      </c>
      <c r="F79" s="10">
        <v>6180.962128749999</v>
      </c>
      <c r="G79" s="10">
        <v>112.3839433625</v>
      </c>
      <c r="H79" s="7" t="s">
        <v>520</v>
      </c>
    </row>
    <row r="80" spans="1:8" ht="40" customHeight="1">
      <c r="A80" s="3" t="s">
        <v>518</v>
      </c>
      <c r="B80" s="4" t="s">
        <v>521</v>
      </c>
      <c r="C80" s="15">
        <v>1</v>
      </c>
      <c r="D80" s="16">
        <v>-0.1</v>
      </c>
      <c r="E80" s="16">
        <v>0</v>
      </c>
      <c r="F80" s="9">
        <v>7189.2</v>
      </c>
      <c r="G80" s="9">
        <v>274.5</v>
      </c>
      <c r="H80" s="4" t="s">
        <v>520</v>
      </c>
    </row>
    <row r="81" spans="1:8" ht="40" customHeight="1">
      <c r="A81" s="6" t="s">
        <v>518</v>
      </c>
      <c r="B81" s="7" t="s">
        <v>521</v>
      </c>
      <c r="C81" s="13">
        <v>2</v>
      </c>
      <c r="D81" s="14">
        <v>-0.1</v>
      </c>
      <c r="E81" s="14">
        <v>0</v>
      </c>
      <c r="F81" s="10">
        <v>6470.280000000001</v>
      </c>
      <c r="G81" s="10">
        <v>247.05</v>
      </c>
      <c r="H81" s="7" t="s">
        <v>520</v>
      </c>
    </row>
    <row r="82" spans="1:8" ht="40" customHeight="1">
      <c r="A82" s="3" t="s">
        <v>518</v>
      </c>
      <c r="B82" s="4" t="s">
        <v>521</v>
      </c>
      <c r="C82" s="15">
        <v>3</v>
      </c>
      <c r="D82" s="16">
        <v>-0.1</v>
      </c>
      <c r="E82" s="16">
        <v>0</v>
      </c>
      <c r="F82" s="9">
        <v>5823.252</v>
      </c>
      <c r="G82" s="9">
        <v>222.345</v>
      </c>
      <c r="H82" s="4" t="s">
        <v>520</v>
      </c>
    </row>
    <row r="83" spans="1:8" ht="40" customHeight="1">
      <c r="A83" s="6" t="s">
        <v>518</v>
      </c>
      <c r="B83" s="7" t="s">
        <v>521</v>
      </c>
      <c r="C83" s="13">
        <v>4</v>
      </c>
      <c r="D83" s="14">
        <v>-0.1</v>
      </c>
      <c r="E83" s="14">
        <v>0</v>
      </c>
      <c r="F83" s="10">
        <v>5240.9268</v>
      </c>
      <c r="G83" s="10">
        <v>200.1105</v>
      </c>
      <c r="H83" s="7" t="s">
        <v>520</v>
      </c>
    </row>
    <row r="84" spans="1:8" ht="40" customHeight="1">
      <c r="A84" s="3" t="s">
        <v>518</v>
      </c>
      <c r="B84" s="4" t="s">
        <v>521</v>
      </c>
      <c r="C84" s="15">
        <v>5</v>
      </c>
      <c r="D84" s="16">
        <v>-0.1</v>
      </c>
      <c r="E84" s="16">
        <v>0</v>
      </c>
      <c r="F84" s="9">
        <v>4716.83412</v>
      </c>
      <c r="G84" s="9">
        <v>180.09945</v>
      </c>
      <c r="H84" s="4" t="s">
        <v>520</v>
      </c>
    </row>
    <row r="85" spans="1:8" ht="40" customHeight="1">
      <c r="A85" s="6" t="s">
        <v>518</v>
      </c>
      <c r="B85" s="7" t="s">
        <v>521</v>
      </c>
      <c r="C85" s="13">
        <v>1</v>
      </c>
      <c r="D85" s="14">
        <v>-0.1</v>
      </c>
      <c r="E85" s="14">
        <v>-0.01</v>
      </c>
      <c r="F85" s="10">
        <v>7189.2</v>
      </c>
      <c r="G85" s="10">
        <v>202.608</v>
      </c>
      <c r="H85" s="7" t="s">
        <v>520</v>
      </c>
    </row>
    <row r="86" spans="1:8" ht="40" customHeight="1">
      <c r="A86" s="3" t="s">
        <v>518</v>
      </c>
      <c r="B86" s="4" t="s">
        <v>521</v>
      </c>
      <c r="C86" s="15">
        <v>2</v>
      </c>
      <c r="D86" s="16">
        <v>-0.1</v>
      </c>
      <c r="E86" s="16">
        <v>-0.01</v>
      </c>
      <c r="F86" s="9">
        <v>6470.280000000001</v>
      </c>
      <c r="G86" s="9">
        <v>182.3472</v>
      </c>
      <c r="H86" s="4" t="s">
        <v>520</v>
      </c>
    </row>
    <row r="87" spans="1:8" ht="40" customHeight="1">
      <c r="A87" s="6" t="s">
        <v>518</v>
      </c>
      <c r="B87" s="7" t="s">
        <v>521</v>
      </c>
      <c r="C87" s="13">
        <v>3</v>
      </c>
      <c r="D87" s="14">
        <v>-0.1</v>
      </c>
      <c r="E87" s="14">
        <v>-0.01</v>
      </c>
      <c r="F87" s="10">
        <v>5823.252</v>
      </c>
      <c r="G87" s="10">
        <v>164.11248</v>
      </c>
      <c r="H87" s="7" t="s">
        <v>520</v>
      </c>
    </row>
    <row r="88" spans="1:8" ht="40" customHeight="1">
      <c r="A88" s="3" t="s">
        <v>518</v>
      </c>
      <c r="B88" s="4" t="s">
        <v>521</v>
      </c>
      <c r="C88" s="15">
        <v>4</v>
      </c>
      <c r="D88" s="16">
        <v>-0.1</v>
      </c>
      <c r="E88" s="16">
        <v>-0.01</v>
      </c>
      <c r="F88" s="9">
        <v>5240.9268</v>
      </c>
      <c r="G88" s="9">
        <v>147.701232</v>
      </c>
      <c r="H88" s="4" t="s">
        <v>520</v>
      </c>
    </row>
    <row r="89" spans="1:8" ht="40" customHeight="1">
      <c r="A89" s="6" t="s">
        <v>518</v>
      </c>
      <c r="B89" s="7" t="s">
        <v>521</v>
      </c>
      <c r="C89" s="13">
        <v>5</v>
      </c>
      <c r="D89" s="14">
        <v>-0.1</v>
      </c>
      <c r="E89" s="14">
        <v>-0.01</v>
      </c>
      <c r="F89" s="10">
        <v>4716.83412</v>
      </c>
      <c r="G89" s="10">
        <v>132.9311088</v>
      </c>
      <c r="H89" s="7" t="s">
        <v>520</v>
      </c>
    </row>
    <row r="90" spans="1:8" ht="40" customHeight="1">
      <c r="A90" s="3" t="s">
        <v>518</v>
      </c>
      <c r="B90" s="4" t="s">
        <v>521</v>
      </c>
      <c r="C90" s="15">
        <v>1</v>
      </c>
      <c r="D90" s="16">
        <v>-0.1</v>
      </c>
      <c r="E90" s="16">
        <v>-0.02</v>
      </c>
      <c r="F90" s="9">
        <v>7189.2</v>
      </c>
      <c r="G90" s="9">
        <v>130.716</v>
      </c>
      <c r="H90" s="4" t="s">
        <v>520</v>
      </c>
    </row>
    <row r="91" spans="1:8" ht="40" customHeight="1">
      <c r="A91" s="6" t="s">
        <v>518</v>
      </c>
      <c r="B91" s="7" t="s">
        <v>521</v>
      </c>
      <c r="C91" s="13">
        <v>2</v>
      </c>
      <c r="D91" s="14">
        <v>-0.1</v>
      </c>
      <c r="E91" s="14">
        <v>-0.02</v>
      </c>
      <c r="F91" s="10">
        <v>6470.280000000001</v>
      </c>
      <c r="G91" s="10">
        <v>117.6444</v>
      </c>
      <c r="H91" s="7" t="s">
        <v>520</v>
      </c>
    </row>
    <row r="92" spans="1:8" ht="40" customHeight="1">
      <c r="A92" s="3" t="s">
        <v>518</v>
      </c>
      <c r="B92" s="4" t="s">
        <v>521</v>
      </c>
      <c r="C92" s="15">
        <v>3</v>
      </c>
      <c r="D92" s="16">
        <v>-0.1</v>
      </c>
      <c r="E92" s="16">
        <v>-0.02</v>
      </c>
      <c r="F92" s="9">
        <v>5823.252</v>
      </c>
      <c r="G92" s="9">
        <v>105.87996</v>
      </c>
      <c r="H92" s="4" t="s">
        <v>520</v>
      </c>
    </row>
    <row r="93" spans="1:8" ht="40" customHeight="1">
      <c r="A93" s="6" t="s">
        <v>518</v>
      </c>
      <c r="B93" s="7" t="s">
        <v>521</v>
      </c>
      <c r="C93" s="13">
        <v>4</v>
      </c>
      <c r="D93" s="14">
        <v>-0.1</v>
      </c>
      <c r="E93" s="14">
        <v>-0.02</v>
      </c>
      <c r="F93" s="10">
        <v>5240.9268</v>
      </c>
      <c r="G93" s="10">
        <v>95.29196400000001</v>
      </c>
      <c r="H93" s="7" t="s">
        <v>520</v>
      </c>
    </row>
    <row r="94" spans="1:8" ht="40" customHeight="1">
      <c r="A94" s="3" t="s">
        <v>518</v>
      </c>
      <c r="B94" s="4" t="s">
        <v>521</v>
      </c>
      <c r="C94" s="15">
        <v>5</v>
      </c>
      <c r="D94" s="16">
        <v>-0.1</v>
      </c>
      <c r="E94" s="16">
        <v>-0.02</v>
      </c>
      <c r="F94" s="9">
        <v>4716.83412</v>
      </c>
      <c r="G94" s="9">
        <v>85.7627676</v>
      </c>
      <c r="H94" s="4" t="s">
        <v>520</v>
      </c>
    </row>
  </sheetData>
  <autoFilter ref="A4:H9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&amp;LHistorical sensitivities&amp;RPage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C5658"/>
  </sheetPr>
  <dimension ref="A1:C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1" spans="1:3" ht="9" customHeight="1"/>
    <row r="2" spans="1:3" ht="42" customHeight="1">
      <c r="A2" s="1" t="s">
        <v>522</v>
      </c>
      <c r="B2" s="1"/>
      <c r="C2" s="1"/>
    </row>
    <row r="3" spans="1:3" ht="30" customHeight="1">
      <c r="A3" s="2" t="s">
        <v>56</v>
      </c>
      <c r="B3" s="2"/>
      <c r="C3" s="2"/>
    </row>
    <row r="4" spans="1:3" ht="34" customHeight="1">
      <c r="A4" s="5" t="s">
        <v>523</v>
      </c>
      <c r="B4" s="5" t="s">
        <v>42</v>
      </c>
      <c r="C4" s="5" t="s">
        <v>524</v>
      </c>
    </row>
    <row r="5" spans="1:3" ht="40" customHeight="1">
      <c r="A5" s="6" t="s">
        <v>146</v>
      </c>
      <c r="B5" s="7" t="s">
        <v>147</v>
      </c>
      <c r="C5" s="7" t="s">
        <v>149</v>
      </c>
    </row>
    <row r="6" spans="1:3" ht="40" customHeight="1">
      <c r="A6" s="3" t="s">
        <v>153</v>
      </c>
      <c r="B6" s="4" t="s">
        <v>154</v>
      </c>
      <c r="C6" s="4" t="s">
        <v>155</v>
      </c>
    </row>
    <row r="7" spans="1:3" ht="40" customHeight="1">
      <c r="A7" s="6" t="s">
        <v>165</v>
      </c>
      <c r="B7" s="7" t="s">
        <v>166</v>
      </c>
      <c r="C7" s="7" t="s">
        <v>167</v>
      </c>
    </row>
    <row r="8" spans="1:3" ht="70" customHeight="1">
      <c r="A8" s="3" t="s">
        <v>156</v>
      </c>
      <c r="B8" s="4" t="s">
        <v>157</v>
      </c>
      <c r="C8" s="4" t="s">
        <v>158</v>
      </c>
    </row>
    <row r="9" spans="1:3" ht="100" customHeight="1">
      <c r="A9" s="6" t="s">
        <v>162</v>
      </c>
      <c r="B9" s="7" t="s">
        <v>163</v>
      </c>
      <c r="C9" s="7" t="s">
        <v>164</v>
      </c>
    </row>
    <row r="10" spans="1:3" ht="85" customHeight="1">
      <c r="A10" s="3" t="s">
        <v>159</v>
      </c>
      <c r="B10" s="4" t="s">
        <v>160</v>
      </c>
      <c r="C10" s="4" t="s">
        <v>161</v>
      </c>
    </row>
  </sheetData>
  <autoFilter ref="A4:C10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&amp;LHistorical assumptions&amp;RPage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3C5658"/>
  </sheetPr>
  <dimension ref="A1:E2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1" spans="1:5" ht="9" customHeight="1"/>
    <row r="2" spans="1:5" ht="42" customHeight="1">
      <c r="A2" s="1" t="s">
        <v>525</v>
      </c>
      <c r="B2" s="1"/>
      <c r="C2" s="1"/>
      <c r="D2" s="1"/>
      <c r="E2" s="1"/>
    </row>
    <row r="3" spans="1:5" ht="30" customHeight="1">
      <c r="A3" s="2" t="s">
        <v>56</v>
      </c>
      <c r="B3" s="2"/>
      <c r="C3" s="2"/>
      <c r="D3" s="2"/>
      <c r="E3" s="2"/>
    </row>
    <row r="4" spans="1:5" ht="34" customHeight="1">
      <c r="A4" s="5" t="s">
        <v>512</v>
      </c>
      <c r="B4" s="5" t="s">
        <v>526</v>
      </c>
      <c r="C4" s="5" t="s">
        <v>42</v>
      </c>
      <c r="D4" s="5" t="s">
        <v>390</v>
      </c>
      <c r="E4" s="5" t="s">
        <v>393</v>
      </c>
    </row>
    <row r="5" spans="1:5" ht="40" customHeight="1">
      <c r="A5" s="6" t="s">
        <v>527</v>
      </c>
      <c r="B5" s="7" t="s">
        <v>528</v>
      </c>
      <c r="C5" s="10">
        <v>50</v>
      </c>
      <c r="D5" s="7" t="s">
        <v>529</v>
      </c>
      <c r="E5" s="7" t="s">
        <v>530</v>
      </c>
    </row>
    <row r="6" spans="1:5" ht="40" customHeight="1">
      <c r="A6" s="3" t="s">
        <v>527</v>
      </c>
      <c r="B6" s="4" t="s">
        <v>531</v>
      </c>
      <c r="C6" s="9">
        <v>60.00000000000001</v>
      </c>
      <c r="D6" s="4" t="s">
        <v>529</v>
      </c>
      <c r="E6" s="4" t="s">
        <v>530</v>
      </c>
    </row>
    <row r="7" spans="1:5" ht="40" customHeight="1">
      <c r="A7" s="6" t="s">
        <v>527</v>
      </c>
      <c r="B7" s="7" t="s">
        <v>532</v>
      </c>
      <c r="C7" s="10">
        <v>70</v>
      </c>
      <c r="D7" s="7" t="s">
        <v>529</v>
      </c>
      <c r="E7" s="7" t="s">
        <v>530</v>
      </c>
    </row>
    <row r="8" spans="1:5" ht="40" customHeight="1">
      <c r="A8" s="3" t="s">
        <v>527</v>
      </c>
      <c r="B8" s="4" t="s">
        <v>533</v>
      </c>
      <c r="C8" s="9">
        <v>70</v>
      </c>
      <c r="D8" s="4" t="s">
        <v>529</v>
      </c>
      <c r="E8" s="4" t="s">
        <v>530</v>
      </c>
    </row>
    <row r="9" spans="1:5" ht="40" customHeight="1">
      <c r="A9" s="6" t="s">
        <v>527</v>
      </c>
      <c r="B9" s="7" t="s">
        <v>534</v>
      </c>
      <c r="C9" s="10">
        <v>80</v>
      </c>
      <c r="D9" s="7" t="s">
        <v>529</v>
      </c>
      <c r="E9" s="7" t="s">
        <v>530</v>
      </c>
    </row>
    <row r="10" spans="1:5" ht="40" customHeight="1">
      <c r="A10" s="3" t="s">
        <v>527</v>
      </c>
      <c r="B10" s="4" t="s">
        <v>535</v>
      </c>
      <c r="C10" s="9">
        <v>90.00000000000001</v>
      </c>
      <c r="D10" s="4" t="s">
        <v>529</v>
      </c>
      <c r="E10" s="4" t="s">
        <v>530</v>
      </c>
    </row>
    <row r="11" spans="1:5" ht="40" customHeight="1">
      <c r="A11" s="6" t="s">
        <v>527</v>
      </c>
      <c r="B11" s="7" t="s">
        <v>536</v>
      </c>
      <c r="C11" s="10">
        <v>90</v>
      </c>
      <c r="D11" s="7" t="s">
        <v>529</v>
      </c>
      <c r="E11" s="7" t="s">
        <v>530</v>
      </c>
    </row>
    <row r="12" spans="1:5" ht="40" customHeight="1">
      <c r="A12" s="3" t="s">
        <v>527</v>
      </c>
      <c r="B12" s="4" t="s">
        <v>537</v>
      </c>
      <c r="C12" s="9">
        <v>99.99999999999999</v>
      </c>
      <c r="D12" s="4" t="s">
        <v>529</v>
      </c>
      <c r="E12" s="4" t="s">
        <v>530</v>
      </c>
    </row>
    <row r="13" spans="1:5" ht="40" customHeight="1">
      <c r="A13" s="6" t="s">
        <v>527</v>
      </c>
      <c r="B13" s="7" t="s">
        <v>538</v>
      </c>
      <c r="C13" s="10">
        <v>110</v>
      </c>
      <c r="D13" s="7" t="s">
        <v>529</v>
      </c>
      <c r="E13" s="7" t="s">
        <v>530</v>
      </c>
    </row>
    <row r="14" spans="1:5" ht="25" customHeight="1">
      <c r="A14" s="3" t="s">
        <v>539</v>
      </c>
      <c r="B14" s="4" t="s">
        <v>540</v>
      </c>
      <c r="C14" s="9">
        <v>1010.10101010101</v>
      </c>
      <c r="D14" s="4" t="s">
        <v>396</v>
      </c>
      <c r="E14" s="4" t="s">
        <v>541</v>
      </c>
    </row>
    <row r="15" spans="1:5" ht="25" customHeight="1">
      <c r="A15" s="6" t="s">
        <v>539</v>
      </c>
      <c r="B15" s="7" t="s">
        <v>542</v>
      </c>
      <c r="C15" s="10">
        <v>1020.408163265306</v>
      </c>
      <c r="D15" s="7" t="s">
        <v>396</v>
      </c>
      <c r="E15" s="7" t="s">
        <v>541</v>
      </c>
    </row>
    <row r="16" spans="1:5" ht="25" customHeight="1">
      <c r="A16" s="3" t="s">
        <v>539</v>
      </c>
      <c r="B16" s="4" t="s">
        <v>543</v>
      </c>
      <c r="C16" s="9">
        <v>1030.927835051546</v>
      </c>
      <c r="D16" s="4" t="s">
        <v>396</v>
      </c>
      <c r="E16" s="4" t="s">
        <v>541</v>
      </c>
    </row>
    <row r="17" spans="1:5" ht="40" customHeight="1">
      <c r="A17" s="6" t="s">
        <v>544</v>
      </c>
      <c r="B17" s="7" t="s">
        <v>545</v>
      </c>
      <c r="C17" s="10">
        <v>-175</v>
      </c>
      <c r="D17" s="7" t="s">
        <v>546</v>
      </c>
      <c r="E17" s="7" t="s">
        <v>547</v>
      </c>
    </row>
    <row r="18" spans="1:5" ht="40" customHeight="1">
      <c r="A18" s="3" t="s">
        <v>544</v>
      </c>
      <c r="B18" s="4" t="s">
        <v>548</v>
      </c>
      <c r="C18" s="9">
        <v>-350</v>
      </c>
      <c r="D18" s="4" t="s">
        <v>546</v>
      </c>
      <c r="E18" s="4" t="s">
        <v>547</v>
      </c>
    </row>
    <row r="19" spans="1:5" ht="40" customHeight="1">
      <c r="A19" s="6" t="s">
        <v>544</v>
      </c>
      <c r="B19" s="7" t="s">
        <v>549</v>
      </c>
      <c r="C19" s="10">
        <v>-175</v>
      </c>
      <c r="D19" s="7" t="s">
        <v>546</v>
      </c>
      <c r="E19" s="7" t="s">
        <v>547</v>
      </c>
    </row>
    <row r="20" spans="1:5" ht="40" customHeight="1">
      <c r="A20" s="3" t="s">
        <v>544</v>
      </c>
      <c r="B20" s="4" t="s">
        <v>550</v>
      </c>
      <c r="C20" s="9">
        <v>-350</v>
      </c>
      <c r="D20" s="4" t="s">
        <v>546</v>
      </c>
      <c r="E20" s="4" t="s">
        <v>547</v>
      </c>
    </row>
    <row r="21" spans="1:5" ht="40" customHeight="1">
      <c r="A21" s="6" t="s">
        <v>544</v>
      </c>
      <c r="B21" s="7" t="s">
        <v>551</v>
      </c>
      <c r="C21" s="10">
        <v>175</v>
      </c>
      <c r="D21" s="7" t="s">
        <v>546</v>
      </c>
      <c r="E21" s="7" t="s">
        <v>547</v>
      </c>
    </row>
    <row r="22" spans="1:5" ht="40" customHeight="1">
      <c r="A22" s="3" t="s">
        <v>544</v>
      </c>
      <c r="B22" s="4" t="s">
        <v>552</v>
      </c>
      <c r="C22" s="9">
        <v>0</v>
      </c>
      <c r="D22" s="4" t="s">
        <v>546</v>
      </c>
      <c r="E22" s="4" t="s">
        <v>547</v>
      </c>
    </row>
    <row r="23" spans="1:5" ht="40" customHeight="1">
      <c r="A23" s="6" t="s">
        <v>544</v>
      </c>
      <c r="B23" s="7" t="s">
        <v>553</v>
      </c>
      <c r="C23" s="10">
        <v>75</v>
      </c>
      <c r="D23" s="7" t="s">
        <v>546</v>
      </c>
      <c r="E23" s="7" t="s">
        <v>547</v>
      </c>
    </row>
    <row r="24" spans="1:5" ht="40" customHeight="1">
      <c r="A24" s="3" t="s">
        <v>544</v>
      </c>
      <c r="B24" s="4" t="s">
        <v>554</v>
      </c>
      <c r="C24" s="9">
        <v>-100</v>
      </c>
      <c r="D24" s="4" t="s">
        <v>546</v>
      </c>
      <c r="E24" s="4" t="s">
        <v>547</v>
      </c>
    </row>
    <row r="25" spans="1:5" ht="40" customHeight="1">
      <c r="A25" s="6" t="s">
        <v>544</v>
      </c>
      <c r="B25" s="7" t="s">
        <v>555</v>
      </c>
      <c r="C25" s="10">
        <v>262.5</v>
      </c>
      <c r="D25" s="7" t="s">
        <v>546</v>
      </c>
      <c r="E25" s="7" t="s">
        <v>547</v>
      </c>
    </row>
    <row r="26" spans="1:5" ht="40" customHeight="1">
      <c r="A26" s="3" t="s">
        <v>544</v>
      </c>
      <c r="B26" s="4" t="s">
        <v>556</v>
      </c>
      <c r="C26" s="9">
        <v>87.5</v>
      </c>
      <c r="D26" s="4" t="s">
        <v>546</v>
      </c>
      <c r="E26" s="4" t="s">
        <v>547</v>
      </c>
    </row>
    <row r="27" spans="1:5" ht="40" customHeight="1">
      <c r="A27" s="6" t="s">
        <v>544</v>
      </c>
      <c r="B27" s="7" t="s">
        <v>557</v>
      </c>
      <c r="C27" s="10">
        <v>137.5</v>
      </c>
      <c r="D27" s="7" t="s">
        <v>546</v>
      </c>
      <c r="E27" s="7" t="s">
        <v>547</v>
      </c>
    </row>
    <row r="28" spans="1:5" ht="40" customHeight="1">
      <c r="A28" s="3" t="s">
        <v>544</v>
      </c>
      <c r="B28" s="4" t="s">
        <v>558</v>
      </c>
      <c r="C28" s="9">
        <v>-37.5</v>
      </c>
      <c r="D28" s="4" t="s">
        <v>546</v>
      </c>
      <c r="E28" s="4" t="s">
        <v>547</v>
      </c>
    </row>
  </sheetData>
  <autoFilter ref="A4:E28"/>
  <mergeCells count="2">
    <mergeCell ref="A2:E2"/>
    <mergeCell ref="A3:E3"/>
  </mergeCells>
  <pageMargins left="0.3" right="0.3" top="0.4" bottom="0.4" header="0.3" footer="0.3"/>
  <pageSetup paperSize="9" scale="85" orientation="landscape"/>
  <headerFooter>
    <oddFooter>&amp;LFunding unit sensitivities&amp;RPage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21</vt:i4>
      </vt:variant>
    </vt:vector>
  </HeadingPairs>
  <TitlesOfParts>
    <vt:vector size="32" baseType="lpstr">
      <vt:lpstr>Contents</vt:lpstr>
      <vt:lpstr>Summary</vt:lpstr>
      <vt:lpstr>Illustrative bond risk</vt:lpstr>
      <vt:lpstr>Scenarios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  <vt:lpstr>Contents!Print_Area</vt:lpstr>
      <vt:lpstr>Evidence!Print_Area</vt:lpstr>
      <vt:lpstr>'Funding unit sensitivities'!Print_Area</vt:lpstr>
      <vt:lpstr>'Historical assumptions'!Print_Area</vt:lpstr>
      <vt:lpstr>'Historical calculations'!Print_Area</vt:lpstr>
      <vt:lpstr>'Historical gap review'!Print_Area</vt:lpstr>
      <vt:lpstr>'Historical sensitivities'!Print_Area</vt:lpstr>
      <vt:lpstr>'Illustrative bond risk'!Print_Area</vt:lpstr>
      <vt:lpstr>Scenarios!Print_Area</vt:lpstr>
      <vt:lpstr>Sources!Print_Area</vt:lpstr>
      <vt:lpstr>Summary!Print_Area</vt:lpstr>
      <vt:lpstr>Contents!Print_Titles</vt:lpstr>
      <vt:lpstr>Evidence!Print_Titles</vt:lpstr>
      <vt:lpstr>'Funding unit sensitivities'!Print_Titles</vt:lpstr>
      <vt:lpstr>'Historical assumptions'!Print_Titles</vt:lpstr>
      <vt:lpstr>'Historical calculations'!Print_Titles</vt:lpstr>
      <vt:lpstr>'Historical gap review'!Print_Titles</vt:lpstr>
      <vt:lpstr>'Historical sensitivities'!Print_Titles</vt:lpstr>
      <vt:lpstr>'Illustrative bond risk'!Print_Titles</vt:lpstr>
      <vt:lpstr>Scenarios!Print_Titles</vt:lpstr>
      <vt:lpstr>Sources!Print_Titles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2026-10-11T04:42:23Z</dcterms:created>
  <dcterms:modified xsi:type="dcterms:W3CDTF">2026-10-11T04:42:23Z</dcterms:modified>
</cp:coreProperties>
</file>