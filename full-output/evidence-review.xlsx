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3c17fec19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0c2fb68977e34b4b"/>
    <x:sheet xmlns:r="http://schemas.openxmlformats.org/officeDocument/2006/relationships" name="Summary" sheetId="2" r:id="R9bd59ee6d3f74d37"/>
    <x:sheet xmlns:r="http://schemas.openxmlformats.org/officeDocument/2006/relationships" name="Itemised funding" sheetId="3" r:id="R2e9cb9393b7d4921"/>
    <x:sheet xmlns:r="http://schemas.openxmlformats.org/officeDocument/2006/relationships" name="Timing and capacity" sheetId="4" r:id="R8620ab8ba01a4411"/>
    <x:sheet xmlns:r="http://schemas.openxmlformats.org/officeDocument/2006/relationships" name="Model checks" sheetId="5" r:id="Rb386f0a97fb74130"/>
    <x:sheet xmlns:r="http://schemas.openxmlformats.org/officeDocument/2006/relationships" name="Assumptions" sheetId="6" r:id="Re2a304148bf94466"/>
    <x:sheet xmlns:r="http://schemas.openxmlformats.org/officeDocument/2006/relationships" name="Sources Uses" sheetId="7" r:id="Rda7ac2f03d5b4227"/>
    <x:sheet xmlns:r="http://schemas.openxmlformats.org/officeDocument/2006/relationships" name="Opening Bridge" sheetId="8" r:id="R81618651799046b0"/>
    <x:sheet xmlns:r="http://schemas.openxmlformats.org/officeDocument/2006/relationships" name="Operations" sheetId="9" r:id="R30828aa4622a46f1"/>
    <x:sheet xmlns:r="http://schemas.openxmlformats.org/officeDocument/2006/relationships" name="Liquidity" sheetId="10" r:id="R4b291a29cd3440c6"/>
    <x:sheet xmlns:r="http://schemas.openxmlformats.org/officeDocument/2006/relationships" name="Debt Schedule" sheetId="11" r:id="R983494f0d31f4f45"/>
    <x:sheet xmlns:r="http://schemas.openxmlformats.org/officeDocument/2006/relationships" name="Scenarios" sheetId="12" r:id="R25fd63c762634f08"/>
    <x:sheet xmlns:r="http://schemas.openxmlformats.org/officeDocument/2006/relationships" name="Quarterly" sheetId="13" r:id="Ra4acc9dc22da4b44"/>
    <x:sheet xmlns:r="http://schemas.openxmlformats.org/officeDocument/2006/relationships" name="Capacity" sheetId="14" r:id="Re32476b817184ed0"/>
    <x:sheet xmlns:r="http://schemas.openxmlformats.org/officeDocument/2006/relationships" name="Capacity Grid" sheetId="15" r:id="R2d037f2429f74a09"/>
    <x:sheet xmlns:r="http://schemas.openxmlformats.org/officeDocument/2006/relationships" name="Sensitivity" sheetId="16" r:id="Re3749053b01e4b4e"/>
    <x:sheet xmlns:r="http://schemas.openxmlformats.org/officeDocument/2006/relationships" name="Reverse Stress" sheetId="17" r:id="Rfdeac6c1329e41dd"/>
    <x:sheet xmlns:r="http://schemas.openxmlformats.org/officeDocument/2006/relationships" name="Checks" sheetId="18" r:id="R1f03bec8a05e465e"/>
    <x:sheet xmlns:r="http://schemas.openxmlformats.org/officeDocument/2006/relationships" name="Evidence" sheetId="19" r:id="R4e8b5d95a05a4149"/>
    <x:sheet xmlns:r="http://schemas.openxmlformats.org/officeDocument/2006/relationships" name="Sources" sheetId="20" r:id="Rd8b521bb18314e88"/>
    <x:sheet xmlns:r="http://schemas.openxmlformats.org/officeDocument/2006/relationships" name="Historical calculations" sheetId="21" r:id="R869932ebd3c04b71"/>
    <x:sheet xmlns:r="http://schemas.openxmlformats.org/officeDocument/2006/relationships" name="Historical gap review" sheetId="22" r:id="Rc6863c97f7284947"/>
    <x:sheet xmlns:r="http://schemas.openxmlformats.org/officeDocument/2006/relationships" name="Historical sensitivities" sheetId="23" r:id="R0c953b1266194616"/>
    <x:sheet xmlns:r="http://schemas.openxmlformats.org/officeDocument/2006/relationships" name="Historical assumptions" sheetId="24" r:id="R79f8a77ec4c14db6"/>
    <x:sheet xmlns:r="http://schemas.openxmlformats.org/officeDocument/2006/relationships" name="Funding unit sensitivities" sheetId="25" r:id="R04f7b84ac49b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(#,##0.0);&quot;-&quot;"/>
    <x:numFmt numFmtId="201" formatCode="0.0000"/>
    <x:numFmt numFmtId="202" formatCode="#,##0.0000"/>
    <x:numFmt numFmtId="203" formatCode="0"/>
    <x:numFmt numFmtId="204" formatCode="0.00%"/>
    <x:numFmt numFmtId="205" formatCode="#,##0.000000"/>
  </x:numFmts>
  <x:fonts count="7">
    <x:font>
      <x:sz val="11"/>
      <x:name val="Carlito"/>
    </x:font>
    <x:font>
      <x:sz val="11"/>
      <x:name val="Arial"/>
    </x:font>
    <x:font>
      <x:sz val="11"/>
      <x:color rgb="FF172C43"/>
      <x:name val="Arial"/>
    </x:font>
    <x:font>
      <x:b/>
      <x:sz val="11"/>
      <x:color rgb="FF172C43"/>
      <x:name val="Arial"/>
    </x:font>
    <x:font>
      <x:sz val="11"/>
      <x:color rgb="FFFFFFFF"/>
      <x:name val="Arial"/>
    </x:font>
    <x:font>
      <x:sz val="11"/>
      <x:color rgb="FF1768A6"/>
      <x:name val="Arial"/>
    </x:font>
    <x:font>
      <x:sz val="11"/>
      <x:color rgb="FF08754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5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FF1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cc5e488b04104" /><Relationship Type="http://schemas.openxmlformats.org/officeDocument/2006/relationships/theme" Target="/xl/theme/theme1.xml" Id="R0c2d412046a44fb6" /><Relationship Type="http://schemas.microsoft.com/office/2022/11/relationships/FeaturePropertyBag" Target="/xl/featurePropertyBag/featurePropertyBag.xml" Id="Rc8d68970a5af4a45" /><Relationship Type="http://schemas.openxmlformats.org/officeDocument/2006/relationships/sharedStrings" Target="/xl/sharedStrings.xml" Id="Rd2306ac18d58448d" /><Relationship Type="http://schemas.openxmlformats.org/officeDocument/2006/relationships/worksheet" Target="/xl/worksheets/sheet1.xml" Id="R0c2fb68977e34b4b" /><Relationship Type="http://schemas.openxmlformats.org/officeDocument/2006/relationships/worksheet" Target="/xl/worksheets/sheet2.xml" Id="R9bd59ee6d3f74d37" /><Relationship Type="http://schemas.openxmlformats.org/officeDocument/2006/relationships/worksheet" Target="/xl/worksheets/sheet3.xml" Id="R2e9cb9393b7d4921" /><Relationship Type="http://schemas.openxmlformats.org/officeDocument/2006/relationships/worksheet" Target="/xl/worksheets/sheet4.xml" Id="R8620ab8ba01a4411" /><Relationship Type="http://schemas.openxmlformats.org/officeDocument/2006/relationships/worksheet" Target="/xl/worksheets/sheet5.xml" Id="Rb386f0a97fb74130" /><Relationship Type="http://schemas.openxmlformats.org/officeDocument/2006/relationships/worksheet" Target="/xl/worksheets/sheet6.xml" Id="Re2a304148bf94466" /><Relationship Type="http://schemas.openxmlformats.org/officeDocument/2006/relationships/worksheet" Target="/xl/worksheets/sheet7.xml" Id="Rda7ac2f03d5b4227" /><Relationship Type="http://schemas.openxmlformats.org/officeDocument/2006/relationships/worksheet" Target="/xl/worksheets/sheet8.xml" Id="R81618651799046b0" /><Relationship Type="http://schemas.openxmlformats.org/officeDocument/2006/relationships/worksheet" Target="/xl/worksheets/sheet9.xml" Id="R30828aa4622a46f1" /><Relationship Type="http://schemas.openxmlformats.org/officeDocument/2006/relationships/worksheet" Target="/xl/worksheets/sheet10.xml" Id="R4b291a29cd3440c6" /><Relationship Type="http://schemas.openxmlformats.org/officeDocument/2006/relationships/worksheet" Target="/xl/worksheets/sheet11.xml" Id="R983494f0d31f4f45" /><Relationship Type="http://schemas.openxmlformats.org/officeDocument/2006/relationships/worksheet" Target="/xl/worksheets/sheet12.xml" Id="R25fd63c762634f08" /><Relationship Type="http://schemas.openxmlformats.org/officeDocument/2006/relationships/worksheet" Target="/xl/worksheets/sheet13.xml" Id="Ra4acc9dc22da4b44" /><Relationship Type="http://schemas.openxmlformats.org/officeDocument/2006/relationships/worksheet" Target="/xl/worksheets/sheet14.xml" Id="Re32476b817184ed0" /><Relationship Type="http://schemas.openxmlformats.org/officeDocument/2006/relationships/worksheet" Target="/xl/worksheets/sheet15.xml" Id="R2d037f2429f74a09" /><Relationship Type="http://schemas.openxmlformats.org/officeDocument/2006/relationships/worksheet" Target="/xl/worksheets/sheet16.xml" Id="Re3749053b01e4b4e" /><Relationship Type="http://schemas.openxmlformats.org/officeDocument/2006/relationships/worksheet" Target="/xl/worksheets/sheet17.xml" Id="Rfdeac6c1329e41dd" /><Relationship Type="http://schemas.openxmlformats.org/officeDocument/2006/relationships/worksheet" Target="/xl/worksheets/sheet18.xml" Id="R1f03bec8a05e465e" /><Relationship Type="http://schemas.openxmlformats.org/officeDocument/2006/relationships/worksheet" Target="/xl/worksheets/sheet19.xml" Id="R4e8b5d95a05a4149" /><Relationship Type="http://schemas.openxmlformats.org/officeDocument/2006/relationships/worksheet" Target="/xl/worksheets/sheet20.xml" Id="Rd8b521bb18314e88" /><Relationship Type="http://schemas.openxmlformats.org/officeDocument/2006/relationships/worksheet" Target="/xl/worksheets/sheet21.xml" Id="R869932ebd3c04b71" /><Relationship Type="http://schemas.openxmlformats.org/officeDocument/2006/relationships/worksheet" Target="/xl/worksheets/sheet22.xml" Id="Rc6863c97f7284947" /><Relationship Type="http://schemas.openxmlformats.org/officeDocument/2006/relationships/worksheet" Target="/xl/worksheets/sheet23.xml" Id="R0c953b1266194616" /><Relationship Type="http://schemas.openxmlformats.org/officeDocument/2006/relationships/worksheet" Target="/xl/worksheets/sheet24.xml" Id="R79f8a77ec4c14db6" /><Relationship Type="http://schemas.openxmlformats.org/officeDocument/2006/relationships/worksheet" Target="/xl/worksheets/sheet25.xml" Id="R04f7b84ac49b42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05" hidden="0" customWidth="1"/>
  </x:cols>
  <x:sheetData>
    <x:row r="2" ht="42" customHeight="1">
      <x:c r="A2" s="5" t="str">
        <x:v>Acquisition financing research | Synthetic demonstration</x:v>
      </x:c>
      <x:c r="B2" s="5"/>
    </x:row>
    <x:row r="3" ht="42" customHeight="1">
      <x:c r="A3" s="4" t="str">
        <x:v>Python snapshots: edit assumptions with the CLI or live dashboard.</x:v>
      </x:c>
      <x:c r="B3" s="4"/>
    </x:row>
    <x:row r="4" ht="48" customHeight="1">
      <x:c r="A4" s="4" t="str">
        <x:v>Refresh</x:v>
      </x:c>
      <x:c r="B4" s="4" t="str">
        <x:v>Only displayed formulas recalculate. All forecasts, scenarios and capacity are Python snapshots.</x:v>
      </x:c>
    </x:row>
    <x:row r="5" ht="42" customHeight="1">
      <x:c r="A5" s="7" t="str">
        <x:v>Worksheet</x:v>
      </x:c>
      <x:c r="B5" s="7" t="str">
        <x:v>Purpose / navigation</x:v>
      </x:c>
    </x:row>
    <x:row r="6" ht="48" customHeight="1">
      <x:c r="A6" s="8" t="str">
        <x:v>Summary</x:v>
      </x:c>
      <x:c r="B6" s="8" t="str">
        <x:v>Open the named worksheet tab. Primary result and status</x:v>
      </x:c>
    </x:row>
    <x:row r="7" ht="48" customHeight="1">
      <x:c r="A7" s="8" t="str">
        <x:v>Itemised funding</x:v>
      </x:c>
      <x:c r="B7" s="8" t="str">
        <x:v>Open the named worksheet tab. Supporting schedule / evidence</x:v>
      </x:c>
    </x:row>
    <x:row r="8" ht="48" customHeight="1">
      <x:c r="A8" s="8" t="str">
        <x:v>Timing and capacity</x:v>
      </x:c>
      <x:c r="B8" s="8" t="str">
        <x:v>Open the named worksheet tab. Supporting schedule / evidence</x:v>
      </x:c>
    </x:row>
    <x:row r="9" ht="48" customHeight="1">
      <x:c r="A9" s="8" t="str">
        <x:v>Model checks</x:v>
      </x:c>
      <x:c r="B9" s="8" t="str">
        <x:v>Open the named worksheet tab. Supporting schedule / evidence</x:v>
      </x:c>
    </x:row>
    <x:row r="10" ht="48" customHeight="1">
      <x:c r="A10" s="8" t="str">
        <x:v>Assumptions</x:v>
      </x:c>
      <x:c r="B10" s="8" t="str">
        <x:v>Open the named worksheet tab. Supporting schedule / evidence</x:v>
      </x:c>
    </x:row>
    <x:row r="11" ht="48" customHeight="1">
      <x:c r="A11" s="8" t="str">
        <x:v>Sources Uses</x:v>
      </x:c>
      <x:c r="B11" s="8" t="str">
        <x:v>Open the named worksheet tab. Supporting schedule / evidence</x:v>
      </x:c>
    </x:row>
    <x:row r="12" ht="48" customHeight="1">
      <x:c r="A12" s="8" t="str">
        <x:v>Opening Bridge</x:v>
      </x:c>
      <x:c r="B12" s="8" t="str">
        <x:v>Open the named worksheet tab. Supporting schedule / evidence</x:v>
      </x:c>
    </x:row>
    <x:row r="13" ht="48" customHeight="1">
      <x:c r="A13" s="8" t="str">
        <x:v>Operations</x:v>
      </x:c>
      <x:c r="B13" s="8" t="str">
        <x:v>Open the named worksheet tab. Supporting schedule / evidence</x:v>
      </x:c>
    </x:row>
    <x:row r="14" ht="48" customHeight="1">
      <x:c r="A14" s="8" t="str">
        <x:v>Liquidity</x:v>
      </x:c>
      <x:c r="B14" s="8" t="str">
        <x:v>Open the named worksheet tab. Supporting schedule / evidence</x:v>
      </x:c>
    </x:row>
    <x:row r="15" ht="48" customHeight="1">
      <x:c r="A15" s="8" t="str">
        <x:v>Debt Schedule</x:v>
      </x:c>
      <x:c r="B15" s="8" t="str">
        <x:v>Open the named worksheet tab. Supporting schedule / evidence</x:v>
      </x:c>
    </x:row>
    <x:row r="16" ht="48" customHeight="1">
      <x:c r="A16" s="8" t="str">
        <x:v>Scenarios</x:v>
      </x:c>
      <x:c r="B16" s="8" t="str">
        <x:v>Open the named worksheet tab. Supporting schedule / evidence</x:v>
      </x:c>
    </x:row>
    <x:row r="17" ht="48" customHeight="1">
      <x:c r="A17" s="8" t="str">
        <x:v>Quarterly</x:v>
      </x:c>
      <x:c r="B17" s="8" t="str">
        <x:v>Open the named worksheet tab. Supporting schedule / evidence</x:v>
      </x:c>
    </x:row>
    <x:row r="18" ht="48" customHeight="1">
      <x:c r="A18" s="8" t="str">
        <x:v>Capacity</x:v>
      </x:c>
      <x:c r="B18" s="8" t="str">
        <x:v>Open the named worksheet tab. Supporting schedule / evidence</x:v>
      </x:c>
    </x:row>
    <x:row r="19" ht="48" customHeight="1">
      <x:c r="A19" s="8" t="str">
        <x:v>Capacity Grid</x:v>
      </x:c>
      <x:c r="B19" s="8" t="str">
        <x:v>Open the named worksheet tab. Supporting schedule / evidence</x:v>
      </x:c>
    </x:row>
    <x:row r="20" ht="48" customHeight="1">
      <x:c r="A20" s="8" t="str">
        <x:v>Sensitivity</x:v>
      </x:c>
      <x:c r="B20" s="8" t="str">
        <x:v>Open the named worksheet tab. Supporting schedule / evidence</x:v>
      </x:c>
    </x:row>
    <x:row r="21" ht="48" customHeight="1">
      <x:c r="A21" s="8" t="str">
        <x:v>Reverse Stress</x:v>
      </x:c>
      <x:c r="B21" s="8" t="str">
        <x:v>Open the named worksheet tab. Supporting schedule / evidence</x:v>
      </x:c>
    </x:row>
    <x:row r="22" ht="48" customHeight="1">
      <x:c r="A22" s="8" t="str">
        <x:v>Checks</x:v>
      </x:c>
      <x:c r="B22" s="8" t="str">
        <x:v>Open the named worksheet tab. Supporting schedule / evidence</x:v>
      </x:c>
    </x:row>
    <x:row r="23" ht="48" customHeight="1">
      <x:c r="A23" s="8" t="str">
        <x:v>Evidence</x:v>
      </x:c>
      <x:c r="B23" s="8" t="str">
        <x:v>Open the named worksheet tab. Supporting schedule / evidence</x:v>
      </x:c>
    </x:row>
    <x:row r="24" ht="48" customHeight="1">
      <x:c r="A24" s="8" t="str">
        <x:v>Sources</x:v>
      </x:c>
      <x:c r="B24" s="8" t="str">
        <x:v>Open the named worksheet tab. Supporting schedule / evidence</x:v>
      </x:c>
    </x:row>
    <x:row r="25" ht="48" customHeight="1">
      <x:c r="A25" s="8" t="str">
        <x:v>Historical calculations</x:v>
      </x:c>
      <x:c r="B25" s="8" t="str">
        <x:v>Open the named worksheet tab. Supporting schedule / evidence</x:v>
      </x:c>
    </x:row>
    <x:row r="26" ht="48" customHeight="1">
      <x:c r="A26" s="8" t="str">
        <x:v>Historical gap review</x:v>
      </x:c>
      <x:c r="B26" s="8" t="str">
        <x:v>Open the named worksheet tab. Supporting schedule / evidence</x:v>
      </x:c>
    </x:row>
    <x:row r="27" ht="48" customHeight="1">
      <x:c r="A27" s="8" t="str">
        <x:v>Historical sensitivities</x:v>
      </x:c>
      <x:c r="B27" s="8" t="str">
        <x:v>Open the named worksheet tab. Supporting schedule / evidence</x:v>
      </x:c>
    </x:row>
    <x:row r="28" ht="48" customHeight="1">
      <x:c r="A28" s="8" t="str">
        <x:v>Historical assumptions</x:v>
      </x:c>
      <x:c r="B28" s="8" t="str">
        <x:v>Open the named worksheet tab. Supporting schedule / evidence</x:v>
      </x:c>
    </x:row>
    <x:row r="29" ht="48" customHeight="1">
      <x:c r="A29" s="8" t="str">
        <x:v>Funding unit sensitivities</x:v>
      </x:c>
      <x:c r="B29" s="8" t="str">
        <x:v>Open the named worksheet tab. Supporting schedule / evidence</x:v>
      </x:c>
    </x:row>
  </x:sheetData>
  <x:mergeCells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00" hidden="0" customWidth="1"/>
  </x:cols>
  <x:sheetData>
    <x:row r="2" ht="50" customHeight="1">
      <x:c r="A2" s="5" t="str">
        <x:v>Acquisition financing simulator</x:v>
      </x:c>
      <x:c r="B2" s="5" t="str"/>
    </x:row>
    <x:row r="3" ht="50" customHeight="1">
      <x:c r="A3" s="4" t="str">
        <x:v>Recommendation status</x:v>
      </x:c>
      <x:c r="B3" s="4" t="str">
        <x:v>Blocked — insufficient verified evidence.</x:v>
      </x:c>
    </x:row>
    <x:row r="4" ht="50" customHeight="1">
      <x:c r="A4" s="4" t="str">
        <x:v>Preferred actual-company structure</x:v>
      </x:c>
      <x:c r="B4" s="4" t="str">
        <x:v>None</x:v>
      </x:c>
    </x:row>
    <x:row r="5" ht="50" customHeight="1">
      <x:c r="A5" s="4" t="str">
        <x:v>Historical-analysis completion</x:v>
      </x:c>
      <x:c r="B5" s="4" t="str">
        <x:v>Incomplete</x:v>
      </x:c>
    </x:row>
    <x:row r="6" ht="50" customHeight="1">
      <x:c r="A6" s="4" t="str">
        <x:v>Numerical results</x:v>
      </x:c>
      <x:c r="B6" s="4" t="str">
        <x:v>Illustrative scenario analysis — anonymous synthetic companies; not historical results.</x:v>
      </x:c>
    </x:row>
    <x:row r="7" ht="50" customHeight="1">
      <x:c r="A7" s="4" t="str">
        <x:v>Refresh</x:v>
      </x:c>
      <x:c r="B7" s="4" t="str">
        <x:v>Model snapshots. Rerun Python after input/source changes; only displayed formulas recalculate in Excel.</x:v>
      </x:c>
    </x:row>
    <x:row r="8" ht="50" customHeight="1">
      <x:c r="A8" s="4" t="str">
        <x:v>Analysis limitation</x:v>
      </x:c>
      <x:c r="B8" s="4" t="str">
        <x:v>Historical forecasts and preferences require verified material evidence and a reconciled historical model mapping. Synthetic engineering is independent.</x:v>
      </x:c>
    </x:row>
    <x:row r="9" ht="50" customHeight="1">
      <x:c r="A9" s="4" t="str">
        <x:v>Historical results</x:v>
      </x:c>
      <x:c r="B9" s="4" t="str">
        <x:v>Unavailable</x:v>
      </x:c>
    </x:row>
    <x:row r="10" ht="50" customHeight="1">
      <x:c r="A10" s="4" t="str">
        <x:v>Information cutoff</x:v>
      </x:c>
      <x:c r="B10" s="4" t="str">
        <x:v>2025-05-15</x:v>
      </x:c>
    </x:row>
    <x:row r="11" ht="50" customHeight="1">
      <x:c r="A11" s="4" t="str">
        <x:v>Input ID</x:v>
      </x:c>
      <x:c r="B11" s="4" t="str">
        <x:v>1a8ae10f2a4092f161ff409ca06005a491c00e8a8ce70dce6c698b13b2114955</x:v>
      </x:c>
    </x:row>
    <x:row r="12" ht="50" customHeight="1">
      <x:c r="A12" s="4" t="str">
        <x:v>Engineering</x:v>
      </x:c>
      <x:c r="B12" s="4" t="str">
        <x:v>Complete synthetic model run</x:v>
      </x:c>
    </x:row>
    <x:row r="13" ht="50" customHeight="1">
      <x:c r="A13" s="4" t="str">
        <x:v>Illustrative assessment</x:v>
      </x:c>
      <x:c r="B13" s="4" t="str">
        <x:v>Mixed consideration is the only base structure passing all period constraints. It is conditional on accepting its dilution, cash policy and downside outcomes; severe stress may still fail.</x:v>
      </x:c>
    </x:row>
    <x:row r="14" ht="50" customHeight="1">
      <x:c r="A14" s="4" t="str">
        <x:v>Model code ID</x:v>
      </x:c>
      <x:c r="B14" s="4" t="str">
        <x:v>20a7dd97a0e09ba61dc0dbd3fb531de388755fe01c412acfbcadc6bd628536c8</x:v>
      </x:c>
    </x:row>
    <x:row r="15" ht="50" customHeight="1">
      <x:c r="A15" s="4" t="str">
        <x:v>Run ID</x:v>
      </x:c>
      <x:c r="B15" s="4" t="str">
        <x:v>d02f6f67f7892b22b97cca3184d83661989e5620d304886e9300d12d31f93a99</x:v>
      </x:c>
    </x:row>
    <x:row r="16" ht="50" customHeight="1">
      <x:c r="A16" s="4" t="str">
        <x:v>Calculation status</x:v>
      </x:c>
      <x:c r="B16" s="4" t="str">
        <x:v>Synthetic demonstration operational</x:v>
      </x:c>
    </x:row>
    <x:row r="17" ht="50" customHeight="1">
      <x:c r="A17" s="4" t="str">
        <x:v>Selected timing</x:v>
      </x:c>
      <x:c r="B17" s="4" t="str">
        <x:v>Annual</x:v>
      </x:c>
    </x:row>
  </x:sheetData>
  <x:conditionalFormatting sqref="B3:B3">
    <x:cfRule type="containsText" dxfId="0" priority="1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25" hidden="0" customWidth="1"/>
  </x:cols>
  <x:sheetData>
    <x:row r="2" ht="42" customHeight="1">
      <x:c r="A2" s="5" t="str">
        <x:v>Itemised funding</x:v>
      </x:c>
      <x:c r="B2" s="5"/>
      <x:c r="C2" s="5"/>
    </x:row>
    <x:row r="3" ht="42" customHeight="1">
      <x:c r="A3" s="4" t="str">
        <x:v>USD millions. Python snapshots; rerun Python to change assumptions.</x:v>
      </x:c>
      <x:c r="B3" s="4"/>
      <x:c r="C3" s="4"/>
    </x:row>
    <x:row r="4" ht="42" customHeight="1">
      <x:c r="A4" s="7" t="str">
        <x:v>Structure</x:v>
      </x:c>
      <x:c r="B4" s="7" t="str">
        <x:v>Use / source</x:v>
      </x:c>
      <x:c r="C4" s="7" t="str">
        <x:v>USD millions</x:v>
      </x:c>
    </x:row>
    <x:row r="5" ht="36" customHeight="1">
      <x:c r="A5" s="8" t="str">
        <x:v>Cash-first</x:v>
      </x:c>
      <x:c r="B5" s="8" t="str">
        <x:v>Cash consideration</x:v>
      </x:c>
      <x:c r="C5" s="8" t="n">
        <x:v>2040</x:v>
      </x:c>
    </x:row>
    <x:row r="6" ht="36" customHeight="1">
      <x:c r="A6" s="8" t="str">
        <x:v>Cash-first</x:v>
      </x:c>
      <x:c r="B6" s="8" t="str">
        <x:v>Debt principal repaid</x:v>
      </x:c>
      <x:c r="C6" s="8" t="n">
        <x:v>100</x:v>
      </x:c>
    </x:row>
    <x:row r="7" ht="36" customHeight="1">
      <x:c r="A7" s="8" t="str">
        <x:v>Cash-first</x:v>
      </x:c>
      <x:c r="B7" s="8" t="str">
        <x:v>Transaction expenses</x:v>
      </x:c>
      <x:c r="C7" s="8" t="n">
        <x:v>50</x:v>
      </x:c>
    </x:row>
    <x:row r="8" ht="36" customHeight="1">
      <x:c r="A8" s="8" t="str">
        <x:v>Cash-first</x:v>
      </x:c>
      <x:c r="B8" s="8" t="str">
        <x:v>Award settlement reserve</x:v>
      </x:c>
      <x:c r="C8" s="8" t="n">
        <x:v>0</x:v>
      </x:c>
    </x:row>
    <x:row r="9" ht="36" customHeight="1">
      <x:c r="A9" s="8" t="str">
        <x:v>Cash-first</x:v>
      </x:c>
      <x:c r="B9" s="8" t="str">
        <x:v>Redemption premium</x:v>
      </x:c>
      <x:c r="C9" s="8" t="n">
        <x:v>0</x:v>
      </x:c>
    </x:row>
    <x:row r="10" ht="36" customHeight="1">
      <x:c r="A10" s="8" t="str">
        <x:v>Cash-first</x:v>
      </x:c>
      <x:c r="B10" s="8" t="str">
        <x:v>Accrued interest</x:v>
      </x:c>
      <x:c r="C10" s="8" t="n">
        <x:v>0</x:v>
      </x:c>
    </x:row>
    <x:row r="11" ht="36" customHeight="1">
      <x:c r="A11" s="8" t="str">
        <x:v>Cash-first</x:v>
      </x:c>
      <x:c r="B11" s="8" t="str">
        <x:v>Lc collateral reserve</x:v>
      </x:c>
      <x:c r="C11" s="8" t="n">
        <x:v>0</x:v>
      </x:c>
    </x:row>
    <x:row r="12" ht="36" customHeight="1">
      <x:c r="A12" s="8" t="str">
        <x:v>Cash-first</x:v>
      </x:c>
      <x:c r="B12" s="8" t="str">
        <x:v>Other closing uses</x:v>
      </x:c>
      <x:c r="C12" s="8" t="n">
        <x:v>0</x:v>
      </x:c>
    </x:row>
    <x:row r="13" ht="36" customHeight="1">
      <x:c r="A13" s="8" t="str">
        <x:v>Cash-first</x:v>
      </x:c>
      <x:c r="B13" s="8" t="str">
        <x:v>Financing fees</x:v>
      </x:c>
      <x:c r="C13" s="8" t="n">
        <x:v>20.101522842639596</x:v>
      </x:c>
    </x:row>
    <x:row r="14" ht="36" customHeight="1">
      <x:c r="A14" s="8" t="str">
        <x:v>Liquidity-first</x:v>
      </x:c>
      <x:c r="B14" s="8" t="str">
        <x:v>Cash consideration</x:v>
      </x:c>
      <x:c r="C14" s="8" t="n">
        <x:v>2040</x:v>
      </x:c>
    </x:row>
    <x:row r="15" ht="36" customHeight="1">
      <x:c r="A15" s="8" t="str">
        <x:v>Liquidity-first</x:v>
      </x:c>
      <x:c r="B15" s="8" t="str">
        <x:v>Debt principal repaid</x:v>
      </x:c>
      <x:c r="C15" s="8" t="n">
        <x:v>100</x:v>
      </x:c>
    </x:row>
    <x:row r="16" ht="36" customHeight="1">
      <x:c r="A16" s="8" t="str">
        <x:v>Liquidity-first</x:v>
      </x:c>
      <x:c r="B16" s="8" t="str">
        <x:v>Transaction expenses</x:v>
      </x:c>
      <x:c r="C16" s="8" t="n">
        <x:v>50</x:v>
      </x:c>
    </x:row>
    <x:row r="17" ht="36" customHeight="1">
      <x:c r="A17" s="8" t="str">
        <x:v>Liquidity-first</x:v>
      </x:c>
      <x:c r="B17" s="8" t="str">
        <x:v>Award settlement reserve</x:v>
      </x:c>
      <x:c r="C17" s="8" t="n">
        <x:v>0</x:v>
      </x:c>
    </x:row>
    <x:row r="18" ht="36" customHeight="1">
      <x:c r="A18" s="8" t="str">
        <x:v>Liquidity-first</x:v>
      </x:c>
      <x:c r="B18" s="8" t="str">
        <x:v>Redemption premium</x:v>
      </x:c>
      <x:c r="C18" s="8" t="n">
        <x:v>0</x:v>
      </x:c>
    </x:row>
    <x:row r="19" ht="36" customHeight="1">
      <x:c r="A19" s="8" t="str">
        <x:v>Liquidity-first</x:v>
      </x:c>
      <x:c r="B19" s="8" t="str">
        <x:v>Accrued interest</x:v>
      </x:c>
      <x:c r="C19" s="8" t="n">
        <x:v>0</x:v>
      </x:c>
    </x:row>
    <x:row r="20" ht="36" customHeight="1">
      <x:c r="A20" s="8" t="str">
        <x:v>Liquidity-first</x:v>
      </x:c>
      <x:c r="B20" s="8" t="str">
        <x:v>Lc collateral reserve</x:v>
      </x:c>
      <x:c r="C20" s="8" t="n">
        <x:v>0</x:v>
      </x:c>
    </x:row>
    <x:row r="21" ht="36" customHeight="1">
      <x:c r="A21" s="8" t="str">
        <x:v>Liquidity-first</x:v>
      </x:c>
      <x:c r="B21" s="8" t="str">
        <x:v>Other closing uses</x:v>
      </x:c>
      <x:c r="C21" s="8" t="n">
        <x:v>0</x:v>
      </x:c>
    </x:row>
    <x:row r="22" ht="36" customHeight="1">
      <x:c r="A22" s="8" t="str">
        <x:v>Liquidity-first</x:v>
      </x:c>
      <x:c r="B22" s="8" t="str">
        <x:v>Financing fees</x:v>
      </x:c>
      <x:c r="C22" s="8" t="n">
        <x:v>33.3502538071066</x:v>
      </x:c>
    </x:row>
    <x:row r="23" ht="36" customHeight="1">
      <x:c r="A23" s="8" t="str">
        <x:v>Mixed consideration</x:v>
      </x:c>
      <x:c r="B23" s="8" t="str">
        <x:v>Cash consideration</x:v>
      </x:c>
      <x:c r="C23" s="8" t="n">
        <x:v>1020</x:v>
      </x:c>
    </x:row>
    <x:row r="24" ht="36" customHeight="1">
      <x:c r="A24" s="8" t="str">
        <x:v>Mixed consideration</x:v>
      </x:c>
      <x:c r="B24" s="8" t="str">
        <x:v>Debt principal repaid</x:v>
      </x:c>
      <x:c r="C24" s="8" t="n">
        <x:v>100</x:v>
      </x:c>
    </x:row>
    <x:row r="25" ht="36" customHeight="1">
      <x:c r="A25" s="8" t="str">
        <x:v>Mixed consideration</x:v>
      </x:c>
      <x:c r="B25" s="8" t="str">
        <x:v>Transaction expenses</x:v>
      </x:c>
      <x:c r="C25" s="8" t="n">
        <x:v>50</x:v>
      </x:c>
    </x:row>
    <x:row r="26" ht="36" customHeight="1">
      <x:c r="A26" s="8" t="str">
        <x:v>Mixed consideration</x:v>
      </x:c>
      <x:c r="B26" s="8" t="str">
        <x:v>Award settlement reserve</x:v>
      </x:c>
      <x:c r="C26" s="8" t="n">
        <x:v>0</x:v>
      </x:c>
    </x:row>
    <x:row r="27" ht="36" customHeight="1">
      <x:c r="A27" s="8" t="str">
        <x:v>Mixed consideration</x:v>
      </x:c>
      <x:c r="B27" s="8" t="str">
        <x:v>Redemption premium</x:v>
      </x:c>
      <x:c r="C27" s="8" t="n">
        <x:v>0</x:v>
      </x:c>
    </x:row>
    <x:row r="28" ht="36" customHeight="1">
      <x:c r="A28" s="8" t="str">
        <x:v>Mixed consideration</x:v>
      </x:c>
      <x:c r="B28" s="8" t="str">
        <x:v>Accrued interest</x:v>
      </x:c>
      <x:c r="C28" s="8" t="n">
        <x:v>0</x:v>
      </x:c>
    </x:row>
    <x:row r="29" ht="36" customHeight="1">
      <x:c r="A29" s="8" t="str">
        <x:v>Mixed consideration</x:v>
      </x:c>
      <x:c r="B29" s="8" t="str">
        <x:v>Lc collateral reserve</x:v>
      </x:c>
      <x:c r="C29" s="8" t="n">
        <x:v>0</x:v>
      </x:c>
    </x:row>
    <x:row r="30" ht="36" customHeight="1">
      <x:c r="A30" s="8" t="str">
        <x:v>Mixed consideration</x:v>
      </x:c>
      <x:c r="B30" s="8" t="str">
        <x:v>Other closing uses</x:v>
      </x:c>
      <x:c r="C30" s="8" t="n">
        <x:v>0</x:v>
      </x:c>
    </x:row>
    <x:row r="31" ht="36" customHeight="1">
      <x:c r="A31" s="8" t="str">
        <x:v>Mixed consideration</x:v>
      </x:c>
      <x:c r="B31" s="8" t="str">
        <x:v>Financing fees</x:v>
      </x:c>
      <x:c r="C31" s="8" t="n">
        <x:v>4.568527918781726</x:v>
      </x:c>
    </x:row>
    <x:row r="32" ht="36" customHeight="1">
      <x:c r="A32" s="8" t="str">
        <x:v>Cash-first</x:v>
      </x:c>
      <x:c r="B32" s="8" t="str">
        <x:v>Cash uses</x:v>
      </x:c>
      <x:c r="C32" s="8" t="n">
        <x:v>2210.1015228426395</x:v>
      </x:c>
    </x:row>
    <x:row r="33" ht="36" customHeight="1">
      <x:c r="A33" s="8" t="str">
        <x:v>Cash-first</x:v>
      </x:c>
      <x:c r="B33" s="8" t="str">
        <x:v>Cash contribution</x:v>
      </x:c>
      <x:c r="C33" s="8" t="n">
        <x:v>870</x:v>
      </x:c>
    </x:row>
    <x:row r="34" ht="36" customHeight="1">
      <x:c r="A34" s="8" t="str">
        <x:v>Cash-first</x:v>
      </x:c>
      <x:c r="B34" s="8" t="str">
        <x:v>Total new borrowing</x:v>
      </x:c>
      <x:c r="C34" s="8" t="n">
        <x:v>1340.1015228426397</x:v>
      </x:c>
    </x:row>
    <x:row r="35" ht="36" customHeight="1">
      <x:c r="A35" s="8" t="str">
        <x:v>Cash-first</x:v>
      </x:c>
      <x:c r="B35" s="8" t="str">
        <x:v>Analytical equity</x:v>
      </x:c>
      <x:c r="C35" s="8" t="n">
        <x:v>0</x:v>
      </x:c>
    </x:row>
    <x:row r="36" ht="36" customHeight="1">
      <x:c r="A36" s="8" t="str">
        <x:v>Cash-first</x:v>
      </x:c>
      <x:c r="B36" s="8" t="str">
        <x:v>Sources uses difference</x:v>
      </x:c>
      <x:c r="C36" s="8" t="n">
        <x:v>0</x:v>
      </x:c>
    </x:row>
    <x:row r="37" ht="36" customHeight="1">
      <x:c r="A37" s="8" t="str">
        <x:v>Liquidity-first</x:v>
      </x:c>
      <x:c r="B37" s="8" t="str">
        <x:v>Cash uses</x:v>
      </x:c>
      <x:c r="C37" s="8" t="n">
        <x:v>2223.3502538071066</x:v>
      </x:c>
    </x:row>
    <x:row r="38" ht="36" customHeight="1">
      <x:c r="A38" s="8" t="str">
        <x:v>Liquidity-first</x:v>
      </x:c>
      <x:c r="B38" s="8" t="str">
        <x:v>Cash contribution</x:v>
      </x:c>
      <x:c r="C38" s="8" t="n">
        <x:v>0</x:v>
      </x:c>
    </x:row>
    <x:row r="39" ht="36" customHeight="1">
      <x:c r="A39" s="8" t="str">
        <x:v>Liquidity-first</x:v>
      </x:c>
      <x:c r="B39" s="8" t="str">
        <x:v>Total new borrowing</x:v>
      </x:c>
      <x:c r="C39" s="8" t="n">
        <x:v>2223.3502538071066</x:v>
      </x:c>
    </x:row>
    <x:row r="40" ht="36" customHeight="1">
      <x:c r="A40" s="8" t="str">
        <x:v>Liquidity-first</x:v>
      </x:c>
      <x:c r="B40" s="8" t="str">
        <x:v>Analytical equity</x:v>
      </x:c>
      <x:c r="C40" s="8" t="n">
        <x:v>0</x:v>
      </x:c>
    </x:row>
    <x:row r="41" ht="36" customHeight="1">
      <x:c r="A41" s="8" t="str">
        <x:v>Liquidity-first</x:v>
      </x:c>
      <x:c r="B41" s="8" t="str">
        <x:v>Sources uses difference</x:v>
      </x:c>
      <x:c r="C41" s="8" t="n">
        <x:v>0</x:v>
      </x:c>
    </x:row>
    <x:row r="42" ht="36" customHeight="1">
      <x:c r="A42" s="8" t="str">
        <x:v>Mixed consideration</x:v>
      </x:c>
      <x:c r="B42" s="8" t="str">
        <x:v>Cash uses</x:v>
      </x:c>
      <x:c r="C42" s="8" t="n">
        <x:v>1174.5685279187817</x:v>
      </x:c>
    </x:row>
    <x:row r="43" ht="36" customHeight="1">
      <x:c r="A43" s="8" t="str">
        <x:v>Mixed consideration</x:v>
      </x:c>
      <x:c r="B43" s="8" t="str">
        <x:v>Cash contribution</x:v>
      </x:c>
      <x:c r="C43" s="8" t="n">
        <x:v>870</x:v>
      </x:c>
    </x:row>
    <x:row r="44" ht="36" customHeight="1">
      <x:c r="A44" s="8" t="str">
        <x:v>Mixed consideration</x:v>
      </x:c>
      <x:c r="B44" s="8" t="str">
        <x:v>Total new borrowing</x:v>
      </x:c>
      <x:c r="C44" s="8" t="n">
        <x:v>304.56852791878174</x:v>
      </x:c>
    </x:row>
    <x:row r="45" ht="36" customHeight="1">
      <x:c r="A45" s="8" t="str">
        <x:v>Mixed consideration</x:v>
      </x:c>
      <x:c r="B45" s="8" t="str">
        <x:v>Analytical equity</x:v>
      </x:c>
      <x:c r="C45" s="8" t="n">
        <x:v>0</x:v>
      </x:c>
    </x:row>
    <x:row r="46" ht="36" customHeight="1">
      <x:c r="A46" s="8" t="str">
        <x:v>Mixed consideration</x:v>
      </x:c>
      <x:c r="B46" s="8" t="str">
        <x:v>Sources uses difference</x:v>
      </x:c>
      <x:c r="C46" s="8" t="n">
        <x:v>0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24" hidden="0" customWidth="1"/>
    <x:col min="5" max="5" width="25" hidden="0" customWidth="1"/>
    <x:col min="6" max="6" width="65" hidden="0" customWidth="1"/>
  </x:cols>
  <x:sheetData>
    <x:row r="2" ht="42" customHeight="1">
      <x:c r="A2" s="5" t="str">
        <x:v>Timing and capacity</x:v>
      </x:c>
      <x:c r="B2" s="5"/>
      <x:c r="C2" s="5"/>
      <x:c r="D2" s="5"/>
      <x:c r="E2" s="5"/>
      <x:c r="F2" s="5"/>
    </x:row>
    <x:row r="3" ht="42" customHeight="1">
      <x:c r="A3" s="4" t="str">
        <x:v>USD millions. Python snapshots; rerun Python to change assumptions.</x:v>
      </x:c>
      <x:c r="B3" s="4"/>
      <x:c r="C3" s="4"/>
      <x:c r="D3" s="4"/>
      <x:c r="E3" s="4"/>
      <x:c r="F3" s="4"/>
    </x:row>
    <x:row r="4" ht="42" customHeight="1">
      <x:c r="A4" s="7" t="str">
        <x:v>Timing</x:v>
      </x:c>
      <x:c r="B4" s="7" t="str">
        <x:v>Structure</x:v>
      </x:c>
      <x:c r="C4" s="7" t="str">
        <x:v>Acquisition debt</x:v>
      </x:c>
      <x:c r="D4" s="7" t="str">
        <x:v>Residual equity</x:v>
      </x:c>
      <x:c r="E4" s="7" t="str">
        <x:v>Fee convention</x:v>
      </x:c>
      <x:c r="F4" s="7" t="str">
        <x:v>Constraint</x:v>
      </x:c>
    </x:row>
    <x:row r="5" ht="36" customHeight="1">
      <x:c r="A5" s="8" t="str">
        <x:v>Annual</x:v>
      </x:c>
      <x:c r="B5" s="8" t="str">
        <x:v>Cash-first</x:v>
      </x:c>
      <x:c r="C5" s="8" t="n">
        <x:v>948</x:v>
      </x:c>
      <x:c r="D5" s="8" t="n">
        <x:v>222</x:v>
      </x:c>
      <x:c r="E5" s="8" t="str">
        <x:v>fixed_budget</x:v>
      </x:c>
      <x:c r="F5" s="8" t="str">
        <x:v>Cash at year 5, period 5</x:v>
      </x:c>
    </x:row>
    <x:row r="6" ht="36" customHeight="1">
      <x:c r="A6" s="8" t="str">
        <x:v>Annual</x:v>
      </x:c>
      <x:c r="B6" s="8" t="str">
        <x:v>Liquidity-first</x:v>
      </x:c>
      <x:c r="C6" s="8" t="n">
        <x:v>1764</x:v>
      </x:c>
      <x:c r="D6" s="8" t="n">
        <x:v>276</x:v>
      </x:c>
      <x:c r="E6" s="8" t="str">
        <x:v>fixed_budget</x:v>
      </x:c>
      <x:c r="F6" s="8" t="str">
        <x:v>Cash at year 5, period 5</x:v>
      </x:c>
    </x:row>
    <x:row r="7" ht="36" customHeight="1">
      <x:c r="A7" s="8" t="str">
        <x:v>Annual</x:v>
      </x:c>
      <x:c r="B7" s="8" t="str">
        <x:v>Mixed consideration</x:v>
      </x:c>
      <x:c r="C7" s="8" t="n">
        <x:v>150</x:v>
      </x:c>
      <x:c r="D7" s="8" t="n">
        <x:v>0</x:v>
      </x:c>
      <x:c r="E7" s="8" t="str">
        <x:v>fixed_budget</x:v>
      </x:c>
      <x:c r="F7" s="8" t="str">
        <x:v>No limiting breach at tested funding bound</x:v>
      </x:c>
    </x:row>
    <x:row r="8" ht="36" customHeight="1">
      <x:c r="A8" s="8" t="str">
        <x:v>Quarterly</x:v>
      </x:c>
      <x:c r="B8" s="8" t="str">
        <x:v>Cash-first</x:v>
      </x:c>
      <x:c r="C8" s="8" t="n">
        <x:v>928</x:v>
      </x:c>
      <x:c r="D8" s="8" t="n">
        <x:v>242</x:v>
      </x:c>
      <x:c r="E8" s="8" t="str">
        <x:v>fixed_budget</x:v>
      </x:c>
      <x:c r="F8" s="8" t="str">
        <x:v>Cash at year 5, period 20</x:v>
      </x:c>
    </x:row>
    <x:row r="9" ht="36" customHeight="1">
      <x:c r="A9" s="8" t="str">
        <x:v>Quarterly</x:v>
      </x:c>
      <x:c r="B9" s="8" t="str">
        <x:v>Liquidity-first</x:v>
      </x:c>
      <x:c r="C9" s="8" t="n">
        <x:v>1774</x:v>
      </x:c>
      <x:c r="D9" s="8" t="n">
        <x:v>266</x:v>
      </x:c>
      <x:c r="E9" s="8" t="str">
        <x:v>fixed_budget</x:v>
      </x:c>
      <x:c r="F9" s="8" t="str">
        <x:v>Cash at year 5, period 20</x:v>
      </x:c>
    </x:row>
    <x:row r="10" ht="36" customHeight="1">
      <x:c r="A10" s="8" t="str">
        <x:v>Quarterly</x:v>
      </x:c>
      <x:c r="B10" s="8" t="str">
        <x:v>Mixed consideration</x:v>
      </x:c>
      <x:c r="C10" s="8" t="n">
        <x:v>150</x:v>
      </x:c>
      <x:c r="D10" s="8" t="n">
        <x:v>0</x:v>
      </x:c>
      <x:c r="E10" s="8" t="str">
        <x:v>fixed_budget</x:v>
      </x:c>
      <x:c r="F10" s="8" t="str">
        <x:v>No limiting breach at tested funding bound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2" ht="42" customHeight="1">
      <x:c r="A2" s="5" t="str">
        <x:v>Model checks</x:v>
      </x:c>
      <x:c r="B2" s="5"/>
      <x:c r="C2" s="5"/>
      <x:c r="D2" s="5"/>
      <x:c r="E2" s="5"/>
      <x:c r="F2" s="5"/>
    </x:row>
    <x:row r="3" ht="42" customHeight="1">
      <x:c r="A3" s="4" t="str">
        <x:v>USD millions. Python snapshots; rerun Python to change assumptions.</x:v>
      </x:c>
      <x:c r="B3" s="4"/>
      <x:c r="C3" s="4"/>
      <x:c r="D3" s="4"/>
      <x:c r="E3" s="4"/>
      <x:c r="F3" s="4"/>
    </x:row>
    <x:row r="4" ht="42" customHeight="1">
      <x:c r="A4" s="7" t="str">
        <x:v>Structure</x:v>
      </x:c>
      <x:c r="B4" s="7" t="str">
        <x:v>Period end</x:v>
      </x:c>
      <x:c r="C4" s="7" t="str">
        <x:v>Sources less uses</x:v>
      </x:c>
      <x:c r="D4" s="7" t="str">
        <x:v>Cash rollforward</x:v>
      </x:c>
      <x:c r="E4" s="7" t="str">
        <x:v>Debt rollforward</x:v>
      </x:c>
      <x:c r="F4" s="7" t="str">
        <x:v>Timing</x:v>
      </x:c>
    </x:row>
    <x:row r="5" ht="36" customHeight="1">
      <x:c r="A5" s="8" t="str">
        <x:v>Cash-first</x:v>
      </x:c>
      <x:c r="B5" s="8" t="str">
        <x:v>2026-11-01</x:v>
      </x:c>
      <x:c r="C5" s="8" t="n">
        <x:v>0</x:v>
      </x:c>
      <x:c r="D5" s="8" t="n">
        <x:v>2.2737367544323206e-13</x:v>
      </x:c>
      <x:c r="E5" s="8" t="n">
        <x:v>0</x:v>
      </x:c>
      <x:c r="F5" s="8" t="str">
        <x:v>Annual</x:v>
      </x:c>
    </x:row>
    <x:row r="6" ht="36" customHeight="1">
      <x:c r="A6" s="8" t="str">
        <x:v>Cash-first</x:v>
      </x:c>
      <x:c r="B6" s="8" t="str">
        <x:v>2027-11-01</x:v>
      </x:c>
      <x:c r="C6" s="8" t="n">
        <x:v>0</x:v>
      </x:c>
      <x:c r="D6" s="8" t="n">
        <x:v>2.2737367544323206e-13</x:v>
      </x:c>
      <x:c r="E6" s="8" t="n">
        <x:v>-2.2737367544323206e-13</x:v>
      </x:c>
      <x:c r="F6" s="8" t="str">
        <x:v>Annual</x:v>
      </x:c>
    </x:row>
    <x:row r="7" ht="36" customHeight="1">
      <x:c r="A7" s="8" t="str">
        <x:v>Cash-first</x:v>
      </x:c>
      <x:c r="B7" s="8" t="str">
        <x:v>2028-11-01</x:v>
      </x:c>
      <x:c r="C7" s="8" t="n">
        <x:v>0</x:v>
      </x:c>
      <x:c r="D7" s="8" t="n">
        <x:v>-4.547473508864641e-13</x:v>
      </x:c>
      <x:c r="E7" s="8" t="n">
        <x:v>0</x:v>
      </x:c>
      <x:c r="F7" s="8" t="str">
        <x:v>Annual</x:v>
      </x:c>
    </x:row>
    <x:row r="8" ht="36" customHeight="1">
      <x:c r="A8" s="8" t="str">
        <x:v>Cash-first</x:v>
      </x:c>
      <x:c r="B8" s="8" t="str">
        <x:v>2029-11-01</x:v>
      </x:c>
      <x:c r="C8" s="8" t="n">
        <x:v>0</x:v>
      </x:c>
      <x:c r="D8" s="8" t="n">
        <x:v>2.2737367544323206e-13</x:v>
      </x:c>
      <x:c r="E8" s="8" t="n">
        <x:v>0</x:v>
      </x:c>
      <x:c r="F8" s="8" t="str">
        <x:v>Annual</x:v>
      </x:c>
    </x:row>
    <x:row r="9" ht="36" customHeight="1">
      <x:c r="A9" s="8" t="str">
        <x:v>Cash-first</x:v>
      </x:c>
      <x:c r="B9" s="8" t="str">
        <x:v>2030-11-01</x:v>
      </x:c>
      <x:c r="C9" s="8" t="n">
        <x:v>0</x:v>
      </x:c>
      <x:c r="D9" s="8" t="n">
        <x:v>0</x:v>
      </x:c>
      <x:c r="E9" s="8" t="n">
        <x:v>0</x:v>
      </x:c>
      <x:c r="F9" s="8" t="str">
        <x:v>Annual</x:v>
      </x:c>
    </x:row>
    <x:row r="10" ht="36" customHeight="1">
      <x:c r="A10" s="8" t="str">
        <x:v>Liquidity-first</x:v>
      </x:c>
      <x:c r="B10" s="8" t="str">
        <x:v>2026-11-01</x:v>
      </x:c>
      <x:c r="C10" s="8" t="n">
        <x:v>0</x:v>
      </x:c>
      <x:c r="D10" s="8" t="n">
        <x:v>0</x:v>
      </x:c>
      <x:c r="E10" s="8" t="n">
        <x:v>0</x:v>
      </x:c>
      <x:c r="F10" s="8" t="str">
        <x:v>Annual</x:v>
      </x:c>
    </x:row>
    <x:row r="11" ht="36" customHeight="1">
      <x:c r="A11" s="8" t="str">
        <x:v>Liquidity-first</x:v>
      </x:c>
      <x:c r="B11" s="8" t="str">
        <x:v>2027-11-01</x:v>
      </x:c>
      <x:c r="C11" s="8" t="n">
        <x:v>0</x:v>
      </x:c>
      <x:c r="D11" s="8" t="n">
        <x:v>0</x:v>
      </x:c>
      <x:c r="E11" s="8" t="n">
        <x:v>-4.547473508864641e-13</x:v>
      </x:c>
      <x:c r="F11" s="8" t="str">
        <x:v>Annual</x:v>
      </x:c>
    </x:row>
    <x:row r="12" ht="36" customHeight="1">
      <x:c r="A12" s="8" t="str">
        <x:v>Liquidity-first</x:v>
      </x:c>
      <x:c r="B12" s="8" t="str">
        <x:v>2028-11-01</x:v>
      </x:c>
      <x:c r="C12" s="8" t="n">
        <x:v>0</x:v>
      </x:c>
      <x:c r="D12" s="8" t="n">
        <x:v>2.2737367544323206e-13</x:v>
      </x:c>
      <x:c r="E12" s="8" t="n">
        <x:v>0</x:v>
      </x:c>
      <x:c r="F12" s="8" t="str">
        <x:v>Annual</x:v>
      </x:c>
    </x:row>
    <x:row r="13" ht="36" customHeight="1">
      <x:c r="A13" s="8" t="str">
        <x:v>Liquidity-first</x:v>
      </x:c>
      <x:c r="B13" s="8" t="str">
        <x:v>2029-11-01</x:v>
      </x:c>
      <x:c r="C13" s="8" t="n">
        <x:v>0</x:v>
      </x:c>
      <x:c r="D13" s="8" t="n">
        <x:v>-4.547473508864641e-13</x:v>
      </x:c>
      <x:c r="E13" s="8" t="n">
        <x:v>0</x:v>
      </x:c>
      <x:c r="F13" s="8" t="str">
        <x:v>Annual</x:v>
      </x:c>
    </x:row>
    <x:row r="14" ht="36" customHeight="1">
      <x:c r="A14" s="8" t="str">
        <x:v>Liquidity-first</x:v>
      </x:c>
      <x:c r="B14" s="8" t="str">
        <x:v>2030-11-01</x:v>
      </x:c>
      <x:c r="C14" s="8" t="n">
        <x:v>0</x:v>
      </x:c>
      <x:c r="D14" s="8" t="n">
        <x:v>0</x:v>
      </x:c>
      <x:c r="E14" s="8" t="n">
        <x:v>0</x:v>
      </x:c>
      <x:c r="F14" s="8" t="str">
        <x:v>Annual</x:v>
      </x:c>
    </x:row>
    <x:row r="15" ht="36" customHeight="1">
      <x:c r="A15" s="8" t="str">
        <x:v>Mixed consideration</x:v>
      </x:c>
      <x:c r="B15" s="8" t="str">
        <x:v>2026-11-01</x:v>
      </x:c>
      <x:c r="C15" s="8" t="n">
        <x:v>0</x:v>
      </x:c>
      <x:c r="D15" s="8" t="n">
        <x:v>0</x:v>
      </x:c>
      <x:c r="E15" s="8" t="n">
        <x:v>2.2737367544323206e-13</x:v>
      </x:c>
      <x:c r="F15" s="8" t="str">
        <x:v>Annual</x:v>
      </x:c>
    </x:row>
    <x:row r="16" ht="36" customHeight="1">
      <x:c r="A16" s="8" t="str">
        <x:v>Mixed consideration</x:v>
      </x:c>
      <x:c r="B16" s="8" t="str">
        <x:v>2027-11-01</x:v>
      </x:c>
      <x:c r="C16" s="8" t="n">
        <x:v>0</x:v>
      </x:c>
      <x:c r="D16" s="8" t="n">
        <x:v>0</x:v>
      </x:c>
      <x:c r="E16" s="8" t="n">
        <x:v>0</x:v>
      </x:c>
      <x:c r="F16" s="8" t="str">
        <x:v>Annual</x:v>
      </x:c>
    </x:row>
    <x:row r="17" ht="36" customHeight="1">
      <x:c r="A17" s="8" t="str">
        <x:v>Mixed consideration</x:v>
      </x:c>
      <x:c r="B17" s="8" t="str">
        <x:v>2028-11-01</x:v>
      </x:c>
      <x:c r="C17" s="8" t="n">
        <x:v>0</x:v>
      </x:c>
      <x:c r="D17" s="8" t="n">
        <x:v>-2.2737367544323206e-13</x:v>
      </x:c>
      <x:c r="E17" s="8" t="n">
        <x:v>0</x:v>
      </x:c>
      <x:c r="F17" s="8" t="str">
        <x:v>Annual</x:v>
      </x:c>
    </x:row>
    <x:row r="18" ht="36" customHeight="1">
      <x:c r="A18" s="8" t="str">
        <x:v>Mixed consideration</x:v>
      </x:c>
      <x:c r="B18" s="8" t="str">
        <x:v>2029-11-01</x:v>
      </x:c>
      <x:c r="C18" s="8" t="n">
        <x:v>0</x:v>
      </x:c>
      <x:c r="D18" s="8" t="n">
        <x:v>-2.2737367544323206e-13</x:v>
      </x:c>
      <x:c r="E18" s="8" t="n">
        <x:v>0</x:v>
      </x:c>
      <x:c r="F18" s="8" t="str">
        <x:v>Annual</x:v>
      </x:c>
    </x:row>
    <x:row r="19" ht="36" customHeight="1">
      <x:c r="A19" s="8" t="str">
        <x:v>Mixed consideration</x:v>
      </x:c>
      <x:c r="B19" s="8" t="str">
        <x:v>2030-11-01</x:v>
      </x:c>
      <x:c r="C19" s="8" t="n">
        <x:v>0</x:v>
      </x:c>
      <x:c r="D19" s="8" t="n">
        <x:v>2.2737367544323206e-13</x:v>
      </x:c>
      <x:c r="E19" s="8" t="n">
        <x:v>0</x:v>
      </x:c>
      <x:c r="F19" s="8" t="str">
        <x:v>Annual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5" hidden="0" customWidth="1"/>
    <x:col min="2" max="2" width="75" hidden="0" customWidth="1"/>
  </x:cols>
  <x:sheetData>
    <x:row r="2" ht="42" customHeight="1">
      <x:c r="A2" s="5" t="str">
        <x:v>Fictional Atlas / Beacon - illustrative only | Assumptions</x:v>
      </x:c>
      <x:c r="B2" s="5"/>
    </x:row>
    <x:row r="3" ht="42" customHeight="1">
      <x:c r="A3" s="4" t="str">
        <x:v>USD millions unless stated. Python snapshots; formula calculations are explicitly shown.</x:v>
      </x:c>
      <x:c r="B3" s="4"/>
    </x:row>
    <x:row r="4" ht="42" customHeight="1">
      <x:c r="A4" s="7" t="str">
        <x:v>Input / future choice</x:v>
      </x:c>
      <x:c r="B4" s="7" t="str">
        <x:v>Value</x:v>
      </x:c>
    </x:row>
    <x:row r="5" ht="36" customHeight="1">
      <x:c r="A5" s="17" t="str">
        <x:v>closing_date</x:v>
      </x:c>
      <x:c r="B5" s="18" t="str">
        <x:v>2025-11-01</x:v>
      </x:c>
    </x:row>
    <x:row r="6" ht="36" customHeight="1">
      <x:c r="A6" s="17" t="str">
        <x:v>companies[0].capex_ratio</x:v>
      </x:c>
      <x:c r="B6" s="18" t="n">
        <x:v>0.035</x:v>
      </x:c>
    </x:row>
    <x:row r="7" ht="36" customHeight="1">
      <x:c r="A7" s="17" t="str">
        <x:v>companies[0].cash</x:v>
      </x:c>
      <x:c r="B7" s="18" t="n">
        <x:v>1600</x:v>
      </x:c>
    </x:row>
    <x:row r="8" ht="36" customHeight="1">
      <x:c r="A8" s="17" t="str">
        <x:v>companies[0].cash_bridge.buybacks</x:v>
      </x:c>
      <x:c r="B8" s="18" t="n">
        <x:v>0</x:v>
      </x:c>
    </x:row>
    <x:row r="9" ht="36" customHeight="1">
      <x:c r="A9" s="17" t="str">
        <x:v>companies[0].cash_bridge.capex</x:v>
      </x:c>
      <x:c r="B9" s="18" t="n">
        <x:v>80</x:v>
      </x:c>
    </x:row>
    <x:row r="10" ht="36" customHeight="1">
      <x:c r="A10" s="17" t="str">
        <x:v>companies[0].cash_bridge.dividends</x:v>
      </x:c>
      <x:c r="B10" s="18" t="n">
        <x:v>20</x:v>
      </x:c>
    </x:row>
    <x:row r="11" ht="36" customHeight="1">
      <x:c r="A11" s="17" t="str">
        <x:v>companies[0].cash_bridge.operating</x:v>
      </x:c>
      <x:c r="B11" s="18" t="n">
        <x:v>120</x:v>
      </x:c>
    </x:row>
    <x:row r="12" ht="36" customHeight="1">
      <x:c r="A12" s="17" t="str">
        <x:v>companies[0].da_ratio</x:v>
      </x:c>
      <x:c r="B12" s="18" t="n">
        <x:v>0.025</x:v>
      </x:c>
    </x:row>
    <x:row r="13" ht="36" customHeight="1">
      <x:c r="A13" s="17" t="str">
        <x:v>companies[0].debts[0].amortisation</x:v>
      </x:c>
      <x:c r="B13" s="18" t="n">
        <x:v>0</x:v>
      </x:c>
    </x:row>
    <x:row r="14" ht="36" customHeight="1">
      <x:c r="A14" s="17" t="str">
        <x:v>companies[0].debts[0].carrying_value</x:v>
      </x:c>
      <x:c r="B14" s="18" t="n">
        <x:v>898</x:v>
      </x:c>
    </x:row>
    <x:row r="15" ht="36" customHeight="1">
      <x:c r="A15" s="17" t="str">
        <x:v>companies[0].debts[0].id</x:v>
      </x:c>
      <x:c r="B15" s="18" t="str">
        <x:v>Atlas notes</x:v>
      </x:c>
    </x:row>
    <x:row r="16" ht="36" customHeight="1">
      <x:c r="A16" s="17" t="str">
        <x:v>companies[0].debts[0].kind</x:v>
      </x:c>
      <x:c r="B16" s="18" t="str">
        <x:v>fixed</x:v>
      </x:c>
    </x:row>
    <x:row r="17" ht="36" customHeight="1">
      <x:c r="A17" s="17" t="str">
        <x:v>companies[0].debts[0].maturity</x:v>
      </x:c>
      <x:c r="B17" s="18" t="n">
        <x:v>4</x:v>
      </x:c>
    </x:row>
    <x:row r="18" ht="36" customHeight="1">
      <x:c r="A18" s="17" t="str">
        <x:v>companies[0].debts[0].optional</x:v>
      </x:c>
      <x:c r="B18" s="19" t="b">
        <x:v>1</x:v>
      </x:c>
    </x:row>
    <x:row r="19" ht="36" customHeight="1">
      <x:c r="A19" s="17" t="str">
        <x:v>companies[0].debts[0].preclose_repayment</x:v>
      </x:c>
      <x:c r="B19" s="18" t="n">
        <x:v>0</x:v>
      </x:c>
    </x:row>
    <x:row r="20" ht="36" customHeight="1">
      <x:c r="A20" s="17" t="str">
        <x:v>companies[0].debts[0].principal</x:v>
      </x:c>
      <x:c r="B20" s="18" t="n">
        <x:v>900</x:v>
      </x:c>
    </x:row>
    <x:row r="21" ht="36" customHeight="1">
      <x:c r="A21" s="17" t="str">
        <x:v>companies[0].debts[0].rate</x:v>
      </x:c>
      <x:c r="B21" s="18" t="n">
        <x:v>0.038</x:v>
      </x:c>
    </x:row>
    <x:row r="22" ht="36" customHeight="1">
      <x:c r="A22" s="17" t="str">
        <x:v>companies[0].debts[0].repay_at_close</x:v>
      </x:c>
      <x:c r="B22" s="19" t="b">
        <x:v>0</x:v>
      </x:c>
    </x:row>
    <x:row r="23" ht="36" customHeight="1">
      <x:c r="A23" s="17" t="str">
        <x:v>companies[0].debts[0].spread</x:v>
      </x:c>
      <x:c r="B23" s="18" t="n">
        <x:v>0.018</x:v>
      </x:c>
    </x:row>
    <x:row r="24" ht="36" customHeight="1">
      <x:c r="A24" s="17" t="str">
        <x:v>companies[0].debts[1].amortisation</x:v>
      </x:c>
      <x:c r="B24" s="18" t="n">
        <x:v>0.2</x:v>
      </x:c>
    </x:row>
    <x:row r="25" ht="36" customHeight="1">
      <x:c r="A25" s="17" t="str">
        <x:v>companies[0].debts[1].carrying_value</x:v>
      </x:c>
      <x:c r="B25" s="18" t="n">
        <x:v>78</x:v>
      </x:c>
    </x:row>
    <x:row r="26" ht="36" customHeight="1">
      <x:c r="A26" s="17" t="str">
        <x:v>companies[0].debts[1].finance_lease</x:v>
      </x:c>
      <x:c r="B26" s="19" t="b">
        <x:v>1</x:v>
      </x:c>
    </x:row>
    <x:row r="27" ht="36" customHeight="1">
      <x:c r="A27" s="17" t="str">
        <x:v>companies[0].debts[1].id</x:v>
      </x:c>
      <x:c r="B27" s="18" t="str">
        <x:v>Atlas finance lease</x:v>
      </x:c>
    </x:row>
    <x:row r="28" ht="36" customHeight="1">
      <x:c r="A28" s="17" t="str">
        <x:v>companies[0].debts[1].kind</x:v>
      </x:c>
      <x:c r="B28" s="18" t="str">
        <x:v>fixed</x:v>
      </x:c>
    </x:row>
    <x:row r="29" ht="36" customHeight="1">
      <x:c r="A29" s="17" t="str">
        <x:v>companies[0].debts[1].maturity</x:v>
      </x:c>
      <x:c r="B29" s="18" t="n">
        <x:v>5</x:v>
      </x:c>
    </x:row>
    <x:row r="30" ht="36" customHeight="1">
      <x:c r="A30" s="17" t="str">
        <x:v>companies[0].debts[1].optional</x:v>
      </x:c>
      <x:c r="B30" s="19" t="b">
        <x:v>1</x:v>
      </x:c>
    </x:row>
    <x:row r="31" ht="36" customHeight="1">
      <x:c r="A31" s="17" t="str">
        <x:v>companies[0].debts[1].preclose_repayment</x:v>
      </x:c>
      <x:c r="B31" s="18" t="n">
        <x:v>0</x:v>
      </x:c>
    </x:row>
    <x:row r="32" ht="36" customHeight="1">
      <x:c r="A32" s="17" t="str">
        <x:v>companies[0].debts[1].principal</x:v>
      </x:c>
      <x:c r="B32" s="18" t="n">
        <x:v>80</x:v>
      </x:c>
    </x:row>
    <x:row r="33" ht="36" customHeight="1">
      <x:c r="A33" s="17" t="str">
        <x:v>companies[0].debts[1].rate</x:v>
      </x:c>
      <x:c r="B33" s="18" t="n">
        <x:v>0.05</x:v>
      </x:c>
    </x:row>
    <x:row r="34" ht="36" customHeight="1">
      <x:c r="A34" s="17" t="str">
        <x:v>companies[0].debts[1].repay_at_close</x:v>
      </x:c>
      <x:c r="B34" s="19" t="b">
        <x:v>0</x:v>
      </x:c>
    </x:row>
    <x:row r="35" ht="36" customHeight="1">
      <x:c r="A35" s="17" t="str">
        <x:v>companies[0].debts[1].spread</x:v>
      </x:c>
      <x:c r="B35" s="18" t="n">
        <x:v>0.018</x:v>
      </x:c>
    </x:row>
    <x:row r="36" ht="36" customHeight="1">
      <x:c r="A36" s="17" t="str">
        <x:v>companies[0].dio</x:v>
      </x:c>
      <x:c r="B36" s="18" t="n">
        <x:v>75</x:v>
      </x:c>
    </x:row>
    <x:row r="37" ht="36" customHeight="1">
      <x:c r="A37" s="17" t="str">
        <x:v>companies[0].dpo</x:v>
      </x:c>
      <x:c r="B37" s="18" t="n">
        <x:v>40</x:v>
      </x:c>
    </x:row>
    <x:row r="38" ht="36" customHeight="1">
      <x:c r="A38" s="17" t="str">
        <x:v>companies[0].dso</x:v>
      </x:c>
      <x:c r="B38" s="18" t="n">
        <x:v>5</x:v>
      </x:c>
    </x:row>
    <x:row r="39" ht="36" customHeight="1">
      <x:c r="A39" s="17" t="str">
        <x:v>companies[0].fixed_growth</x:v>
      </x:c>
      <x:c r="B39" s="18" t="n">
        <x:v>0.02</x:v>
      </x:c>
    </x:row>
    <x:row r="40" ht="36" customHeight="1">
      <x:c r="A40" s="17" t="str">
        <x:v>companies[0].fixed_opex</x:v>
      </x:c>
      <x:c r="B40" s="18" t="n">
        <x:v>1150</x:v>
      </x:c>
    </x:row>
    <x:row r="41" ht="36" customHeight="1">
      <x:c r="A41" s="17" t="str">
        <x:v>companies[0].gross_margin</x:v>
      </x:c>
      <x:c r="B41" s="18" t="n">
        <x:v>0.34</x:v>
      </x:c>
    </x:row>
    <x:row r="42" ht="36" customHeight="1">
      <x:c r="A42" s="17" t="str">
        <x:v>companies[0].growth[0]</x:v>
      </x:c>
      <x:c r="B42" s="18" t="n">
        <x:v>0.025</x:v>
      </x:c>
    </x:row>
    <x:row r="43" ht="36" customHeight="1">
      <x:c r="A43" s="17" t="str">
        <x:v>companies[0].growth[1]</x:v>
      </x:c>
      <x:c r="B43" s="18" t="n">
        <x:v>0.025</x:v>
      </x:c>
    </x:row>
    <x:row r="44" ht="36" customHeight="1">
      <x:c r="A44" s="17" t="str">
        <x:v>companies[0].growth[2]</x:v>
      </x:c>
      <x:c r="B44" s="18" t="n">
        <x:v>0.025</x:v>
      </x:c>
    </x:row>
    <x:row r="45" ht="36" customHeight="1">
      <x:c r="A45" s="17" t="str">
        <x:v>companies[0].growth[3]</x:v>
      </x:c>
      <x:c r="B45" s="18" t="n">
        <x:v>0.025</x:v>
      </x:c>
    </x:row>
    <x:row r="46" ht="36" customHeight="1">
      <x:c r="A46" s="17" t="str">
        <x:v>companies[0].growth[4]</x:v>
      </x:c>
      <x:c r="B46" s="18" t="n">
        <x:v>0.025</x:v>
      </x:c>
    </x:row>
    <x:row r="47" ht="36" customHeight="1">
      <x:c r="A47" s="17" t="str">
        <x:v>companies[0].inventory_seasonality[0]</x:v>
      </x:c>
      <x:c r="B47" s="18" t="n">
        <x:v>1.04</x:v>
      </x:c>
    </x:row>
    <x:row r="48" ht="36" customHeight="1">
      <x:c r="A48" s="17" t="str">
        <x:v>companies[0].inventory_seasonality[1]</x:v>
      </x:c>
      <x:c r="B48" s="18" t="n">
        <x:v>1.08</x:v>
      </x:c>
    </x:row>
    <x:row r="49" ht="36" customHeight="1">
      <x:c r="A49" s="17" t="str">
        <x:v>companies[0].inventory_seasonality[2]</x:v>
      </x:c>
      <x:c r="B49" s="18" t="n">
        <x:v>1.18</x:v>
      </x:c>
    </x:row>
    <x:row r="50" ht="36" customHeight="1">
      <x:c r="A50" s="17" t="str">
        <x:v>companies[0].inventory_seasonality[3]</x:v>
      </x:c>
      <x:c r="B50" s="18" t="n">
        <x:v>1</x:v>
      </x:c>
    </x:row>
    <x:row r="51" ht="36" customHeight="1">
      <x:c r="A51" s="17" t="str">
        <x:v>companies[0].name</x:v>
      </x:c>
      <x:c r="B51" s="18" t="str">
        <x:v>Atlas</x:v>
      </x:c>
    </x:row>
    <x:row r="52" ht="36" customHeight="1">
      <x:c r="A52" s="17" t="str">
        <x:v>companies[0].operating_lease_liability</x:v>
      </x:c>
      <x:c r="B52" s="18" t="n">
        <x:v>1120</x:v>
      </x:c>
    </x:row>
    <x:row r="53" ht="36" customHeight="1">
      <x:c r="A53" s="17" t="str">
        <x:v>companies[0].rent</x:v>
      </x:c>
      <x:c r="B53" s="18" t="n">
        <x:v>280</x:v>
      </x:c>
    </x:row>
    <x:row r="54" ht="36" customHeight="1">
      <x:c r="A54" s="17" t="str">
        <x:v>companies[0].rent_cash_factor</x:v>
      </x:c>
      <x:c r="B54" s="18" t="n">
        <x:v>1</x:v>
      </x:c>
    </x:row>
    <x:row r="55" ht="36" customHeight="1">
      <x:c r="A55" s="17" t="str">
        <x:v>companies[0].revenue</x:v>
      </x:c>
      <x:c r="B55" s="18" t="n">
        <x:v>11000</x:v>
      </x:c>
    </x:row>
    <x:row r="56" ht="36" customHeight="1">
      <x:c r="A56" s="17" t="str">
        <x:v>companies[0].seasonality[0]</x:v>
      </x:c>
      <x:c r="B56" s="18" t="n">
        <x:v>0.22</x:v>
      </x:c>
    </x:row>
    <x:row r="57" ht="36" customHeight="1">
      <x:c r="A57" s="17" t="str">
        <x:v>companies[0].seasonality[1]</x:v>
      </x:c>
      <x:c r="B57" s="18" t="n">
        <x:v>0.23</x:v>
      </x:c>
    </x:row>
    <x:row r="58" ht="36" customHeight="1">
      <x:c r="A58" s="17" t="str">
        <x:v>companies[0].seasonality[2]</x:v>
      </x:c>
      <x:c r="B58" s="18" t="n">
        <x:v>0.24</x:v>
      </x:c>
    </x:row>
    <x:row r="59" ht="36" customHeight="1">
      <x:c r="A59" s="17" t="str">
        <x:v>companies[0].seasonality[3]</x:v>
      </x:c>
      <x:c r="B59" s="18" t="n">
        <x:v>0.31</x:v>
      </x:c>
    </x:row>
    <x:row r="60" ht="36" customHeight="1">
      <x:c r="A60" s="17" t="str">
        <x:v>companies[0].variable_opex</x:v>
      </x:c>
      <x:c r="B60" s="18" t="n">
        <x:v>0.1</x:v>
      </x:c>
    </x:row>
    <x:row r="61" ht="36" customHeight="1">
      <x:c r="A61" s="17" t="str">
        <x:v>companies[1].capex_ratio</x:v>
      </x:c>
      <x:c r="B61" s="18" t="n">
        <x:v>0.035</x:v>
      </x:c>
    </x:row>
    <x:row r="62" ht="36" customHeight="1">
      <x:c r="A62" s="17" t="str">
        <x:v>companies[1].cash</x:v>
      </x:c>
      <x:c r="B62" s="18" t="n">
        <x:v>320</x:v>
      </x:c>
    </x:row>
    <x:row r="63" ht="36" customHeight="1">
      <x:c r="A63" s="17" t="str">
        <x:v>companies[1].cash_bridge.buybacks</x:v>
      </x:c>
      <x:c r="B63" s="18" t="n">
        <x:v>0</x:v>
      </x:c>
    </x:row>
    <x:row r="64" ht="36" customHeight="1">
      <x:c r="A64" s="17" t="str">
        <x:v>companies[1].cash_bridge.capex</x:v>
      </x:c>
      <x:c r="B64" s="18" t="n">
        <x:v>80</x:v>
      </x:c>
    </x:row>
    <x:row r="65" ht="36" customHeight="1">
      <x:c r="A65" s="17" t="str">
        <x:v>companies[1].cash_bridge.dividends</x:v>
      </x:c>
      <x:c r="B65" s="18" t="n">
        <x:v>20</x:v>
      </x:c>
    </x:row>
    <x:row r="66" ht="36" customHeight="1">
      <x:c r="A66" s="17" t="str">
        <x:v>companies[1].cash_bridge.operating</x:v>
      </x:c>
      <x:c r="B66" s="18" t="n">
        <x:v>120</x:v>
      </x:c>
    </x:row>
    <x:row r="67" ht="36" customHeight="1">
      <x:c r="A67" s="17" t="str">
        <x:v>companies[1].da_ratio</x:v>
      </x:c>
      <x:c r="B67" s="18" t="n">
        <x:v>0.025</x:v>
      </x:c>
    </x:row>
    <x:row r="68" ht="36" customHeight="1">
      <x:c r="A68" s="17" t="str">
        <x:v>companies[1].debts[0].amortisation</x:v>
      </x:c>
      <x:c r="B68" s="18" t="n">
        <x:v>0</x:v>
      </x:c>
    </x:row>
    <x:row r="69" ht="36" customHeight="1">
      <x:c r="A69" s="17" t="str">
        <x:v>companies[1].debts[0].carrying_value</x:v>
      </x:c>
      <x:c r="B69" s="18" t="n">
        <x:v>348</x:v>
      </x:c>
    </x:row>
    <x:row r="70" ht="36" customHeight="1">
      <x:c r="A70" s="17" t="str">
        <x:v>companies[1].debts[0].id</x:v>
      </x:c>
      <x:c r="B70" s="18" t="str">
        <x:v>Beacon notes</x:v>
      </x:c>
    </x:row>
    <x:row r="71" ht="36" customHeight="1">
      <x:c r="A71" s="17" t="str">
        <x:v>companies[1].debts[0].kind</x:v>
      </x:c>
      <x:c r="B71" s="18" t="str">
        <x:v>fixed</x:v>
      </x:c>
    </x:row>
    <x:row r="72" ht="36" customHeight="1">
      <x:c r="A72" s="17" t="str">
        <x:v>companies[1].debts[0].maturity</x:v>
      </x:c>
      <x:c r="B72" s="18" t="n">
        <x:v>3</x:v>
      </x:c>
    </x:row>
    <x:row r="73" ht="36" customHeight="1">
      <x:c r="A73" s="17" t="str">
        <x:v>companies[1].debts[0].optional</x:v>
      </x:c>
      <x:c r="B73" s="19" t="b">
        <x:v>1</x:v>
      </x:c>
    </x:row>
    <x:row r="74" ht="36" customHeight="1">
      <x:c r="A74" s="17" t="str">
        <x:v>companies[1].debts[0].preclose_repayment</x:v>
      </x:c>
      <x:c r="B74" s="18" t="n">
        <x:v>0</x:v>
      </x:c>
    </x:row>
    <x:row r="75" ht="36" customHeight="1">
      <x:c r="A75" s="17" t="str">
        <x:v>companies[1].debts[0].principal</x:v>
      </x:c>
      <x:c r="B75" s="18" t="n">
        <x:v>350</x:v>
      </x:c>
    </x:row>
    <x:row r="76" ht="36" customHeight="1">
      <x:c r="A76" s="17" t="str">
        <x:v>companies[1].debts[0].rate</x:v>
      </x:c>
      <x:c r="B76" s="18" t="n">
        <x:v>0.0475</x:v>
      </x:c>
    </x:row>
    <x:row r="77" ht="36" customHeight="1">
      <x:c r="A77" s="17" t="str">
        <x:v>companies[1].debts[0].repay_at_close</x:v>
      </x:c>
      <x:c r="B77" s="19" t="b">
        <x:v>0</x:v>
      </x:c>
    </x:row>
    <x:row r="78" ht="36" customHeight="1">
      <x:c r="A78" s="17" t="str">
        <x:v>companies[1].debts[0].spread</x:v>
      </x:c>
      <x:c r="B78" s="18" t="n">
        <x:v>0.018</x:v>
      </x:c>
    </x:row>
    <x:row r="79" ht="36" customHeight="1">
      <x:c r="A79" s="17" t="str">
        <x:v>companies[1].debts[1].amortisation</x:v>
      </x:c>
      <x:c r="B79" s="18" t="n">
        <x:v>0</x:v>
      </x:c>
    </x:row>
    <x:row r="80" ht="36" customHeight="1">
      <x:c r="A80" s="17" t="str">
        <x:v>companies[1].debts[1].carrying_value</x:v>
      </x:c>
      <x:c r="B80" s="18" t="n">
        <x:v>98</x:v>
      </x:c>
    </x:row>
    <x:row r="81" ht="36" customHeight="1">
      <x:c r="A81" s="17" t="str">
        <x:v>companies[1].debts[1].id</x:v>
      </x:c>
      <x:c r="B81" s="18" t="str">
        <x:v>Beacon CoC loan</x:v>
      </x:c>
    </x:row>
    <x:row r="82" ht="36" customHeight="1">
      <x:c r="A82" s="17" t="str">
        <x:v>companies[1].debts[1].kind</x:v>
      </x:c>
      <x:c r="B82" s="18" t="str">
        <x:v>floating</x:v>
      </x:c>
    </x:row>
    <x:row r="83" ht="36" customHeight="1">
      <x:c r="A83" s="17" t="str">
        <x:v>companies[1].debts[1].maturity</x:v>
      </x:c>
      <x:c r="B83" s="18" t="n">
        <x:v>2</x:v>
      </x:c>
    </x:row>
    <x:row r="84" ht="36" customHeight="1">
      <x:c r="A84" s="17" t="str">
        <x:v>companies[1].debts[1].optional</x:v>
      </x:c>
      <x:c r="B84" s="19" t="b">
        <x:v>1</x:v>
      </x:c>
    </x:row>
    <x:row r="85" ht="36" customHeight="1">
      <x:c r="A85" s="17" t="str">
        <x:v>companies[1].debts[1].preclose_repayment</x:v>
      </x:c>
      <x:c r="B85" s="18" t="n">
        <x:v>0</x:v>
      </x:c>
    </x:row>
    <x:row r="86" ht="36" customHeight="1">
      <x:c r="A86" s="17" t="str">
        <x:v>companies[1].debts[1].principal</x:v>
      </x:c>
      <x:c r="B86" s="18" t="n">
        <x:v>100</x:v>
      </x:c>
    </x:row>
    <x:row r="87" ht="36" customHeight="1">
      <x:c r="A87" s="17" t="str">
        <x:v>companies[1].debts[1].rate</x:v>
      </x:c>
      <x:c r="B87" s="18" t="n">
        <x:v>0</x:v>
      </x:c>
    </x:row>
    <x:row r="88" ht="36" customHeight="1">
      <x:c r="A88" s="17" t="str">
        <x:v>companies[1].debts[1].repay_at_close</x:v>
      </x:c>
      <x:c r="B88" s="19" t="b">
        <x:v>1</x:v>
      </x:c>
    </x:row>
    <x:row r="89" ht="36" customHeight="1">
      <x:c r="A89" s="17" t="str">
        <x:v>companies[1].debts[1].spread</x:v>
      </x:c>
      <x:c r="B89" s="18" t="n">
        <x:v>0.018</x:v>
      </x:c>
    </x:row>
    <x:row r="90" ht="36" customHeight="1">
      <x:c r="A90" s="17" t="str">
        <x:v>companies[1].dio</x:v>
      </x:c>
      <x:c r="B90" s="18" t="n">
        <x:v>75</x:v>
      </x:c>
    </x:row>
    <x:row r="91" ht="36" customHeight="1">
      <x:c r="A91" s="17" t="str">
        <x:v>companies[1].dpo</x:v>
      </x:c>
      <x:c r="B91" s="18" t="n">
        <x:v>40</x:v>
      </x:c>
    </x:row>
    <x:row r="92" ht="36" customHeight="1">
      <x:c r="A92" s="17" t="str">
        <x:v>companies[1].dso</x:v>
      </x:c>
      <x:c r="B92" s="18" t="n">
        <x:v>5</x:v>
      </x:c>
    </x:row>
    <x:row r="93" ht="36" customHeight="1">
      <x:c r="A93" s="17" t="str">
        <x:v>companies[1].fixed_growth</x:v>
      </x:c>
      <x:c r="B93" s="18" t="n">
        <x:v>0.02</x:v>
      </x:c>
    </x:row>
    <x:row r="94" ht="36" customHeight="1">
      <x:c r="A94" s="17" t="str">
        <x:v>companies[1].fixed_opex</x:v>
      </x:c>
      <x:c r="B94" s="18" t="n">
        <x:v>670</x:v>
      </x:c>
    </x:row>
    <x:row r="95" ht="36" customHeight="1">
      <x:c r="A95" s="17" t="str">
        <x:v>companies[1].gross_margin</x:v>
      </x:c>
      <x:c r="B95" s="18" t="n">
        <x:v>0.32</x:v>
      </x:c>
    </x:row>
    <x:row r="96" ht="36" customHeight="1">
      <x:c r="A96" s="17" t="str">
        <x:v>companies[1].growth[0]</x:v>
      </x:c>
      <x:c r="B96" s="18" t="n">
        <x:v>0.025</x:v>
      </x:c>
    </x:row>
    <x:row r="97" ht="36" customHeight="1">
      <x:c r="A97" s="17" t="str">
        <x:v>companies[1].growth[1]</x:v>
      </x:c>
      <x:c r="B97" s="18" t="n">
        <x:v>0.025</x:v>
      </x:c>
    </x:row>
    <x:row r="98" ht="36" customHeight="1">
      <x:c r="A98" s="17" t="str">
        <x:v>companies[1].growth[2]</x:v>
      </x:c>
      <x:c r="B98" s="18" t="n">
        <x:v>0.025</x:v>
      </x:c>
    </x:row>
    <x:row r="99" ht="36" customHeight="1">
      <x:c r="A99" s="17" t="str">
        <x:v>companies[1].growth[3]</x:v>
      </x:c>
      <x:c r="B99" s="18" t="n">
        <x:v>0.025</x:v>
      </x:c>
    </x:row>
    <x:row r="100" ht="36" customHeight="1">
      <x:c r="A100" s="17" t="str">
        <x:v>companies[1].growth[4]</x:v>
      </x:c>
      <x:c r="B100" s="18" t="n">
        <x:v>0.025</x:v>
      </x:c>
    </x:row>
    <x:row r="101" ht="36" customHeight="1">
      <x:c r="A101" s="17" t="str">
        <x:v>companies[1].inventory_seasonality[0]</x:v>
      </x:c>
      <x:c r="B101" s="18" t="n">
        <x:v>1.04</x:v>
      </x:c>
    </x:row>
    <x:row r="102" ht="36" customHeight="1">
      <x:c r="A102" s="17" t="str">
        <x:v>companies[1].inventory_seasonality[1]</x:v>
      </x:c>
      <x:c r="B102" s="18" t="n">
        <x:v>1.08</x:v>
      </x:c>
    </x:row>
    <x:row r="103" ht="36" customHeight="1">
      <x:c r="A103" s="17" t="str">
        <x:v>companies[1].inventory_seasonality[2]</x:v>
      </x:c>
      <x:c r="B103" s="18" t="n">
        <x:v>1.18</x:v>
      </x:c>
    </x:row>
    <x:row r="104" ht="36" customHeight="1">
      <x:c r="A104" s="17" t="str">
        <x:v>companies[1].inventory_seasonality[3]</x:v>
      </x:c>
      <x:c r="B104" s="18" t="n">
        <x:v>1</x:v>
      </x:c>
    </x:row>
    <x:row r="105" ht="36" customHeight="1">
      <x:c r="A105" s="17" t="str">
        <x:v>companies[1].name</x:v>
      </x:c>
      <x:c r="B105" s="18" t="str">
        <x:v>Beacon</x:v>
      </x:c>
    </x:row>
    <x:row r="106" ht="36" customHeight="1">
      <x:c r="A106" s="17" t="str">
        <x:v>companies[1].operating_lease_liability</x:v>
      </x:c>
      <x:c r="B106" s="18" t="n">
        <x:v>880</x:v>
      </x:c>
    </x:row>
    <x:row r="107" ht="36" customHeight="1">
      <x:c r="A107" s="17" t="str">
        <x:v>companies[1].rent</x:v>
      </x:c>
      <x:c r="B107" s="18" t="n">
        <x:v>220</x:v>
      </x:c>
    </x:row>
    <x:row r="108" ht="36" customHeight="1">
      <x:c r="A108" s="17" t="str">
        <x:v>companies[1].rent_cash_factor</x:v>
      </x:c>
      <x:c r="B108" s="18" t="n">
        <x:v>1</x:v>
      </x:c>
    </x:row>
    <x:row r="109" ht="36" customHeight="1">
      <x:c r="A109" s="17" t="str">
        <x:v>companies[1].revenue</x:v>
      </x:c>
      <x:c r="B109" s="18" t="n">
        <x:v>5400</x:v>
      </x:c>
    </x:row>
    <x:row r="110" ht="36" customHeight="1">
      <x:c r="A110" s="17" t="str">
        <x:v>companies[1].seasonality[0]</x:v>
      </x:c>
      <x:c r="B110" s="18" t="n">
        <x:v>0.22</x:v>
      </x:c>
    </x:row>
    <x:row r="111" ht="36" customHeight="1">
      <x:c r="A111" s="17" t="str">
        <x:v>companies[1].seasonality[1]</x:v>
      </x:c>
      <x:c r="B111" s="18" t="n">
        <x:v>0.23</x:v>
      </x:c>
    </x:row>
    <x:row r="112" ht="36" customHeight="1">
      <x:c r="A112" s="17" t="str">
        <x:v>companies[1].seasonality[2]</x:v>
      </x:c>
      <x:c r="B112" s="18" t="n">
        <x:v>0.24</x:v>
      </x:c>
    </x:row>
    <x:row r="113" ht="36" customHeight="1">
      <x:c r="A113" s="17" t="str">
        <x:v>companies[1].seasonality[3]</x:v>
      </x:c>
      <x:c r="B113" s="18" t="n">
        <x:v>0.31</x:v>
      </x:c>
    </x:row>
    <x:row r="114" ht="36" customHeight="1">
      <x:c r="A114" s="17" t="str">
        <x:v>companies[1].variable_opex</x:v>
      </x:c>
      <x:c r="B114" s="18" t="n">
        <x:v>0.1</x:v>
      </x:c>
    </x:row>
    <x:row r="115" ht="36" customHeight="1">
      <x:c r="A115" s="17" t="str">
        <x:v>currency</x:v>
      </x:c>
      <x:c r="B115" s="18" t="str">
        <x:v>USD millions</x:v>
      </x:c>
    </x:row>
    <x:row r="116" ht="36" customHeight="1">
      <x:c r="A116" s="17" t="str">
        <x:v>frequency</x:v>
      </x:c>
      <x:c r="B116" s="18" t="n">
        <x:v>1</x:v>
      </x:c>
    </x:row>
    <x:row r="117" ht="36" customHeight="1">
      <x:c r="A117" s="17" t="str">
        <x:v>label</x:v>
      </x:c>
      <x:c r="B117" s="18" t="str">
        <x:v>Fictional Atlas / Beacon - illustrative only</x:v>
      </x:c>
    </x:row>
    <x:row r="118" ht="36" customHeight="1">
      <x:c r="A118" s="17" t="str">
        <x:v>mode</x:v>
      </x:c>
      <x:c r="B118" s="18" t="str">
        <x:v>synthetic</x:v>
      </x:c>
    </x:row>
    <x:row r="119" ht="36" customHeight="1">
      <x:c r="A119" s="17" t="str">
        <x:v>new_debt.amortisation</x:v>
      </x:c>
      <x:c r="B119" s="18" t="n">
        <x:v>0.02</x:v>
      </x:c>
    </x:row>
    <x:row r="120" ht="36" customHeight="1">
      <x:c r="A120" s="17" t="str">
        <x:v>new_debt.benchmark[0]</x:v>
      </x:c>
      <x:c r="B120" s="18" t="n">
        <x:v>0.04</x:v>
      </x:c>
    </x:row>
    <x:row r="121" ht="36" customHeight="1">
      <x:c r="A121" s="17" t="str">
        <x:v>new_debt.benchmark[1]</x:v>
      </x:c>
      <x:c r="B121" s="18" t="n">
        <x:v>0.0375</x:v>
      </x:c>
    </x:row>
    <x:row r="122" ht="36" customHeight="1">
      <x:c r="A122" s="17" t="str">
        <x:v>new_debt.benchmark[2]</x:v>
      </x:c>
      <x:c r="B122" s="18" t="n">
        <x:v>0.035</x:v>
      </x:c>
    </x:row>
    <x:row r="123" ht="36" customHeight="1">
      <x:c r="A123" s="17" t="str">
        <x:v>new_debt.benchmark[3]</x:v>
      </x:c>
      <x:c r="B123" s="18" t="n">
        <x:v>0.035</x:v>
      </x:c>
    </x:row>
    <x:row r="124" ht="36" customHeight="1">
      <x:c r="A124" s="17" t="str">
        <x:v>new_debt.benchmark[4]</x:v>
      </x:c>
      <x:c r="B124" s="18" t="n">
        <x:v>0.035</x:v>
      </x:c>
    </x:row>
    <x:row r="125" ht="36" customHeight="1">
      <x:c r="A125" s="17" t="str">
        <x:v>new_debt.fixed_benchmark</x:v>
      </x:c>
      <x:c r="B125" s="18" t="n">
        <x:v>0.04</x:v>
      </x:c>
    </x:row>
    <x:row r="126" ht="36" customHeight="1">
      <x:c r="A126" s="17" t="str">
        <x:v>new_debt.kind</x:v>
      </x:c>
      <x:c r="B126" s="18" t="str">
        <x:v>floating</x:v>
      </x:c>
    </x:row>
    <x:row r="127" ht="36" customHeight="1">
      <x:c r="A127" s="17" t="str">
        <x:v>new_debt.maturity</x:v>
      </x:c>
      <x:c r="B127" s="18" t="n">
        <x:v>5</x:v>
      </x:c>
    </x:row>
    <x:row r="128" ht="36" customHeight="1">
      <x:c r="A128" s="17" t="str">
        <x:v>new_debt.spread</x:v>
      </x:c>
      <x:c r="B128" s="18" t="n">
        <x:v>0.025</x:v>
      </x:c>
    </x:row>
    <x:row r="129" ht="36" customHeight="1">
      <x:c r="A129" s="17" t="str">
        <x:v>policy.buybacks[0]</x:v>
      </x:c>
      <x:c r="B129" s="18" t="n">
        <x:v>0</x:v>
      </x:c>
    </x:row>
    <x:row r="130" ht="36" customHeight="1">
      <x:c r="A130" s="17" t="str">
        <x:v>policy.buybacks[1]</x:v>
      </x:c>
      <x:c r="B130" s="18" t="n">
        <x:v>0</x:v>
      </x:c>
    </x:row>
    <x:row r="131" ht="36" customHeight="1">
      <x:c r="A131" s="17" t="str">
        <x:v>policy.buybacks[2]</x:v>
      </x:c>
      <x:c r="B131" s="18" t="n">
        <x:v>0</x:v>
      </x:c>
    </x:row>
    <x:row r="132" ht="36" customHeight="1">
      <x:c r="A132" s="17" t="str">
        <x:v>policy.buybacks[3]</x:v>
      </x:c>
      <x:c r="B132" s="18" t="n">
        <x:v>0</x:v>
      </x:c>
    </x:row>
    <x:row r="133" ht="36" customHeight="1">
      <x:c r="A133" s="17" t="str">
        <x:v>policy.buybacks[4]</x:v>
      </x:c>
      <x:c r="B133" s="18" t="n">
        <x:v>0</x:v>
      </x:c>
    </x:row>
    <x:row r="134" ht="36" customHeight="1">
      <x:c r="A134" s="17" t="str">
        <x:v>policy.cash_floor</x:v>
      </x:c>
      <x:c r="B134" s="18" t="n">
        <x:v>750</x:v>
      </x:c>
    </x:row>
    <x:row r="135" ht="36" customHeight="1">
      <x:c r="A135" s="17" t="str">
        <x:v>policy.dividends[0]</x:v>
      </x:c>
      <x:c r="B135" s="18" t="n">
        <x:v>180</x:v>
      </x:c>
    </x:row>
    <x:row r="136" ht="36" customHeight="1">
      <x:c r="A136" s="17" t="str">
        <x:v>policy.dividends[1]</x:v>
      </x:c>
      <x:c r="B136" s="18" t="n">
        <x:v>180</x:v>
      </x:c>
    </x:row>
    <x:row r="137" ht="36" customHeight="1">
      <x:c r="A137" s="17" t="str">
        <x:v>policy.dividends[2]</x:v>
      </x:c>
      <x:c r="B137" s="18" t="n">
        <x:v>180</x:v>
      </x:c>
    </x:row>
    <x:row r="138" ht="36" customHeight="1">
      <x:c r="A138" s="17" t="str">
        <x:v>policy.dividends[3]</x:v>
      </x:c>
      <x:c r="B138" s="18" t="n">
        <x:v>180</x:v>
      </x:c>
    </x:row>
    <x:row r="139" ht="36" customHeight="1">
      <x:c r="A139" s="17" t="str">
        <x:v>policy.dividends[4]</x:v>
      </x:c>
      <x:c r="B139" s="18" t="n">
        <x:v>180</x:v>
      </x:c>
    </x:row>
    <x:row r="140" ht="36" customHeight="1">
      <x:c r="A140" s="17" t="str">
        <x:v>policy.interest_deduction_limit</x:v>
      </x:c>
      <x:c r="B140" s="18" t="n">
        <x:v>1</x:v>
      </x:c>
    </x:row>
    <x:row r="141" ht="36" customHeight="1">
      <x:c r="A141" s="17" t="str">
        <x:v>policy.max_leverage</x:v>
      </x:c>
      <x:c r="B141" s="18" t="n">
        <x:v>3</x:v>
      </x:c>
    </x:row>
    <x:row r="142" ht="36" customHeight="1">
      <x:c r="A142" s="17" t="str">
        <x:v>policy.min_coverage</x:v>
      </x:c>
      <x:c r="B142" s="18" t="n">
        <x:v>4</x:v>
      </x:c>
    </x:row>
    <x:row r="143" ht="36" customHeight="1">
      <x:c r="A143" s="17" t="str">
        <x:v>policy.refinance</x:v>
      </x:c>
      <x:c r="B143" s="19" t="b">
        <x:v>0</x:v>
      </x:c>
    </x:row>
    <x:row r="144" ht="36" customHeight="1">
      <x:c r="A144" s="17" t="str">
        <x:v>policy.refinance_fee</x:v>
      </x:c>
      <x:c r="B144" s="18" t="n">
        <x:v>0.015</x:v>
      </x:c>
    </x:row>
    <x:row r="145" ht="36" customHeight="1">
      <x:c r="A145" s="17" t="str">
        <x:v>policy.refinance_limit</x:v>
      </x:c>
      <x:c r="B145" s="18" t="n">
        <x:v>2000</x:v>
      </x:c>
    </x:row>
    <x:row r="146" ht="36" customHeight="1">
      <x:c r="A146" s="17" t="str">
        <x:v>policy.refinance_tenor</x:v>
      </x:c>
      <x:c r="B146" s="18" t="n">
        <x:v>5</x:v>
      </x:c>
    </x:row>
    <x:row r="147" ht="36" customHeight="1">
      <x:c r="A147" s="17" t="str">
        <x:v>policy.sweep_fraction</x:v>
      </x:c>
      <x:c r="B147" s="18" t="n">
        <x:v>1</x:v>
      </x:c>
    </x:row>
    <x:row r="148" ht="36" customHeight="1">
      <x:c r="A148" s="17" t="str">
        <x:v>policy.tax_rate</x:v>
      </x:c>
      <x:c r="B148" s="18" t="n">
        <x:v>0.25</x:v>
      </x:c>
    </x:row>
    <x:row r="149" ht="36" customHeight="1">
      <x:c r="A149" s="17" t="str">
        <x:v>quarterly.enabled</x:v>
      </x:c>
      <x:c r="B149" s="19" t="b">
        <x:v>1</x:v>
      </x:c>
    </x:row>
    <x:row r="150" ht="36" customHeight="1">
      <x:c r="A150" s="17" t="str">
        <x:v>quarterly.label</x:v>
      </x:c>
      <x:c r="B150" s="18" t="str">
        <x:v>Illustrative seasonality and pre-close trailing quarters</x:v>
      </x:c>
    </x:row>
    <x:row r="151" ht="36" customHeight="1">
      <x:c r="A151" s="17" t="str">
        <x:v>revolver.borrowing_base</x:v>
      </x:c>
      <x:c r="B151" s="18" t="n">
        <x:v>700</x:v>
      </x:c>
    </x:row>
    <x:row r="152" ht="36" customHeight="1">
      <x:c r="A152" s="17" t="str">
        <x:v>revolver.commitment</x:v>
      </x:c>
      <x:c r="B152" s="18" t="n">
        <x:v>800</x:v>
      </x:c>
    </x:row>
    <x:row r="153" ht="36" customHeight="1">
      <x:c r="A153" s="17" t="str">
        <x:v>revolver.letters_of_credit</x:v>
      </x:c>
      <x:c r="B153" s="18" t="n">
        <x:v>70</x:v>
      </x:c>
    </x:row>
    <x:row r="154" ht="36" customHeight="1">
      <x:c r="A154" s="17" t="str">
        <x:v>revolver.maturity</x:v>
      </x:c>
      <x:c r="B154" s="18" t="n">
        <x:v>5</x:v>
      </x:c>
    </x:row>
    <x:row r="155" ht="36" customHeight="1">
      <x:c r="A155" s="17" t="str">
        <x:v>revolver.max_gross_leverage</x:v>
      </x:c>
      <x:c r="B155" s="18" t="n">
        <x:v>4.5</x:v>
      </x:c>
    </x:row>
    <x:row r="156" ht="36" customHeight="1">
      <x:c r="A156" s="17" t="str">
        <x:v>revolver.spread</x:v>
      </x:c>
      <x:c r="B156" s="18" t="n">
        <x:v>0.0225</x:v>
      </x:c>
    </x:row>
    <x:row r="157" ht="36" customHeight="1">
      <x:c r="A157" s="17" t="str">
        <x:v>schema_version</x:v>
      </x:c>
      <x:c r="B157" s="18" t="n">
        <x:v>2</x:v>
      </x:c>
    </x:row>
    <x:row r="158" ht="36" customHeight="1">
      <x:c r="A158" s="17" t="str">
        <x:v>synergies.integration[0]</x:v>
      </x:c>
      <x:c r="B158" s="18" t="n">
        <x:v>80</x:v>
      </x:c>
    </x:row>
    <x:row r="159" ht="36" customHeight="1">
      <x:c r="A159" s="17" t="str">
        <x:v>synergies.integration[1]</x:v>
      </x:c>
      <x:c r="B159" s="18" t="n">
        <x:v>60</x:v>
      </x:c>
    </x:row>
    <x:row r="160" ht="36" customHeight="1">
      <x:c r="A160" s="17" t="str">
        <x:v>synergies.integration[2]</x:v>
      </x:c>
      <x:c r="B160" s="18" t="n">
        <x:v>20</x:v>
      </x:c>
    </x:row>
    <x:row r="161" ht="36" customHeight="1">
      <x:c r="A161" s="17" t="str">
        <x:v>synergies.integration[3]</x:v>
      </x:c>
      <x:c r="B161" s="18" t="n">
        <x:v>0</x:v>
      </x:c>
    </x:row>
    <x:row r="162" ht="36" customHeight="1">
      <x:c r="A162" s="17" t="str">
        <x:v>synergies.integration[4]</x:v>
      </x:c>
      <x:c r="B162" s="18" t="n">
        <x:v>0</x:v>
      </x:c>
    </x:row>
    <x:row r="163" ht="36" customHeight="1">
      <x:c r="A163" s="17" t="str">
        <x:v>synergies.ramp[0]</x:v>
      </x:c>
      <x:c r="B163" s="18" t="n">
        <x:v>0.2</x:v>
      </x:c>
    </x:row>
    <x:row r="164" ht="36" customHeight="1">
      <x:c r="A164" s="17" t="str">
        <x:v>synergies.ramp[1]</x:v>
      </x:c>
      <x:c r="B164" s="18" t="n">
        <x:v>0.6</x:v>
      </x:c>
    </x:row>
    <x:row r="165" ht="36" customHeight="1">
      <x:c r="A165" s="17" t="str">
        <x:v>synergies.ramp[2]</x:v>
      </x:c>
      <x:c r="B165" s="18" t="n">
        <x:v>1</x:v>
      </x:c>
    </x:row>
    <x:row r="166" ht="36" customHeight="1">
      <x:c r="A166" s="17" t="str">
        <x:v>synergies.ramp[3]</x:v>
      </x:c>
      <x:c r="B166" s="18" t="n">
        <x:v>1</x:v>
      </x:c>
    </x:row>
    <x:row r="167" ht="36" customHeight="1">
      <x:c r="A167" s="17" t="str">
        <x:v>synergies.ramp[4]</x:v>
      </x:c>
      <x:c r="B167" s="18" t="n">
        <x:v>1</x:v>
      </x:c>
    </x:row>
    <x:row r="168" ht="36" customHeight="1">
      <x:c r="A168" s="17" t="str">
        <x:v>synergies.run_rate</x:v>
      </x:c>
      <x:c r="B168" s="18" t="n">
        <x:v>100</x:v>
      </x:c>
    </x:row>
    <x:row r="169" ht="36" customHeight="1">
      <x:c r="A169" s="17" t="str">
        <x:v>transaction.acquirer_reference_price</x:v>
      </x:c>
      <x:c r="B169" s="18" t="n">
        <x:v>200</x:v>
      </x:c>
    </x:row>
    <x:row r="170" ht="36" customHeight="1">
      <x:c r="A170" s="17" t="str">
        <x:v>transaction.acquirer_shares</x:v>
      </x:c>
      <x:c r="B170" s="18" t="n">
        <x:v>80</x:v>
      </x:c>
    </x:row>
    <x:row r="171" ht="36" customHeight="1">
      <x:c r="A171" s="17" t="str">
        <x:v>transaction.allow_target_cash</x:v>
      </x:c>
      <x:c r="B171" s="19" t="b">
        <x:v>0</x:v>
      </x:c>
    </x:row>
    <x:row r="172" ht="36" customHeight="1">
      <x:c r="A172" s="17" t="str">
        <x:v>transaction.award_shares</x:v>
      </x:c>
      <x:c r="B172" s="18" t="n">
        <x:v>2</x:v>
      </x:c>
    </x:row>
    <x:row r="173" ht="36" customHeight="1">
      <x:c r="A173" s="17" t="str">
        <x:v>transaction.cash_price</x:v>
      </x:c>
      <x:c r="B173" s="18" t="n">
        <x:v>20</x:v>
      </x:c>
    </x:row>
    <x:row r="174" ht="36" customHeight="1">
      <x:c r="A174" s="17" t="str">
        <x:v>transaction.ev_other</x:v>
      </x:c>
      <x:c r="B174" s="18" t="n">
        <x:v>0</x:v>
      </x:c>
    </x:row>
    <x:row r="175" ht="36" customHeight="1">
      <x:c r="A175" s="17" t="str">
        <x:v>transaction.exchange_ratio</x:v>
      </x:c>
      <x:c r="B175" s="18" t="n">
        <x:v>0.1</x:v>
      </x:c>
    </x:row>
    <x:row r="176" ht="36" customHeight="1">
      <x:c r="A176" s="17" t="str">
        <x:v>transaction.financing_fee_rate</x:v>
      </x:c>
      <x:c r="B176" s="18" t="n">
        <x:v>0.015</x:v>
      </x:c>
    </x:row>
    <x:row r="177" ht="36" customHeight="1">
      <x:c r="A177" s="17" t="str">
        <x:v>transaction.headline_equity</x:v>
      </x:c>
      <x:c r="B177" s="18" t="n">
        <x:v>2040</x:v>
      </x:c>
    </x:row>
    <x:row r="178" ht="36" customHeight="1">
      <x:c r="A178" s="17" t="str">
        <x:v>transaction.headline_ev</x:v>
      </x:c>
      <x:c r="B178" s="18" t="n">
        <x:v>2170</x:v>
      </x:c>
    </x:row>
    <x:row r="179" ht="36" customHeight="1">
      <x:c r="A179" s="17" t="str">
        <x:v>transaction.target_cash_rationale</x:v>
      </x:c>
      <x:c r="B179" s="18" t="str">
        <x:v>Unavailable in all demo structures</x:v>
      </x:c>
    </x:row>
    <x:row r="180" ht="36" customHeight="1">
      <x:c r="A180" s="17" t="str">
        <x:v>transaction.target_shares</x:v>
      </x:c>
      <x:c r="B180" s="18" t="n">
        <x:v>100</x:v>
      </x:c>
    </x:row>
    <x:row r="181" ht="36" customHeight="1">
      <x:c r="A181" s="17" t="str">
        <x:v>transaction.transaction_fees</x:v>
      </x:c>
      <x:c r="B181" s="18" t="n">
        <x:v>50</x:v>
      </x:c>
    </x:row>
  </x:sheetData>
  <x:mergeCells>
    <x:mergeCell ref="A2:B2"/>
    <x:mergeCell ref="A3:B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25" hidden="0" customWidth="1"/>
  </x:cols>
  <x:sheetData>
    <x:row r="2" ht="42" customHeight="1">
      <x:c r="A2" s="5" t="str">
        <x:v>Fictional Atlas / Beacon - illustrative only | Sources Uses</x:v>
      </x:c>
      <x:c r="B2" s="5"/>
      <x:c r="C2" s="5"/>
    </x:row>
    <x:row r="3" ht="42" customHeight="1">
      <x:c r="A3" s="4" t="str">
        <x:v>USD millions unless stated. Python snapshots; formula calculations are explicitly shown.</x:v>
      </x:c>
      <x:c r="B3" s="4"/>
      <x:c r="C3" s="4"/>
    </x:row>
    <x:row r="4" ht="42" customHeight="1">
      <x:c r="A4" s="7" t="str">
        <x:v>Structure</x:v>
      </x:c>
      <x:c r="B4" s="7" t="str">
        <x:v>Bridge item</x:v>
      </x:c>
      <x:c r="C4" s="7" t="str">
        <x:v>Value</x:v>
      </x:c>
    </x:row>
    <x:row r="5" ht="36" customHeight="1">
      <x:c r="A5" s="8" t="str">
        <x:v>Cash-first</x:v>
      </x:c>
      <x:c r="B5" s="8" t="str">
        <x:v>fee convention</x:v>
      </x:c>
      <x:c r="C5" s="20" t="str">
        <x:v>fixed_budget</x:v>
      </x:c>
    </x:row>
    <x:row r="6" ht="36" customHeight="1">
      <x:c r="A6" s="8" t="str">
        <x:v>Cash-first</x:v>
      </x:c>
      <x:c r="B6" s="8" t="str">
        <x:v>equity consideration</x:v>
      </x:c>
      <x:c r="C6" s="20" t="n">
        <x:v>2040</x:v>
      </x:c>
    </x:row>
    <x:row r="7" ht="36" customHeight="1">
      <x:c r="A7" s="8" t="str">
        <x:v>Cash-first</x:v>
      </x:c>
      <x:c r="B7" s="8" t="str">
        <x:v>enterprise value</x:v>
      </x:c>
      <x:c r="C7" s="20" t="n">
        <x:v>2150</x:v>
      </x:c>
    </x:row>
    <x:row r="8" ht="36" customHeight="1">
      <x:c r="A8" s="8" t="str">
        <x:v>Cash-first</x:v>
      </x:c>
      <x:c r="B8" s="8" t="str">
        <x:v>equity headline difference</x:v>
      </x:c>
      <x:c r="C8" s="20" t="n">
        <x:v>0</x:v>
      </x:c>
    </x:row>
    <x:row r="9" ht="36" customHeight="1">
      <x:c r="A9" s="8" t="str">
        <x:v>Cash-first</x:v>
      </x:c>
      <x:c r="B9" s="8" t="str">
        <x:v>ev headline difference</x:v>
      </x:c>
      <x:c r="C9" s="20" t="n">
        <x:v>-20</x:v>
      </x:c>
    </x:row>
    <x:row r="10" ht="36" customHeight="1">
      <x:c r="A10" s="8" t="str">
        <x:v>Cash-first</x:v>
      </x:c>
      <x:c r="B10" s="8" t="str">
        <x:v>cash purchase</x:v>
      </x:c>
      <x:c r="C10" s="20" t="n">
        <x:v>2040</x:v>
      </x:c>
    </x:row>
    <x:row r="11" ht="36" customHeight="1">
      <x:c r="A11" s="8" t="str">
        <x:v>Cash-first</x:v>
      </x:c>
      <x:c r="B11" s="8" t="str">
        <x:v>noncash consideration</x:v>
      </x:c>
      <x:c r="C11" s="20" t="n">
        <x:v>0</x:v>
      </x:c>
    </x:row>
    <x:row r="12" ht="36" customHeight="1">
      <x:c r="A12" s="8" t="str">
        <x:v>Cash-first</x:v>
      </x:c>
      <x:c r="B12" s="8" t="str">
        <x:v>stock issued</x:v>
      </x:c>
      <x:c r="C12" s="20" t="n">
        <x:v>0</x:v>
      </x:c>
    </x:row>
    <x:row r="13" ht="36" customHeight="1">
      <x:c r="A13" s="8" t="str">
        <x:v>Cash-first</x:v>
      </x:c>
      <x:c r="B13" s="8" t="str">
        <x:v>ownership dilution</x:v>
      </x:c>
      <x:c r="C13" s="20" t="n">
        <x:v>0</x:v>
      </x:c>
    </x:row>
    <x:row r="14" ht="36" customHeight="1">
      <x:c r="A14" s="8" t="str">
        <x:v>Cash-first</x:v>
      </x:c>
      <x:c r="B14" s="8" t="str">
        <x:v>required debt repayment</x:v>
      </x:c>
      <x:c r="C14" s="20" t="n">
        <x:v>100</x:v>
      </x:c>
    </x:row>
    <x:row r="15" ht="36" customHeight="1">
      <x:c r="A15" s="8" t="str">
        <x:v>Cash-first</x:v>
      </x:c>
      <x:c r="B15" s="8" t="str">
        <x:v>transaction fees</x:v>
      </x:c>
      <x:c r="C15" s="20" t="n">
        <x:v>50</x:v>
      </x:c>
    </x:row>
    <x:row r="16" ht="36" customHeight="1">
      <x:c r="A16" s="8" t="str">
        <x:v>Cash-first</x:v>
      </x:c>
      <x:c r="B16" s="8" t="str">
        <x:v>financing fees</x:v>
      </x:c>
      <x:c r="C16" s="20" t="n">
        <x:v>20.101522842639596</x:v>
      </x:c>
    </x:row>
    <x:row r="17" ht="36" customHeight="1">
      <x:c r="A17" s="8" t="str">
        <x:v>Cash-first</x:v>
      </x:c>
      <x:c r="B17" s="8" t="str">
        <x:v>cash uses</x:v>
      </x:c>
      <x:c r="C17" s="20" t="n">
        <x:v>2210.1015228426395</x:v>
      </x:c>
    </x:row>
    <x:row r="18" ht="36" customHeight="1">
      <x:c r="A18" s="8" t="str">
        <x:v>Cash-first</x:v>
      </x:c>
      <x:c r="B18" s="8" t="str">
        <x:v>cash contribution</x:v>
      </x:c>
      <x:c r="C18" s="20" t="n">
        <x:v>870</x:v>
      </x:c>
    </x:row>
    <x:row r="19" ht="36" customHeight="1">
      <x:c r="A19" s="8" t="str">
        <x:v>Cash-first</x:v>
      </x:c>
      <x:c r="B19" s="8" t="str">
        <x:v>acquisition borrowing</x:v>
      </x:c>
      <x:c r="C19" s="20" t="n">
        <x:v>1170</x:v>
      </x:c>
    </x:row>
    <x:row r="20" ht="36" customHeight="1">
      <x:c r="A20" s="8" t="str">
        <x:v>Cash-first</x:v>
      </x:c>
      <x:c r="B20" s="8" t="str">
        <x:v>borrowing for refinancing and fees</x:v>
      </x:c>
      <x:c r="C20" s="20" t="n">
        <x:v>170.10152284263972</x:v>
      </x:c>
    </x:row>
    <x:row r="21" ht="36" customHeight="1">
      <x:c r="A21" s="8" t="str">
        <x:v>Cash-first</x:v>
      </x:c>
      <x:c r="B21" s="8" t="str">
        <x:v>total new borrowing</x:v>
      </x:c>
      <x:c r="C21" s="20" t="n">
        <x:v>1340.1015228426397</x:v>
      </x:c>
    </x:row>
    <x:row r="22" ht="36" customHeight="1">
      <x:c r="A22" s="8" t="str">
        <x:v>Cash-first</x:v>
      </x:c>
      <x:c r="B22" s="8" t="str">
        <x:v>retained debt</x:v>
      </x:c>
      <x:c r="C22" s="20" t="n">
        <x:v>1330</x:v>
      </x:c>
    </x:row>
    <x:row r="23" ht="36" customHeight="1">
      <x:c r="A23" s="8" t="str">
        <x:v>Cash-first</x:v>
      </x:c>
      <x:c r="B23" s="8" t="str">
        <x:v>opening cash</x:v>
      </x:c>
      <x:c r="C23" s="20" t="n">
        <x:v>750</x:v>
      </x:c>
    </x:row>
    <x:row r="24" ht="36" customHeight="1">
      <x:c r="A24" s="8" t="str">
        <x:v>Cash-first</x:v>
      </x:c>
      <x:c r="B24" s="8" t="str">
        <x:v>unavailable target cash</x:v>
      </x:c>
      <x:c r="C24" s="20" t="n">
        <x:v>340</x:v>
      </x:c>
    </x:row>
    <x:row r="25" ht="36" customHeight="1">
      <x:c r="A25" s="8" t="str">
        <x:v>Cash-first</x:v>
      </x:c>
      <x:c r="B25" s="8" t="str">
        <x:v>opening debt</x:v>
      </x:c>
      <x:c r="C25" s="20" t="n">
        <x:v>2670.1015228426395</x:v>
      </x:c>
    </x:row>
    <x:row r="26" ht="36" customHeight="1">
      <x:c r="A26" s="8" t="str">
        <x:v>Cash-first</x:v>
      </x:c>
      <x:c r="B26" s="8" t="str">
        <x:v>analytical equity</x:v>
      </x:c>
      <x:c r="C26" s="20" t="n">
        <x:v>0</x:v>
      </x:c>
    </x:row>
    <x:row r="27" ht="36" customHeight="1">
      <x:c r="A27" s="8" t="str">
        <x:v>Cash-first</x:v>
      </x:c>
      <x:c r="B27" s="8" t="str">
        <x:v>sources uses difference</x:v>
      </x:c>
      <x:c r="C27" s="20" t="n">
        <x:v>0</x:v>
      </x:c>
    </x:row>
    <x:row r="28" ht="36" customHeight="1">
      <x:c r="A28" s="8" t="str">
        <x:v>Liquidity-first</x:v>
      </x:c>
      <x:c r="B28" s="8" t="str">
        <x:v>fee convention</x:v>
      </x:c>
      <x:c r="C28" s="20" t="str">
        <x:v>fixed_budget</x:v>
      </x:c>
    </x:row>
    <x:row r="29" ht="36" customHeight="1">
      <x:c r="A29" s="8" t="str">
        <x:v>Liquidity-first</x:v>
      </x:c>
      <x:c r="B29" s="8" t="str">
        <x:v>equity consideration</x:v>
      </x:c>
      <x:c r="C29" s="20" t="n">
        <x:v>2040</x:v>
      </x:c>
    </x:row>
    <x:row r="30" ht="36" customHeight="1">
      <x:c r="A30" s="8" t="str">
        <x:v>Liquidity-first</x:v>
      </x:c>
      <x:c r="B30" s="8" t="str">
        <x:v>enterprise value</x:v>
      </x:c>
      <x:c r="C30" s="20" t="n">
        <x:v>2150</x:v>
      </x:c>
    </x:row>
    <x:row r="31" ht="36" customHeight="1">
      <x:c r="A31" s="8" t="str">
        <x:v>Liquidity-first</x:v>
      </x:c>
      <x:c r="B31" s="8" t="str">
        <x:v>equity headline difference</x:v>
      </x:c>
      <x:c r="C31" s="20" t="n">
        <x:v>0</x:v>
      </x:c>
    </x:row>
    <x:row r="32" ht="36" customHeight="1">
      <x:c r="A32" s="8" t="str">
        <x:v>Liquidity-first</x:v>
      </x:c>
      <x:c r="B32" s="8" t="str">
        <x:v>ev headline difference</x:v>
      </x:c>
      <x:c r="C32" s="20" t="n">
        <x:v>-20</x:v>
      </x:c>
    </x:row>
    <x:row r="33" ht="36" customHeight="1">
      <x:c r="A33" s="8" t="str">
        <x:v>Liquidity-first</x:v>
      </x:c>
      <x:c r="B33" s="8" t="str">
        <x:v>cash purchase</x:v>
      </x:c>
      <x:c r="C33" s="20" t="n">
        <x:v>2040</x:v>
      </x:c>
    </x:row>
    <x:row r="34" ht="36" customHeight="1">
      <x:c r="A34" s="8" t="str">
        <x:v>Liquidity-first</x:v>
      </x:c>
      <x:c r="B34" s="8" t="str">
        <x:v>noncash consideration</x:v>
      </x:c>
      <x:c r="C34" s="20" t="n">
        <x:v>0</x:v>
      </x:c>
    </x:row>
    <x:row r="35" ht="36" customHeight="1">
      <x:c r="A35" s="8" t="str">
        <x:v>Liquidity-first</x:v>
      </x:c>
      <x:c r="B35" s="8" t="str">
        <x:v>stock issued</x:v>
      </x:c>
      <x:c r="C35" s="20" t="n">
        <x:v>0</x:v>
      </x:c>
    </x:row>
    <x:row r="36" ht="36" customHeight="1">
      <x:c r="A36" s="8" t="str">
        <x:v>Liquidity-first</x:v>
      </x:c>
      <x:c r="B36" s="8" t="str">
        <x:v>ownership dilution</x:v>
      </x:c>
      <x:c r="C36" s="20" t="n">
        <x:v>0</x:v>
      </x:c>
    </x:row>
    <x:row r="37" ht="36" customHeight="1">
      <x:c r="A37" s="8" t="str">
        <x:v>Liquidity-first</x:v>
      </x:c>
      <x:c r="B37" s="8" t="str">
        <x:v>required debt repayment</x:v>
      </x:c>
      <x:c r="C37" s="20" t="n">
        <x:v>100</x:v>
      </x:c>
    </x:row>
    <x:row r="38" ht="36" customHeight="1">
      <x:c r="A38" s="8" t="str">
        <x:v>Liquidity-first</x:v>
      </x:c>
      <x:c r="B38" s="8" t="str">
        <x:v>transaction fees</x:v>
      </x:c>
      <x:c r="C38" s="20" t="n">
        <x:v>50</x:v>
      </x:c>
    </x:row>
    <x:row r="39" ht="36" customHeight="1">
      <x:c r="A39" s="8" t="str">
        <x:v>Liquidity-first</x:v>
      </x:c>
      <x:c r="B39" s="8" t="str">
        <x:v>financing fees</x:v>
      </x:c>
      <x:c r="C39" s="20" t="n">
        <x:v>33.3502538071066</x:v>
      </x:c>
    </x:row>
    <x:row r="40" ht="36" customHeight="1">
      <x:c r="A40" s="8" t="str">
        <x:v>Liquidity-first</x:v>
      </x:c>
      <x:c r="B40" s="8" t="str">
        <x:v>cash uses</x:v>
      </x:c>
      <x:c r="C40" s="20" t="n">
        <x:v>2223.3502538071066</x:v>
      </x:c>
    </x:row>
    <x:row r="41" ht="36" customHeight="1">
      <x:c r="A41" s="8" t="str">
        <x:v>Liquidity-first</x:v>
      </x:c>
      <x:c r="B41" s="8" t="str">
        <x:v>cash contribution</x:v>
      </x:c>
      <x:c r="C41" s="20" t="n">
        <x:v>0</x:v>
      </x:c>
    </x:row>
    <x:row r="42" ht="36" customHeight="1">
      <x:c r="A42" s="8" t="str">
        <x:v>Liquidity-first</x:v>
      </x:c>
      <x:c r="B42" s="8" t="str">
        <x:v>acquisition borrowing</x:v>
      </x:c>
      <x:c r="C42" s="20" t="n">
        <x:v>2040</x:v>
      </x:c>
    </x:row>
    <x:row r="43" ht="36" customHeight="1">
      <x:c r="A43" s="8" t="str">
        <x:v>Liquidity-first</x:v>
      </x:c>
      <x:c r="B43" s="8" t="str">
        <x:v>borrowing for refinancing and fees</x:v>
      </x:c>
      <x:c r="C43" s="20" t="n">
        <x:v>183.35025380710658</x:v>
      </x:c>
    </x:row>
    <x:row r="44" ht="36" customHeight="1">
      <x:c r="A44" s="8" t="str">
        <x:v>Liquidity-first</x:v>
      </x:c>
      <x:c r="B44" s="8" t="str">
        <x:v>total new borrowing</x:v>
      </x:c>
      <x:c r="C44" s="20" t="n">
        <x:v>2223.3502538071066</x:v>
      </x:c>
    </x:row>
    <x:row r="45" ht="36" customHeight="1">
      <x:c r="A45" s="8" t="str">
        <x:v>Liquidity-first</x:v>
      </x:c>
      <x:c r="B45" s="8" t="str">
        <x:v>retained debt</x:v>
      </x:c>
      <x:c r="C45" s="20" t="n">
        <x:v>1330</x:v>
      </x:c>
    </x:row>
    <x:row r="46" ht="36" customHeight="1">
      <x:c r="A46" s="8" t="str">
        <x:v>Liquidity-first</x:v>
      </x:c>
      <x:c r="B46" s="8" t="str">
        <x:v>opening cash</x:v>
      </x:c>
      <x:c r="C46" s="20" t="n">
        <x:v>1620</x:v>
      </x:c>
    </x:row>
    <x:row r="47" ht="36" customHeight="1">
      <x:c r="A47" s="8" t="str">
        <x:v>Liquidity-first</x:v>
      </x:c>
      <x:c r="B47" s="8" t="str">
        <x:v>unavailable target cash</x:v>
      </x:c>
      <x:c r="C47" s="20" t="n">
        <x:v>340</x:v>
      </x:c>
    </x:row>
    <x:row r="48" ht="36" customHeight="1">
      <x:c r="A48" s="8" t="str">
        <x:v>Liquidity-first</x:v>
      </x:c>
      <x:c r="B48" s="8" t="str">
        <x:v>opening debt</x:v>
      </x:c>
      <x:c r="C48" s="20" t="n">
        <x:v>3553.3502538071066</x:v>
      </x:c>
    </x:row>
    <x:row r="49" ht="36" customHeight="1">
      <x:c r="A49" s="8" t="str">
        <x:v>Liquidity-first</x:v>
      </x:c>
      <x:c r="B49" s="8" t="str">
        <x:v>analytical equity</x:v>
      </x:c>
      <x:c r="C49" s="20" t="n">
        <x:v>0</x:v>
      </x:c>
    </x:row>
    <x:row r="50" ht="36" customHeight="1">
      <x:c r="A50" s="8" t="str">
        <x:v>Liquidity-first</x:v>
      </x:c>
      <x:c r="B50" s="8" t="str">
        <x:v>sources uses difference</x:v>
      </x:c>
      <x:c r="C50" s="20" t="n">
        <x:v>0</x:v>
      </x:c>
    </x:row>
    <x:row r="51" ht="36" customHeight="1">
      <x:c r="A51" s="8" t="str">
        <x:v>Mixed consideration</x:v>
      </x:c>
      <x:c r="B51" s="8" t="str">
        <x:v>fee convention</x:v>
      </x:c>
      <x:c r="C51" s="20" t="str">
        <x:v>fixed_budget</x:v>
      </x:c>
    </x:row>
    <x:row r="52" ht="36" customHeight="1">
      <x:c r="A52" s="8" t="str">
        <x:v>Mixed consideration</x:v>
      </x:c>
      <x:c r="B52" s="8" t="str">
        <x:v>equity consideration</x:v>
      </x:c>
      <x:c r="C52" s="20" t="n">
        <x:v>2040</x:v>
      </x:c>
    </x:row>
    <x:row r="53" ht="36" customHeight="1">
      <x:c r="A53" s="8" t="str">
        <x:v>Mixed consideration</x:v>
      </x:c>
      <x:c r="B53" s="8" t="str">
        <x:v>enterprise value</x:v>
      </x:c>
      <x:c r="C53" s="20" t="n">
        <x:v>2150</x:v>
      </x:c>
    </x:row>
    <x:row r="54" ht="36" customHeight="1">
      <x:c r="A54" s="8" t="str">
        <x:v>Mixed consideration</x:v>
      </x:c>
      <x:c r="B54" s="8" t="str">
        <x:v>equity headline difference</x:v>
      </x:c>
      <x:c r="C54" s="20" t="n">
        <x:v>0</x:v>
      </x:c>
    </x:row>
    <x:row r="55" ht="36" customHeight="1">
      <x:c r="A55" s="8" t="str">
        <x:v>Mixed consideration</x:v>
      </x:c>
      <x:c r="B55" s="8" t="str">
        <x:v>ev headline difference</x:v>
      </x:c>
      <x:c r="C55" s="20" t="n">
        <x:v>-20</x:v>
      </x:c>
    </x:row>
    <x:row r="56" ht="36" customHeight="1">
      <x:c r="A56" s="8" t="str">
        <x:v>Mixed consideration</x:v>
      </x:c>
      <x:c r="B56" s="8" t="str">
        <x:v>cash purchase</x:v>
      </x:c>
      <x:c r="C56" s="20" t="n">
        <x:v>1020</x:v>
      </x:c>
    </x:row>
    <x:row r="57" ht="36" customHeight="1">
      <x:c r="A57" s="8" t="str">
        <x:v>Mixed consideration</x:v>
      </x:c>
      <x:c r="B57" s="8" t="str">
        <x:v>noncash consideration</x:v>
      </x:c>
      <x:c r="C57" s="20" t="n">
        <x:v>1020.0000000000001</x:v>
      </x:c>
    </x:row>
    <x:row r="58" ht="36" customHeight="1">
      <x:c r="A58" s="8" t="str">
        <x:v>Mixed consideration</x:v>
      </x:c>
      <x:c r="B58" s="8" t="str">
        <x:v>stock issued</x:v>
      </x:c>
      <x:c r="C58" s="20" t="n">
        <x:v>5.1000000000000005</x:v>
      </x:c>
    </x:row>
    <x:row r="59" ht="36" customHeight="1">
      <x:c r="A59" s="8" t="str">
        <x:v>Mixed consideration</x:v>
      </x:c>
      <x:c r="B59" s="8" t="str">
        <x:v>ownership dilution</x:v>
      </x:c>
      <x:c r="C59" s="20" t="n">
        <x:v>0.05992949471210342</x:v>
      </x:c>
    </x:row>
    <x:row r="60" ht="36" customHeight="1">
      <x:c r="A60" s="8" t="str">
        <x:v>Mixed consideration</x:v>
      </x:c>
      <x:c r="B60" s="8" t="str">
        <x:v>required debt repayment</x:v>
      </x:c>
      <x:c r="C60" s="20" t="n">
        <x:v>100</x:v>
      </x:c>
    </x:row>
    <x:row r="61" ht="36" customHeight="1">
      <x:c r="A61" s="8" t="str">
        <x:v>Mixed consideration</x:v>
      </x:c>
      <x:c r="B61" s="8" t="str">
        <x:v>transaction fees</x:v>
      </x:c>
      <x:c r="C61" s="20" t="n">
        <x:v>50</x:v>
      </x:c>
    </x:row>
    <x:row r="62" ht="36" customHeight="1">
      <x:c r="A62" s="8" t="str">
        <x:v>Mixed consideration</x:v>
      </x:c>
      <x:c r="B62" s="8" t="str">
        <x:v>financing fees</x:v>
      </x:c>
      <x:c r="C62" s="20" t="n">
        <x:v>4.568527918781726</x:v>
      </x:c>
    </x:row>
    <x:row r="63" ht="36" customHeight="1">
      <x:c r="A63" s="8" t="str">
        <x:v>Mixed consideration</x:v>
      </x:c>
      <x:c r="B63" s="8" t="str">
        <x:v>cash uses</x:v>
      </x:c>
      <x:c r="C63" s="20" t="n">
        <x:v>1174.5685279187817</x:v>
      </x:c>
    </x:row>
    <x:row r="64" ht="36" customHeight="1">
      <x:c r="A64" s="8" t="str">
        <x:v>Mixed consideration</x:v>
      </x:c>
      <x:c r="B64" s="8" t="str">
        <x:v>cash contribution</x:v>
      </x:c>
      <x:c r="C64" s="20" t="n">
        <x:v>870</x:v>
      </x:c>
    </x:row>
    <x:row r="65" ht="36" customHeight="1">
      <x:c r="A65" s="8" t="str">
        <x:v>Mixed consideration</x:v>
      </x:c>
      <x:c r="B65" s="8" t="str">
        <x:v>acquisition borrowing</x:v>
      </x:c>
      <x:c r="C65" s="20" t="n">
        <x:v>150</x:v>
      </x:c>
    </x:row>
    <x:row r="66" ht="36" customHeight="1">
      <x:c r="A66" s="8" t="str">
        <x:v>Mixed consideration</x:v>
      </x:c>
      <x:c r="B66" s="8" t="str">
        <x:v>borrowing for refinancing and fees</x:v>
      </x:c>
      <x:c r="C66" s="20" t="n">
        <x:v>154.56852791878174</x:v>
      </x:c>
    </x:row>
    <x:row r="67" ht="36" customHeight="1">
      <x:c r="A67" s="8" t="str">
        <x:v>Mixed consideration</x:v>
      </x:c>
      <x:c r="B67" s="8" t="str">
        <x:v>total new borrowing</x:v>
      </x:c>
      <x:c r="C67" s="20" t="n">
        <x:v>304.56852791878174</x:v>
      </x:c>
    </x:row>
    <x:row r="68" ht="36" customHeight="1">
      <x:c r="A68" s="8" t="str">
        <x:v>Mixed consideration</x:v>
      </x:c>
      <x:c r="B68" s="8" t="str">
        <x:v>retained debt</x:v>
      </x:c>
      <x:c r="C68" s="20" t="n">
        <x:v>1330</x:v>
      </x:c>
    </x:row>
    <x:row r="69" ht="36" customHeight="1">
      <x:c r="A69" s="8" t="str">
        <x:v>Mixed consideration</x:v>
      </x:c>
      <x:c r="B69" s="8" t="str">
        <x:v>opening cash</x:v>
      </x:c>
      <x:c r="C69" s="20" t="n">
        <x:v>750</x:v>
      </x:c>
    </x:row>
    <x:row r="70" ht="36" customHeight="1">
      <x:c r="A70" s="8" t="str">
        <x:v>Mixed consideration</x:v>
      </x:c>
      <x:c r="B70" s="8" t="str">
        <x:v>unavailable target cash</x:v>
      </x:c>
      <x:c r="C70" s="20" t="n">
        <x:v>340</x:v>
      </x:c>
    </x:row>
    <x:row r="71" ht="36" customHeight="1">
      <x:c r="A71" s="8" t="str">
        <x:v>Mixed consideration</x:v>
      </x:c>
      <x:c r="B71" s="8" t="str">
        <x:v>opening debt</x:v>
      </x:c>
      <x:c r="C71" s="20" t="n">
        <x:v>1634.5685279187817</x:v>
      </x:c>
    </x:row>
    <x:row r="72" ht="36" customHeight="1">
      <x:c r="A72" s="8" t="str">
        <x:v>Mixed consideration</x:v>
      </x:c>
      <x:c r="B72" s="8" t="str">
        <x:v>analytical equity</x:v>
      </x:c>
      <x:c r="C72" s="20" t="n">
        <x:v>0</x:v>
      </x:c>
    </x:row>
    <x:row r="73" ht="36" customHeight="1">
      <x:c r="A73" s="8" t="str">
        <x:v>Mixed consideration</x:v>
      </x:c>
      <x:c r="B73" s="8" t="str">
        <x:v>sources uses difference</x:v>
      </x:c>
      <x:c r="C73" s="20" t="n">
        <x:v>0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 ht="42" customHeight="1">
      <x:c r="A2" s="5" t="str">
        <x:v>Fictional Atlas / Beacon - illustrative only | Opening Bridge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42" customHeight="1">
      <x:c r="A4" s="7" t="str">
        <x:v>Structure</x:v>
      </x:c>
      <x:c r="B4" s="7" t="str">
        <x:v>Company</x:v>
      </x:c>
      <x:c r="C4" s="7" t="str">
        <x:v>Latest cash</x:v>
      </x:c>
      <x:c r="D4" s="7" t="str">
        <x:v>Operating cash</x:v>
      </x:c>
      <x:c r="E4" s="7" t="str">
        <x:v>Capex</x:v>
      </x:c>
      <x:c r="F4" s="7" t="str">
        <x:v>Dividends</x:v>
      </x:c>
      <x:c r="G4" s="7" t="str">
        <x:v>Buybacks</x:v>
      </x:c>
      <x:c r="H4" s="7" t="str">
        <x:v>Debt repayment</x:v>
      </x:c>
      <x:c r="I4" s="7" t="str">
        <x:v>Closing cash</x:v>
      </x:c>
      <x:c r="J4" s="7" t="str">
        <x:v>Latest debt</x:v>
      </x:c>
      <x:c r="K4" s="7" t="str">
        <x:v>Closing debt</x:v>
      </x:c>
    </x:row>
    <x:row r="5" ht="36" customHeight="1">
      <x:c r="A5" s="8" t="str">
        <x:v>Cash-first</x:v>
      </x:c>
      <x:c r="B5" s="8" t="str">
        <x:v>Atlas</x:v>
      </x:c>
      <x:c r="C5" s="8" t="n">
        <x:v>1600</x:v>
      </x:c>
      <x:c r="D5" s="8" t="n">
        <x:v>120</x:v>
      </x:c>
      <x:c r="E5" s="8" t="n">
        <x:v>80</x:v>
      </x:c>
      <x:c r="F5" s="8" t="n">
        <x:v>20</x:v>
      </x:c>
      <x:c r="G5" s="8" t="n">
        <x:v>0</x:v>
      </x:c>
      <x:c r="H5" s="8" t="n">
        <x:v>0</x:v>
      </x:c>
      <x:c r="I5" s="21" t="n">
        <x:f>C5+D5-E5-F5-G5-H5</x:f>
        <x:v>1620</x:v>
      </x:c>
      <x:c r="J5" s="8" t="n">
        <x:v>980</x:v>
      </x:c>
      <x:c r="K5" s="21" t="n">
        <x:f>J5-H5</x:f>
        <x:v>980</x:v>
      </x:c>
    </x:row>
    <x:row r="6" ht="36" customHeight="1">
      <x:c r="A6" s="8" t="str">
        <x:v>Cash-first</x:v>
      </x:c>
      <x:c r="B6" s="8" t="str">
        <x:v>Beacon</x:v>
      </x:c>
      <x:c r="C6" s="8" t="n">
        <x:v>320</x:v>
      </x:c>
      <x:c r="D6" s="8" t="n">
        <x:v>120</x:v>
      </x:c>
      <x:c r="E6" s="8" t="n">
        <x:v>80</x:v>
      </x:c>
      <x:c r="F6" s="8" t="n">
        <x:v>20</x:v>
      </x:c>
      <x:c r="G6" s="8" t="n">
        <x:v>0</x:v>
      </x:c>
      <x:c r="H6" s="8" t="n">
        <x:v>0</x:v>
      </x:c>
      <x:c r="I6" s="21" t="n">
        <x:f>C6+D6-E6-F6-G6-H6</x:f>
        <x:v>340</x:v>
      </x:c>
      <x:c r="J6" s="8" t="n">
        <x:v>450</x:v>
      </x:c>
      <x:c r="K6" s="21" t="n">
        <x:f>J6-H6</x:f>
        <x:v>450</x:v>
      </x:c>
    </x:row>
    <x:row r="7" ht="36" customHeight="1">
      <x:c r="A7" s="8" t="str">
        <x:v>Liquidity-first</x:v>
      </x:c>
      <x:c r="B7" s="8" t="str">
        <x:v>Atlas</x:v>
      </x:c>
      <x:c r="C7" s="8" t="n">
        <x:v>1600</x:v>
      </x:c>
      <x:c r="D7" s="8" t="n">
        <x:v>120</x:v>
      </x:c>
      <x:c r="E7" s="8" t="n">
        <x:v>80</x:v>
      </x:c>
      <x:c r="F7" s="8" t="n">
        <x:v>20</x:v>
      </x:c>
      <x:c r="G7" s="8" t="n">
        <x:v>0</x:v>
      </x:c>
      <x:c r="H7" s="8" t="n">
        <x:v>0</x:v>
      </x:c>
      <x:c r="I7" s="21" t="n">
        <x:f>C7+D7-E7-F7-G7-H7</x:f>
        <x:v>1620</x:v>
      </x:c>
      <x:c r="J7" s="8" t="n">
        <x:v>980</x:v>
      </x:c>
      <x:c r="K7" s="21" t="n">
        <x:f>J7-H7</x:f>
        <x:v>980</x:v>
      </x:c>
    </x:row>
    <x:row r="8" ht="36" customHeight="1">
      <x:c r="A8" s="8" t="str">
        <x:v>Liquidity-first</x:v>
      </x:c>
      <x:c r="B8" s="8" t="str">
        <x:v>Beacon</x:v>
      </x:c>
      <x:c r="C8" s="8" t="n">
        <x:v>320</x:v>
      </x:c>
      <x:c r="D8" s="8" t="n">
        <x:v>120</x:v>
      </x:c>
      <x:c r="E8" s="8" t="n">
        <x:v>80</x:v>
      </x:c>
      <x:c r="F8" s="8" t="n">
        <x:v>20</x:v>
      </x:c>
      <x:c r="G8" s="8" t="n">
        <x:v>0</x:v>
      </x:c>
      <x:c r="H8" s="8" t="n">
        <x:v>0</x:v>
      </x:c>
      <x:c r="I8" s="21" t="n">
        <x:f>C8+D8-E8-F8-G8-H8</x:f>
        <x:v>340</x:v>
      </x:c>
      <x:c r="J8" s="8" t="n">
        <x:v>450</x:v>
      </x:c>
      <x:c r="K8" s="21" t="n">
        <x:f>J8-H8</x:f>
        <x:v>450</x:v>
      </x:c>
    </x:row>
    <x:row r="9" ht="36" customHeight="1">
      <x:c r="A9" s="8" t="str">
        <x:v>Mixed consideration</x:v>
      </x:c>
      <x:c r="B9" s="8" t="str">
        <x:v>Atlas</x:v>
      </x:c>
      <x:c r="C9" s="8" t="n">
        <x:v>1600</x:v>
      </x:c>
      <x:c r="D9" s="8" t="n">
        <x:v>120</x:v>
      </x:c>
      <x:c r="E9" s="8" t="n">
        <x:v>80</x:v>
      </x:c>
      <x:c r="F9" s="8" t="n">
        <x:v>20</x:v>
      </x:c>
      <x:c r="G9" s="8" t="n">
        <x:v>0</x:v>
      </x:c>
      <x:c r="H9" s="8" t="n">
        <x:v>0</x:v>
      </x:c>
      <x:c r="I9" s="21" t="n">
        <x:f>C9+D9-E9-F9-G9-H9</x:f>
        <x:v>1620</x:v>
      </x:c>
      <x:c r="J9" s="8" t="n">
        <x:v>980</x:v>
      </x:c>
      <x:c r="K9" s="21" t="n">
        <x:f>J9-H9</x:f>
        <x:v>980</x:v>
      </x:c>
    </x:row>
    <x:row r="10" ht="36" customHeight="1">
      <x:c r="A10" s="8" t="str">
        <x:v>Mixed consideration</x:v>
      </x:c>
      <x:c r="B10" s="8" t="str">
        <x:v>Beacon</x:v>
      </x:c>
      <x:c r="C10" s="8" t="n">
        <x:v>320</x:v>
      </x:c>
      <x:c r="D10" s="8" t="n">
        <x:v>120</x:v>
      </x:c>
      <x:c r="E10" s="8" t="n">
        <x:v>80</x:v>
      </x:c>
      <x:c r="F10" s="8" t="n">
        <x:v>20</x:v>
      </x:c>
      <x:c r="G10" s="8" t="n">
        <x:v>0</x:v>
      </x:c>
      <x:c r="H10" s="8" t="n">
        <x:v>0</x:v>
      </x:c>
      <x:c r="I10" s="21" t="n">
        <x:f>C10+D10-E10-F10-G10-H10</x:f>
        <x:v>340</x:v>
      </x:c>
      <x:c r="J10" s="8" t="n">
        <x:v>450</x:v>
      </x:c>
      <x:c r="K10" s="21" t="n">
        <x:f>J10-H10</x:f>
        <x:v>450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2" ht="42" customHeight="1">
      <x:c r="A2" s="5" t="str">
        <x:v>Fictional Atlas / Beacon - illustrative only | Operations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42" customHeight="1">
      <x:c r="A4" s="7" t="str">
        <x:v>Structure</x:v>
      </x:c>
      <x:c r="B4" s="7" t="str">
        <x:v>Company</x:v>
      </x:c>
      <x:c r="C4" s="7" t="str">
        <x:v>Year</x:v>
      </x:c>
      <x:c r="D4" s="7" t="str">
        <x:v>Revenue</x:v>
      </x:c>
      <x:c r="E4" s="7" t="str">
        <x:v>COGS</x:v>
      </x:c>
      <x:c r="F4" s="7" t="str">
        <x:v>Variable cost</x:v>
      </x:c>
      <x:c r="G4" s="7" t="str">
        <x:v>Fixed cost</x:v>
      </x:c>
      <x:c r="H4" s="7" t="str">
        <x:v>Rent expense</x:v>
      </x:c>
      <x:c r="I4" s="7" t="str">
        <x:v>EBITDA</x:v>
      </x:c>
      <x:c r="J4" s="7" t="str">
        <x:v>D&amp;A</x:v>
      </x:c>
      <x:c r="K4" s="7" t="str">
        <x:v>EBIT</x:v>
      </x:c>
      <x:c r="L4" s="7" t="str">
        <x:v>Capex</x:v>
      </x:c>
      <x:c r="M4" s="7" t="str">
        <x:v>Inventory</x:v>
      </x:c>
      <x:c r="N4" s="7" t="str">
        <x:v>Receivables</x:v>
      </x:c>
      <x:c r="O4" s="7" t="str">
        <x:v>Payables</x:v>
      </x:c>
      <x:c r="P4" s="7" t="str">
        <x:v>Net working capital</x:v>
      </x:c>
    </x:row>
    <x:row r="5" ht="36" customHeight="1">
      <x:c r="A5" s="8" t="str">
        <x:v>Cash-first</x:v>
      </x:c>
      <x:c r="B5" s="8" t="str">
        <x:v>Atlas</x:v>
      </x:c>
      <x:c r="C5" s="22" t="n">
        <x:v>1</x:v>
      </x:c>
      <x:c r="D5" s="8" t="n">
        <x:v>11274.999999999998</x:v>
      </x:c>
      <x:c r="E5" s="8" t="n">
        <x:v>7441.499999999998</x:v>
      </x:c>
      <x:c r="F5" s="8" t="n">
        <x:v>1127.4999999999998</x:v>
      </x:c>
      <x:c r="G5" s="8" t="n">
        <x:v>1173</x:v>
      </x:c>
      <x:c r="H5" s="8" t="n">
        <x:v>285.6</x:v>
      </x:c>
      <x:c r="I5" s="21" t="n">
        <x:f>D5-E5-F5-G5-H5</x:f>
        <x:v>1247.4</x:v>
      </x:c>
      <x:c r="J5" s="8" t="n">
        <x:v>281.87499999999994</x:v>
      </x:c>
      <x:c r="K5" s="21" t="n">
        <x:f>I5-J5</x:f>
        <x:v>965.5250000000001</x:v>
      </x:c>
      <x:c r="L5" s="8" t="n">
        <x:v>394.625</x:v>
      </x:c>
      <x:c r="M5" s="8" t="n">
        <x:v>1529.075342465753</x:v>
      </x:c>
      <x:c r="N5" s="8" t="n">
        <x:v>154.45205479452054</x:v>
      </x:c>
      <x:c r="O5" s="8" t="n">
        <x:v>815.5068493150683</x:v>
      </x:c>
      <x:c r="P5" s="21" t="n">
        <x:f>M5+N5-O5</x:f>
        <x:v>868.0205479452053</x:v>
      </x:c>
    </x:row>
    <x:row r="6" ht="36" customHeight="1">
      <x:c r="A6" s="8" t="str">
        <x:v>Cash-first</x:v>
      </x:c>
      <x:c r="B6" s="8" t="str">
        <x:v>Atlas</x:v>
      </x:c>
      <x:c r="C6" s="22" t="n">
        <x:v>2</x:v>
      </x:c>
      <x:c r="D6" s="8" t="n">
        <x:v>11556.874999999996</x:v>
      </x:c>
      <x:c r="E6" s="8" t="n">
        <x:v>7627.537499999997</x:v>
      </x:c>
      <x:c r="F6" s="8" t="n">
        <x:v>1155.6874999999998</x:v>
      </x:c>
      <x:c r="G6" s="8" t="n">
        <x:v>1196.46</x:v>
      </x:c>
      <x:c r="H6" s="8" t="n">
        <x:v>291.312</x:v>
      </x:c>
      <x:c r="I6" s="21" t="n">
        <x:f>D6-E6-F6-G6-H6</x:f>
        <x:v>1285.8779999999997</x:v>
      </x:c>
      <x:c r="J6" s="8" t="n">
        <x:v>288.92187499999994</x:v>
      </x:c>
      <x:c r="K6" s="21" t="n">
        <x:f>I6-J6</x:f>
        <x:v>996.9561249999997</x:v>
      </x:c>
      <x:c r="L6" s="8" t="n">
        <x:v>404.4906249999999</x:v>
      </x:c>
      <x:c r="M6" s="8" t="n">
        <x:v>1567.3022260273967</x:v>
      </x:c>
      <x:c r="N6" s="8" t="n">
        <x:v>158.31335616438352</x:v>
      </x:c>
      <x:c r="O6" s="8" t="n">
        <x:v>835.8945205479449</x:v>
      </x:c>
      <x:c r="P6" s="21" t="n">
        <x:f>M6+N6-O6</x:f>
        <x:v>889.7210616438354</x:v>
      </x:c>
    </x:row>
    <x:row r="7" ht="36" customHeight="1">
      <x:c r="A7" s="8" t="str">
        <x:v>Cash-first</x:v>
      </x:c>
      <x:c r="B7" s="8" t="str">
        <x:v>Atlas</x:v>
      </x:c>
      <x:c r="C7" s="22" t="n">
        <x:v>3</x:v>
      </x:c>
      <x:c r="D7" s="8" t="n">
        <x:v>11845.796874999995</x:v>
      </x:c>
      <x:c r="E7" s="8" t="n">
        <x:v>7818.225937499996</x:v>
      </x:c>
      <x:c r="F7" s="8" t="n">
        <x:v>1184.5796874999994</x:v>
      </x:c>
      <x:c r="G7" s="8" t="n">
        <x:v>1220.3892</x:v>
      </x:c>
      <x:c r="H7" s="8" t="n">
        <x:v>297.13824000000005</x:v>
      </x:c>
      <x:c r="I7" s="21" t="n">
        <x:f>D7-E7-F7-G7-H7</x:f>
        <x:v>1325.463809999999</x:v>
      </x:c>
      <x:c r="J7" s="8" t="n">
        <x:v>296.14492187499985</x:v>
      </x:c>
      <x:c r="K7" s="21" t="n">
        <x:f>I7-J7</x:f>
        <x:v>1029.3188881249991</x:v>
      </x:c>
      <x:c r="L7" s="8" t="n">
        <x:v>414.6028906249999</x:v>
      </x:c>
      <x:c r="M7" s="8" t="n">
        <x:v>1606.4847816780812</x:v>
      </x:c>
      <x:c r="N7" s="8" t="n">
        <x:v>162.27119006849307</x:v>
      </x:c>
      <x:c r="O7" s="8" t="n">
        <x:v>856.7918835616434</x:v>
      </x:c>
      <x:c r="P7" s="21" t="n">
        <x:f>M7+N7-O7</x:f>
        <x:v>911.9640881849308</x:v>
      </x:c>
    </x:row>
    <x:row r="8" ht="36" customHeight="1">
      <x:c r="A8" s="8" t="str">
        <x:v>Cash-first</x:v>
      </x:c>
      <x:c r="B8" s="8" t="str">
        <x:v>Atlas</x:v>
      </x:c>
      <x:c r="C8" s="22" t="n">
        <x:v>4</x:v>
      </x:c>
      <x:c r="D8" s="8" t="n">
        <x:v>12141.941796874993</x:v>
      </x:c>
      <x:c r="E8" s="8" t="n">
        <x:v>8013.681585937495</x:v>
      </x:c>
      <x:c r="F8" s="8" t="n">
        <x:v>1214.1941796874994</x:v>
      </x:c>
      <x:c r="G8" s="8" t="n">
        <x:v>1244.796984</x:v>
      </x:c>
      <x:c r="H8" s="8" t="n">
        <x:v>303.0810048</x:v>
      </x:c>
      <x:c r="I8" s="21" t="n">
        <x:f>D8-E8-F8-G8-H8</x:f>
        <x:v>1366.1880424499989</x:v>
      </x:c>
      <x:c r="J8" s="8" t="n">
        <x:v>303.54854492187485</x:v>
      </x:c>
      <x:c r="K8" s="21" t="n">
        <x:f>I8-J8</x:f>
        <x:v>1062.6394975281241</x:v>
      </x:c>
      <x:c r="L8" s="8" t="n">
        <x:v>424.9679628906248</x:v>
      </x:c>
      <x:c r="M8" s="8" t="n">
        <x:v>1646.6469012200332</x:v>
      </x:c>
      <x:c r="N8" s="8" t="n">
        <x:v>166.32796982020537</x:v>
      </x:c>
      <x:c r="O8" s="8" t="n">
        <x:v>878.2116806506842</x:v>
      </x:c>
      <x:c r="P8" s="21" t="n">
        <x:f>M8+N8-O8</x:f>
        <x:v>934.7631903895544</x:v>
      </x:c>
    </x:row>
    <x:row r="9" ht="36" customHeight="1">
      <x:c r="A9" s="8" t="str">
        <x:v>Cash-first</x:v>
      </x:c>
      <x:c r="B9" s="8" t="str">
        <x:v>Atlas</x:v>
      </x:c>
      <x:c r="C9" s="22" t="n">
        <x:v>5</x:v>
      </x:c>
      <x:c r="D9" s="8" t="n">
        <x:v>12445.490341796867</x:v>
      </x:c>
      <x:c r="E9" s="8" t="n">
        <x:v>8214.02362558593</x:v>
      </x:c>
      <x:c r="F9" s="8" t="n">
        <x:v>1244.5490341796867</x:v>
      </x:c>
      <x:c r="G9" s="8" t="n">
        <x:v>1269.69292368</x:v>
      </x:c>
      <x:c r="H9" s="8" t="n">
        <x:v>309.14262489600003</x:v>
      </x:c>
      <x:c r="I9" s="21" t="n">
        <x:f>D9-E9-F9-G9-H9</x:f>
        <x:v>1408.0821334552497</x:v>
      </x:c>
      <x:c r="J9" s="8" t="n">
        <x:v>311.1372585449217</x:v>
      </x:c>
      <x:c r="K9" s="21" t="n">
        <x:f>I9-J9</x:f>
        <x:v>1096.944874910328</x:v>
      </x:c>
      <x:c r="L9" s="8" t="n">
        <x:v>435.5921619628904</x:v>
      </x:c>
      <x:c r="M9" s="8" t="n">
        <x:v>1687.8130737505337</x:v>
      </x:c>
      <x:c r="N9" s="8" t="n">
        <x:v>170.4861690657105</x:v>
      </x:c>
      <x:c r="O9" s="8" t="n">
        <x:v>900.1669726669514</x:v>
      </x:c>
      <x:c r="P9" s="21" t="n">
        <x:f>M9+N9-O9</x:f>
        <x:v>958.1322701492928</x:v>
      </x:c>
    </x:row>
    <x:row r="10" ht="36" customHeight="1">
      <x:c r="A10" s="8" t="str">
        <x:v>Cash-first</x:v>
      </x:c>
      <x:c r="B10" s="8" t="str">
        <x:v>Beacon</x:v>
      </x:c>
      <x:c r="C10" s="22" t="n">
        <x:v>1</x:v>
      </x:c>
      <x:c r="D10" s="8" t="n">
        <x:v>5534.999999999999</x:v>
      </x:c>
      <x:c r="E10" s="8" t="n">
        <x:v>3763.799999999999</x:v>
      </x:c>
      <x:c r="F10" s="8" t="n">
        <x:v>553.4999999999999</x:v>
      </x:c>
      <x:c r="G10" s="8" t="n">
        <x:v>683.4</x:v>
      </x:c>
      <x:c r="H10" s="8" t="n">
        <x:v>224.4</x:v>
      </x:c>
      <x:c r="I10" s="21" t="n">
        <x:f>D10-E10-F10-G10-H10</x:f>
        <x:v>309.9000000000003</x:v>
      </x:c>
      <x:c r="J10" s="8" t="n">
        <x:v>138.37499999999997</x:v>
      </x:c>
      <x:c r="K10" s="21" t="n">
        <x:f>I10-J10</x:f>
        <x:v>171.52500000000035</x:v>
      </x:c>
      <x:c r="L10" s="8" t="n">
        <x:v>193.725</x:v>
      </x:c>
      <x:c r="M10" s="8" t="n">
        <x:v>773.3835616438353</x:v>
      </x:c>
      <x:c r="N10" s="8" t="n">
        <x:v>75.82191780821917</x:v>
      </x:c>
      <x:c r="O10" s="8" t="n">
        <x:v>412.4712328767122</x:v>
      </x:c>
      <x:c r="P10" s="21" t="n">
        <x:f>M10+N10-O10</x:f>
        <x:v>436.73424657534224</x:v>
      </x:c>
    </x:row>
    <x:row r="11" ht="36" customHeight="1">
      <x:c r="A11" s="8" t="str">
        <x:v>Cash-first</x:v>
      </x:c>
      <x:c r="B11" s="8" t="str">
        <x:v>Beacon</x:v>
      </x:c>
      <x:c r="C11" s="22" t="n">
        <x:v>2</x:v>
      </x:c>
      <x:c r="D11" s="8" t="n">
        <x:v>5673.374999999998</x:v>
      </x:c>
      <x:c r="E11" s="8" t="n">
        <x:v>3857.8949999999986</x:v>
      </x:c>
      <x:c r="F11" s="8" t="n">
        <x:v>567.3374999999999</x:v>
      </x:c>
      <x:c r="G11" s="8" t="n">
        <x:v>697.068</x:v>
      </x:c>
      <x:c r="H11" s="8" t="n">
        <x:v>228.888</x:v>
      </x:c>
      <x:c r="I11" s="21" t="n">
        <x:f>D11-E11-F11-G11-H11</x:f>
        <x:v>322.1864999999997</x:v>
      </x:c>
      <x:c r="J11" s="8" t="n">
        <x:v>141.83437499999997</x:v>
      </x:c>
      <x:c r="K11" s="21" t="n">
        <x:f>I11-J11</x:f>
        <x:v>180.35212499999972</x:v>
      </x:c>
      <x:c r="L11" s="8" t="n">
        <x:v>198.56812499999995</x:v>
      </x:c>
      <x:c r="M11" s="8" t="n">
        <x:v>792.7181506849312</x:v>
      </x:c>
      <x:c r="N11" s="8" t="n">
        <x:v>77.71746575342463</x:v>
      </x:c>
      <x:c r="O11" s="8" t="n">
        <x:v>422.78301369862993</x:v>
      </x:c>
      <x:c r="P11" s="21" t="n">
        <x:f>M11+N11-O11</x:f>
        <x:v>447.6526027397259</x:v>
      </x:c>
    </x:row>
    <x:row r="12" ht="36" customHeight="1">
      <x:c r="A12" s="8" t="str">
        <x:v>Cash-first</x:v>
      </x:c>
      <x:c r="B12" s="8" t="str">
        <x:v>Beacon</x:v>
      </x:c>
      <x:c r="C12" s="22" t="n">
        <x:v>3</x:v>
      </x:c>
      <x:c r="D12" s="8" t="n">
        <x:v>5815.209374999998</x:v>
      </x:c>
      <x:c r="E12" s="8" t="n">
        <x:v>3954.342374999998</x:v>
      </x:c>
      <x:c r="F12" s="8" t="n">
        <x:v>581.5209374999998</x:v>
      </x:c>
      <x:c r="G12" s="8" t="n">
        <x:v>711.0093600000001</x:v>
      </x:c>
      <x:c r="H12" s="8" t="n">
        <x:v>233.46576000000005</x:v>
      </x:c>
      <x:c r="I12" s="21" t="n">
        <x:f>D12-E12-F12-G12-H12</x:f>
        <x:v>334.8709424999996</x:v>
      </x:c>
      <x:c r="J12" s="8" t="n">
        <x:v>145.38023437499996</x:v>
      </x:c>
      <x:c r="K12" s="21" t="n">
        <x:f>I12-J12</x:f>
        <x:v>189.49070812499966</x:v>
      </x:c>
      <x:c r="L12" s="8" t="n">
        <x:v>203.53232812499994</x:v>
      </x:c>
      <x:c r="M12" s="8" t="n">
        <x:v>812.5361044520544</x:v>
      </x:c>
      <x:c r="N12" s="8" t="n">
        <x:v>79.66040239726024</x:v>
      </x:c>
      <x:c r="O12" s="8" t="n">
        <x:v>433.35258904109565</x:v>
      </x:c>
      <x:c r="P12" s="21" t="n">
        <x:f>M12+N12-O12</x:f>
        <x:v>458.8439178082189</x:v>
      </x:c>
    </x:row>
    <x:row r="13" ht="36" customHeight="1">
      <x:c r="A13" s="8" t="str">
        <x:v>Cash-first</x:v>
      </x:c>
      <x:c r="B13" s="8" t="str">
        <x:v>Beacon</x:v>
      </x:c>
      <x:c r="C13" s="22" t="n">
        <x:v>4</x:v>
      </x:c>
      <x:c r="D13" s="8" t="n">
        <x:v>5960.589609374997</x:v>
      </x:c>
      <x:c r="E13" s="8" t="n">
        <x:v>4053.200934374998</x:v>
      </x:c>
      <x:c r="F13" s="8" t="n">
        <x:v>596.0589609374997</x:v>
      </x:c>
      <x:c r="G13" s="8" t="n">
        <x:v>725.2295472</x:v>
      </x:c>
      <x:c r="H13" s="8" t="n">
        <x:v>238.1350752</x:v>
      </x:c>
      <x:c r="I13" s="21" t="n">
        <x:f>D13-E13-F13-G13-H13</x:f>
        <x:v>347.9650916624996</x:v>
      </x:c>
      <x:c r="J13" s="8" t="n">
        <x:v>149.01474023437493</x:v>
      </x:c>
      <x:c r="K13" s="21" t="n">
        <x:f>I13-J13</x:f>
        <x:v>198.9503514281247</x:v>
      </x:c>
      <x:c r="L13" s="8" t="n">
        <x:v>208.6206363281249</x:v>
      </x:c>
      <x:c r="M13" s="8" t="n">
        <x:v>832.8495070633556</x:v>
      </x:c>
      <x:c r="N13" s="8" t="n">
        <x:v>81.65191245719174</x:v>
      </x:c>
      <x:c r="O13" s="8" t="n">
        <x:v>444.186403767123</x:v>
      </x:c>
      <x:c r="P13" s="21" t="n">
        <x:f>M13+N13-O13</x:f>
        <x:v>470.3150157534244</x:v>
      </x:c>
    </x:row>
    <x:row r="14" ht="36" customHeight="1">
      <x:c r="A14" s="8" t="str">
        <x:v>Cash-first</x:v>
      </x:c>
      <x:c r="B14" s="8" t="str">
        <x:v>Beacon</x:v>
      </x:c>
      <x:c r="C14" s="22" t="n">
        <x:v>5</x:v>
      </x:c>
      <x:c r="D14" s="8" t="n">
        <x:v>6109.604349609372</x:v>
      </x:c>
      <x:c r="E14" s="8" t="n">
        <x:v>4154.530957734372</x:v>
      </x:c>
      <x:c r="F14" s="8" t="n">
        <x:v>610.9604349609372</x:v>
      </x:c>
      <x:c r="G14" s="8" t="n">
        <x:v>739.734138144</x:v>
      </x:c>
      <x:c r="H14" s="8" t="n">
        <x:v>242.897776704</x:v>
      </x:c>
      <x:c r="I14" s="21" t="n">
        <x:f>D14-E14-F14-G14-H14</x:f>
        <x:v>361.4810420660622</x:v>
      </x:c>
      <x:c r="J14" s="8" t="n">
        <x:v>152.7401087402343</x:v>
      </x:c>
      <x:c r="K14" s="21" t="n">
        <x:f>I14-J14</x:f>
        <x:v>208.74093332582788</x:v>
      </x:c>
      <x:c r="L14" s="8" t="n">
        <x:v>213.83615223632802</x:v>
      </x:c>
      <x:c r="M14" s="8" t="n">
        <x:v>853.6707447399394</x:v>
      </x:c>
      <x:c r="N14" s="8" t="n">
        <x:v>83.69321026862153</x:v>
      </x:c>
      <x:c r="O14" s="8" t="n">
        <x:v>455.2910638613011</x:v>
      </x:c>
      <x:c r="P14" s="21" t="n">
        <x:f>M14+N14-O14</x:f>
        <x:v>482.0728911472599</x:v>
      </x:c>
    </x:row>
    <x:row r="15" ht="36" customHeight="1">
      <x:c r="A15" s="8" t="str">
        <x:v>Liquidity-first</x:v>
      </x:c>
      <x:c r="B15" s="8" t="str">
        <x:v>Atlas</x:v>
      </x:c>
      <x:c r="C15" s="22" t="n">
        <x:v>1</x:v>
      </x:c>
      <x:c r="D15" s="8" t="n">
        <x:v>11274.999999999998</x:v>
      </x:c>
      <x:c r="E15" s="8" t="n">
        <x:v>7441.499999999998</x:v>
      </x:c>
      <x:c r="F15" s="8" t="n">
        <x:v>1127.4999999999998</x:v>
      </x:c>
      <x:c r="G15" s="8" t="n">
        <x:v>1173</x:v>
      </x:c>
      <x:c r="H15" s="8" t="n">
        <x:v>285.6</x:v>
      </x:c>
      <x:c r="I15" s="21" t="n">
        <x:f>D15-E15-F15-G15-H15</x:f>
        <x:v>1247.4</x:v>
      </x:c>
      <x:c r="J15" s="8" t="n">
        <x:v>281.87499999999994</x:v>
      </x:c>
      <x:c r="K15" s="21" t="n">
        <x:f>I15-J15</x:f>
        <x:v>965.5250000000001</x:v>
      </x:c>
      <x:c r="L15" s="8" t="n">
        <x:v>394.625</x:v>
      </x:c>
      <x:c r="M15" s="8" t="n">
        <x:v>1529.075342465753</x:v>
      </x:c>
      <x:c r="N15" s="8" t="n">
        <x:v>154.45205479452054</x:v>
      </x:c>
      <x:c r="O15" s="8" t="n">
        <x:v>815.5068493150683</x:v>
      </x:c>
      <x:c r="P15" s="21" t="n">
        <x:f>M15+N15-O15</x:f>
        <x:v>868.0205479452053</x:v>
      </x:c>
    </x:row>
    <x:row r="16" ht="36" customHeight="1">
      <x:c r="A16" s="8" t="str">
        <x:v>Liquidity-first</x:v>
      </x:c>
      <x:c r="B16" s="8" t="str">
        <x:v>Atlas</x:v>
      </x:c>
      <x:c r="C16" s="22" t="n">
        <x:v>2</x:v>
      </x:c>
      <x:c r="D16" s="8" t="n">
        <x:v>11556.874999999996</x:v>
      </x:c>
      <x:c r="E16" s="8" t="n">
        <x:v>7627.537499999997</x:v>
      </x:c>
      <x:c r="F16" s="8" t="n">
        <x:v>1155.6874999999998</x:v>
      </x:c>
      <x:c r="G16" s="8" t="n">
        <x:v>1196.46</x:v>
      </x:c>
      <x:c r="H16" s="8" t="n">
        <x:v>291.312</x:v>
      </x:c>
      <x:c r="I16" s="21" t="n">
        <x:f>D16-E16-F16-G16-H16</x:f>
        <x:v>1285.8779999999997</x:v>
      </x:c>
      <x:c r="J16" s="8" t="n">
        <x:v>288.92187499999994</x:v>
      </x:c>
      <x:c r="K16" s="21" t="n">
        <x:f>I16-J16</x:f>
        <x:v>996.9561249999997</x:v>
      </x:c>
      <x:c r="L16" s="8" t="n">
        <x:v>404.4906249999999</x:v>
      </x:c>
      <x:c r="M16" s="8" t="n">
        <x:v>1567.3022260273967</x:v>
      </x:c>
      <x:c r="N16" s="8" t="n">
        <x:v>158.31335616438352</x:v>
      </x:c>
      <x:c r="O16" s="8" t="n">
        <x:v>835.8945205479449</x:v>
      </x:c>
      <x:c r="P16" s="21" t="n">
        <x:f>M16+N16-O16</x:f>
        <x:v>889.7210616438354</x:v>
      </x:c>
    </x:row>
    <x:row r="17" ht="36" customHeight="1">
      <x:c r="A17" s="8" t="str">
        <x:v>Liquidity-first</x:v>
      </x:c>
      <x:c r="B17" s="8" t="str">
        <x:v>Atlas</x:v>
      </x:c>
      <x:c r="C17" s="22" t="n">
        <x:v>3</x:v>
      </x:c>
      <x:c r="D17" s="8" t="n">
        <x:v>11845.796874999995</x:v>
      </x:c>
      <x:c r="E17" s="8" t="n">
        <x:v>7818.225937499996</x:v>
      </x:c>
      <x:c r="F17" s="8" t="n">
        <x:v>1184.5796874999994</x:v>
      </x:c>
      <x:c r="G17" s="8" t="n">
        <x:v>1220.3892</x:v>
      </x:c>
      <x:c r="H17" s="8" t="n">
        <x:v>297.13824000000005</x:v>
      </x:c>
      <x:c r="I17" s="21" t="n">
        <x:f>D17-E17-F17-G17-H17</x:f>
        <x:v>1325.463809999999</x:v>
      </x:c>
      <x:c r="J17" s="8" t="n">
        <x:v>296.14492187499985</x:v>
      </x:c>
      <x:c r="K17" s="21" t="n">
        <x:f>I17-J17</x:f>
        <x:v>1029.3188881249991</x:v>
      </x:c>
      <x:c r="L17" s="8" t="n">
        <x:v>414.6028906249999</x:v>
      </x:c>
      <x:c r="M17" s="8" t="n">
        <x:v>1606.4847816780812</x:v>
      </x:c>
      <x:c r="N17" s="8" t="n">
        <x:v>162.27119006849307</x:v>
      </x:c>
      <x:c r="O17" s="8" t="n">
        <x:v>856.7918835616434</x:v>
      </x:c>
      <x:c r="P17" s="21" t="n">
        <x:f>M17+N17-O17</x:f>
        <x:v>911.9640881849308</x:v>
      </x:c>
    </x:row>
    <x:row r="18" ht="36" customHeight="1">
      <x:c r="A18" s="8" t="str">
        <x:v>Liquidity-first</x:v>
      </x:c>
      <x:c r="B18" s="8" t="str">
        <x:v>Atlas</x:v>
      </x:c>
      <x:c r="C18" s="22" t="n">
        <x:v>4</x:v>
      </x:c>
      <x:c r="D18" s="8" t="n">
        <x:v>12141.941796874993</x:v>
      </x:c>
      <x:c r="E18" s="8" t="n">
        <x:v>8013.681585937495</x:v>
      </x:c>
      <x:c r="F18" s="8" t="n">
        <x:v>1214.1941796874994</x:v>
      </x:c>
      <x:c r="G18" s="8" t="n">
        <x:v>1244.796984</x:v>
      </x:c>
      <x:c r="H18" s="8" t="n">
        <x:v>303.0810048</x:v>
      </x:c>
      <x:c r="I18" s="21" t="n">
        <x:f>D18-E18-F18-G18-H18</x:f>
        <x:v>1366.1880424499989</x:v>
      </x:c>
      <x:c r="J18" s="8" t="n">
        <x:v>303.54854492187485</x:v>
      </x:c>
      <x:c r="K18" s="21" t="n">
        <x:f>I18-J18</x:f>
        <x:v>1062.6394975281241</x:v>
      </x:c>
      <x:c r="L18" s="8" t="n">
        <x:v>424.9679628906248</x:v>
      </x:c>
      <x:c r="M18" s="8" t="n">
        <x:v>1646.6469012200332</x:v>
      </x:c>
      <x:c r="N18" s="8" t="n">
        <x:v>166.32796982020537</x:v>
      </x:c>
      <x:c r="O18" s="8" t="n">
        <x:v>878.2116806506842</x:v>
      </x:c>
      <x:c r="P18" s="21" t="n">
        <x:f>M18+N18-O18</x:f>
        <x:v>934.7631903895544</x:v>
      </x:c>
    </x:row>
    <x:row r="19" ht="36" customHeight="1">
      <x:c r="A19" s="8" t="str">
        <x:v>Liquidity-first</x:v>
      </x:c>
      <x:c r="B19" s="8" t="str">
        <x:v>Atlas</x:v>
      </x:c>
      <x:c r="C19" s="22" t="n">
        <x:v>5</x:v>
      </x:c>
      <x:c r="D19" s="8" t="n">
        <x:v>12445.490341796867</x:v>
      </x:c>
      <x:c r="E19" s="8" t="n">
        <x:v>8214.02362558593</x:v>
      </x:c>
      <x:c r="F19" s="8" t="n">
        <x:v>1244.5490341796867</x:v>
      </x:c>
      <x:c r="G19" s="8" t="n">
        <x:v>1269.69292368</x:v>
      </x:c>
      <x:c r="H19" s="8" t="n">
        <x:v>309.14262489600003</x:v>
      </x:c>
      <x:c r="I19" s="21" t="n">
        <x:f>D19-E19-F19-G19-H19</x:f>
        <x:v>1408.0821334552497</x:v>
      </x:c>
      <x:c r="J19" s="8" t="n">
        <x:v>311.1372585449217</x:v>
      </x:c>
      <x:c r="K19" s="21" t="n">
        <x:f>I19-J19</x:f>
        <x:v>1096.944874910328</x:v>
      </x:c>
      <x:c r="L19" s="8" t="n">
        <x:v>435.5921619628904</x:v>
      </x:c>
      <x:c r="M19" s="8" t="n">
        <x:v>1687.8130737505337</x:v>
      </x:c>
      <x:c r="N19" s="8" t="n">
        <x:v>170.4861690657105</x:v>
      </x:c>
      <x:c r="O19" s="8" t="n">
        <x:v>900.1669726669514</x:v>
      </x:c>
      <x:c r="P19" s="21" t="n">
        <x:f>M19+N19-O19</x:f>
        <x:v>958.1322701492928</x:v>
      </x:c>
    </x:row>
    <x:row r="20" ht="36" customHeight="1">
      <x:c r="A20" s="8" t="str">
        <x:v>Liquidity-first</x:v>
      </x:c>
      <x:c r="B20" s="8" t="str">
        <x:v>Beacon</x:v>
      </x:c>
      <x:c r="C20" s="22" t="n">
        <x:v>1</x:v>
      </x:c>
      <x:c r="D20" s="8" t="n">
        <x:v>5534.999999999999</x:v>
      </x:c>
      <x:c r="E20" s="8" t="n">
        <x:v>3763.799999999999</x:v>
      </x:c>
      <x:c r="F20" s="8" t="n">
        <x:v>553.4999999999999</x:v>
      </x:c>
      <x:c r="G20" s="8" t="n">
        <x:v>683.4</x:v>
      </x:c>
      <x:c r="H20" s="8" t="n">
        <x:v>224.4</x:v>
      </x:c>
      <x:c r="I20" s="21" t="n">
        <x:f>D20-E20-F20-G20-H20</x:f>
        <x:v>309.9000000000003</x:v>
      </x:c>
      <x:c r="J20" s="8" t="n">
        <x:v>138.37499999999997</x:v>
      </x:c>
      <x:c r="K20" s="21" t="n">
        <x:f>I20-J20</x:f>
        <x:v>171.52500000000035</x:v>
      </x:c>
      <x:c r="L20" s="8" t="n">
        <x:v>193.725</x:v>
      </x:c>
      <x:c r="M20" s="8" t="n">
        <x:v>773.3835616438353</x:v>
      </x:c>
      <x:c r="N20" s="8" t="n">
        <x:v>75.82191780821917</x:v>
      </x:c>
      <x:c r="O20" s="8" t="n">
        <x:v>412.4712328767122</x:v>
      </x:c>
      <x:c r="P20" s="21" t="n">
        <x:f>M20+N20-O20</x:f>
        <x:v>436.73424657534224</x:v>
      </x:c>
    </x:row>
    <x:row r="21" ht="36" customHeight="1">
      <x:c r="A21" s="8" t="str">
        <x:v>Liquidity-first</x:v>
      </x:c>
      <x:c r="B21" s="8" t="str">
        <x:v>Beacon</x:v>
      </x:c>
      <x:c r="C21" s="22" t="n">
        <x:v>2</x:v>
      </x:c>
      <x:c r="D21" s="8" t="n">
        <x:v>5673.374999999998</x:v>
      </x:c>
      <x:c r="E21" s="8" t="n">
        <x:v>3857.8949999999986</x:v>
      </x:c>
      <x:c r="F21" s="8" t="n">
        <x:v>567.3374999999999</x:v>
      </x:c>
      <x:c r="G21" s="8" t="n">
        <x:v>697.068</x:v>
      </x:c>
      <x:c r="H21" s="8" t="n">
        <x:v>228.888</x:v>
      </x:c>
      <x:c r="I21" s="21" t="n">
        <x:f>D21-E21-F21-G21-H21</x:f>
        <x:v>322.1864999999997</x:v>
      </x:c>
      <x:c r="J21" s="8" t="n">
        <x:v>141.83437499999997</x:v>
      </x:c>
      <x:c r="K21" s="21" t="n">
        <x:f>I21-J21</x:f>
        <x:v>180.35212499999972</x:v>
      </x:c>
      <x:c r="L21" s="8" t="n">
        <x:v>198.56812499999995</x:v>
      </x:c>
      <x:c r="M21" s="8" t="n">
        <x:v>792.7181506849312</x:v>
      </x:c>
      <x:c r="N21" s="8" t="n">
        <x:v>77.71746575342463</x:v>
      </x:c>
      <x:c r="O21" s="8" t="n">
        <x:v>422.78301369862993</x:v>
      </x:c>
      <x:c r="P21" s="21" t="n">
        <x:f>M21+N21-O21</x:f>
        <x:v>447.6526027397259</x:v>
      </x:c>
    </x:row>
    <x:row r="22" ht="36" customHeight="1">
      <x:c r="A22" s="8" t="str">
        <x:v>Liquidity-first</x:v>
      </x:c>
      <x:c r="B22" s="8" t="str">
        <x:v>Beacon</x:v>
      </x:c>
      <x:c r="C22" s="22" t="n">
        <x:v>3</x:v>
      </x:c>
      <x:c r="D22" s="8" t="n">
        <x:v>5815.209374999998</x:v>
      </x:c>
      <x:c r="E22" s="8" t="n">
        <x:v>3954.342374999998</x:v>
      </x:c>
      <x:c r="F22" s="8" t="n">
        <x:v>581.5209374999998</x:v>
      </x:c>
      <x:c r="G22" s="8" t="n">
        <x:v>711.0093600000001</x:v>
      </x:c>
      <x:c r="H22" s="8" t="n">
        <x:v>233.46576000000005</x:v>
      </x:c>
      <x:c r="I22" s="21" t="n">
        <x:f>D22-E22-F22-G22-H22</x:f>
        <x:v>334.8709424999996</x:v>
      </x:c>
      <x:c r="J22" s="8" t="n">
        <x:v>145.38023437499996</x:v>
      </x:c>
      <x:c r="K22" s="21" t="n">
        <x:f>I22-J22</x:f>
        <x:v>189.49070812499966</x:v>
      </x:c>
      <x:c r="L22" s="8" t="n">
        <x:v>203.53232812499994</x:v>
      </x:c>
      <x:c r="M22" s="8" t="n">
        <x:v>812.5361044520544</x:v>
      </x:c>
      <x:c r="N22" s="8" t="n">
        <x:v>79.66040239726024</x:v>
      </x:c>
      <x:c r="O22" s="8" t="n">
        <x:v>433.35258904109565</x:v>
      </x:c>
      <x:c r="P22" s="21" t="n">
        <x:f>M22+N22-O22</x:f>
        <x:v>458.8439178082189</x:v>
      </x:c>
    </x:row>
    <x:row r="23" ht="36" customHeight="1">
      <x:c r="A23" s="8" t="str">
        <x:v>Liquidity-first</x:v>
      </x:c>
      <x:c r="B23" s="8" t="str">
        <x:v>Beacon</x:v>
      </x:c>
      <x:c r="C23" s="22" t="n">
        <x:v>4</x:v>
      </x:c>
      <x:c r="D23" s="8" t="n">
        <x:v>5960.589609374997</x:v>
      </x:c>
      <x:c r="E23" s="8" t="n">
        <x:v>4053.200934374998</x:v>
      </x:c>
      <x:c r="F23" s="8" t="n">
        <x:v>596.0589609374997</x:v>
      </x:c>
      <x:c r="G23" s="8" t="n">
        <x:v>725.2295472</x:v>
      </x:c>
      <x:c r="H23" s="8" t="n">
        <x:v>238.1350752</x:v>
      </x:c>
      <x:c r="I23" s="21" t="n">
        <x:f>D23-E23-F23-G23-H23</x:f>
        <x:v>347.9650916624996</x:v>
      </x:c>
      <x:c r="J23" s="8" t="n">
        <x:v>149.01474023437493</x:v>
      </x:c>
      <x:c r="K23" s="21" t="n">
        <x:f>I23-J23</x:f>
        <x:v>198.9503514281247</x:v>
      </x:c>
      <x:c r="L23" s="8" t="n">
        <x:v>208.6206363281249</x:v>
      </x:c>
      <x:c r="M23" s="8" t="n">
        <x:v>832.8495070633556</x:v>
      </x:c>
      <x:c r="N23" s="8" t="n">
        <x:v>81.65191245719174</x:v>
      </x:c>
      <x:c r="O23" s="8" t="n">
        <x:v>444.186403767123</x:v>
      </x:c>
      <x:c r="P23" s="21" t="n">
        <x:f>M23+N23-O23</x:f>
        <x:v>470.3150157534244</x:v>
      </x:c>
    </x:row>
    <x:row r="24" ht="36" customHeight="1">
      <x:c r="A24" s="8" t="str">
        <x:v>Liquidity-first</x:v>
      </x:c>
      <x:c r="B24" s="8" t="str">
        <x:v>Beacon</x:v>
      </x:c>
      <x:c r="C24" s="22" t="n">
        <x:v>5</x:v>
      </x:c>
      <x:c r="D24" s="8" t="n">
        <x:v>6109.604349609372</x:v>
      </x:c>
      <x:c r="E24" s="8" t="n">
        <x:v>4154.530957734372</x:v>
      </x:c>
      <x:c r="F24" s="8" t="n">
        <x:v>610.9604349609372</x:v>
      </x:c>
      <x:c r="G24" s="8" t="n">
        <x:v>739.734138144</x:v>
      </x:c>
      <x:c r="H24" s="8" t="n">
        <x:v>242.897776704</x:v>
      </x:c>
      <x:c r="I24" s="21" t="n">
        <x:f>D24-E24-F24-G24-H24</x:f>
        <x:v>361.4810420660622</x:v>
      </x:c>
      <x:c r="J24" s="8" t="n">
        <x:v>152.7401087402343</x:v>
      </x:c>
      <x:c r="K24" s="21" t="n">
        <x:f>I24-J24</x:f>
        <x:v>208.74093332582788</x:v>
      </x:c>
      <x:c r="L24" s="8" t="n">
        <x:v>213.83615223632802</x:v>
      </x:c>
      <x:c r="M24" s="8" t="n">
        <x:v>853.6707447399394</x:v>
      </x:c>
      <x:c r="N24" s="8" t="n">
        <x:v>83.69321026862153</x:v>
      </x:c>
      <x:c r="O24" s="8" t="n">
        <x:v>455.2910638613011</x:v>
      </x:c>
      <x:c r="P24" s="21" t="n">
        <x:f>M24+N24-O24</x:f>
        <x:v>482.0728911472599</x:v>
      </x:c>
    </x:row>
    <x:row r="25" ht="36" customHeight="1">
      <x:c r="A25" s="8" t="str">
        <x:v>Mixed consideration</x:v>
      </x:c>
      <x:c r="B25" s="8" t="str">
        <x:v>Atlas</x:v>
      </x:c>
      <x:c r="C25" s="22" t="n">
        <x:v>1</x:v>
      </x:c>
      <x:c r="D25" s="8" t="n">
        <x:v>11274.999999999998</x:v>
      </x:c>
      <x:c r="E25" s="8" t="n">
        <x:v>7441.499999999998</x:v>
      </x:c>
      <x:c r="F25" s="8" t="n">
        <x:v>1127.4999999999998</x:v>
      </x:c>
      <x:c r="G25" s="8" t="n">
        <x:v>1173</x:v>
      </x:c>
      <x:c r="H25" s="8" t="n">
        <x:v>285.6</x:v>
      </x:c>
      <x:c r="I25" s="21" t="n">
        <x:f>D25-E25-F25-G25-H25</x:f>
        <x:v>1247.4</x:v>
      </x:c>
      <x:c r="J25" s="8" t="n">
        <x:v>281.87499999999994</x:v>
      </x:c>
      <x:c r="K25" s="21" t="n">
        <x:f>I25-J25</x:f>
        <x:v>965.5250000000001</x:v>
      </x:c>
      <x:c r="L25" s="8" t="n">
        <x:v>394.625</x:v>
      </x:c>
      <x:c r="M25" s="8" t="n">
        <x:v>1529.075342465753</x:v>
      </x:c>
      <x:c r="N25" s="8" t="n">
        <x:v>154.45205479452054</x:v>
      </x:c>
      <x:c r="O25" s="8" t="n">
        <x:v>815.5068493150683</x:v>
      </x:c>
      <x:c r="P25" s="21" t="n">
        <x:f>M25+N25-O25</x:f>
        <x:v>868.0205479452053</x:v>
      </x:c>
    </x:row>
    <x:row r="26" ht="36" customHeight="1">
      <x:c r="A26" s="8" t="str">
        <x:v>Mixed consideration</x:v>
      </x:c>
      <x:c r="B26" s="8" t="str">
        <x:v>Atlas</x:v>
      </x:c>
      <x:c r="C26" s="22" t="n">
        <x:v>2</x:v>
      </x:c>
      <x:c r="D26" s="8" t="n">
        <x:v>11556.874999999996</x:v>
      </x:c>
      <x:c r="E26" s="8" t="n">
        <x:v>7627.537499999997</x:v>
      </x:c>
      <x:c r="F26" s="8" t="n">
        <x:v>1155.6874999999998</x:v>
      </x:c>
      <x:c r="G26" s="8" t="n">
        <x:v>1196.46</x:v>
      </x:c>
      <x:c r="H26" s="8" t="n">
        <x:v>291.312</x:v>
      </x:c>
      <x:c r="I26" s="21" t="n">
        <x:f>D26-E26-F26-G26-H26</x:f>
        <x:v>1285.8779999999997</x:v>
      </x:c>
      <x:c r="J26" s="8" t="n">
        <x:v>288.92187499999994</x:v>
      </x:c>
      <x:c r="K26" s="21" t="n">
        <x:f>I26-J26</x:f>
        <x:v>996.9561249999997</x:v>
      </x:c>
      <x:c r="L26" s="8" t="n">
        <x:v>404.4906249999999</x:v>
      </x:c>
      <x:c r="M26" s="8" t="n">
        <x:v>1567.3022260273967</x:v>
      </x:c>
      <x:c r="N26" s="8" t="n">
        <x:v>158.31335616438352</x:v>
      </x:c>
      <x:c r="O26" s="8" t="n">
        <x:v>835.8945205479449</x:v>
      </x:c>
      <x:c r="P26" s="21" t="n">
        <x:f>M26+N26-O26</x:f>
        <x:v>889.7210616438354</x:v>
      </x:c>
    </x:row>
    <x:row r="27" ht="36" customHeight="1">
      <x:c r="A27" s="8" t="str">
        <x:v>Mixed consideration</x:v>
      </x:c>
      <x:c r="B27" s="8" t="str">
        <x:v>Atlas</x:v>
      </x:c>
      <x:c r="C27" s="22" t="n">
        <x:v>3</x:v>
      </x:c>
      <x:c r="D27" s="8" t="n">
        <x:v>11845.796874999995</x:v>
      </x:c>
      <x:c r="E27" s="8" t="n">
        <x:v>7818.225937499996</x:v>
      </x:c>
      <x:c r="F27" s="8" t="n">
        <x:v>1184.5796874999994</x:v>
      </x:c>
      <x:c r="G27" s="8" t="n">
        <x:v>1220.3892</x:v>
      </x:c>
      <x:c r="H27" s="8" t="n">
        <x:v>297.13824000000005</x:v>
      </x:c>
      <x:c r="I27" s="21" t="n">
        <x:f>D27-E27-F27-G27-H27</x:f>
        <x:v>1325.463809999999</x:v>
      </x:c>
      <x:c r="J27" s="8" t="n">
        <x:v>296.14492187499985</x:v>
      </x:c>
      <x:c r="K27" s="21" t="n">
        <x:f>I27-J27</x:f>
        <x:v>1029.3188881249991</x:v>
      </x:c>
      <x:c r="L27" s="8" t="n">
        <x:v>414.6028906249999</x:v>
      </x:c>
      <x:c r="M27" s="8" t="n">
        <x:v>1606.4847816780812</x:v>
      </x:c>
      <x:c r="N27" s="8" t="n">
        <x:v>162.27119006849307</x:v>
      </x:c>
      <x:c r="O27" s="8" t="n">
        <x:v>856.7918835616434</x:v>
      </x:c>
      <x:c r="P27" s="21" t="n">
        <x:f>M27+N27-O27</x:f>
        <x:v>911.9640881849308</x:v>
      </x:c>
    </x:row>
    <x:row r="28" ht="36" customHeight="1">
      <x:c r="A28" s="8" t="str">
        <x:v>Mixed consideration</x:v>
      </x:c>
      <x:c r="B28" s="8" t="str">
        <x:v>Atlas</x:v>
      </x:c>
      <x:c r="C28" s="22" t="n">
        <x:v>4</x:v>
      </x:c>
      <x:c r="D28" s="8" t="n">
        <x:v>12141.941796874993</x:v>
      </x:c>
      <x:c r="E28" s="8" t="n">
        <x:v>8013.681585937495</x:v>
      </x:c>
      <x:c r="F28" s="8" t="n">
        <x:v>1214.1941796874994</x:v>
      </x:c>
      <x:c r="G28" s="8" t="n">
        <x:v>1244.796984</x:v>
      </x:c>
      <x:c r="H28" s="8" t="n">
        <x:v>303.0810048</x:v>
      </x:c>
      <x:c r="I28" s="21" t="n">
        <x:f>D28-E28-F28-G28-H28</x:f>
        <x:v>1366.1880424499989</x:v>
      </x:c>
      <x:c r="J28" s="8" t="n">
        <x:v>303.54854492187485</x:v>
      </x:c>
      <x:c r="K28" s="21" t="n">
        <x:f>I28-J28</x:f>
        <x:v>1062.6394975281241</x:v>
      </x:c>
      <x:c r="L28" s="8" t="n">
        <x:v>424.9679628906248</x:v>
      </x:c>
      <x:c r="M28" s="8" t="n">
        <x:v>1646.6469012200332</x:v>
      </x:c>
      <x:c r="N28" s="8" t="n">
        <x:v>166.32796982020537</x:v>
      </x:c>
      <x:c r="O28" s="8" t="n">
        <x:v>878.2116806506842</x:v>
      </x:c>
      <x:c r="P28" s="21" t="n">
        <x:f>M28+N28-O28</x:f>
        <x:v>934.7631903895544</x:v>
      </x:c>
    </x:row>
    <x:row r="29" ht="36" customHeight="1">
      <x:c r="A29" s="8" t="str">
        <x:v>Mixed consideration</x:v>
      </x:c>
      <x:c r="B29" s="8" t="str">
        <x:v>Atlas</x:v>
      </x:c>
      <x:c r="C29" s="22" t="n">
        <x:v>5</x:v>
      </x:c>
      <x:c r="D29" s="8" t="n">
        <x:v>12445.490341796867</x:v>
      </x:c>
      <x:c r="E29" s="8" t="n">
        <x:v>8214.02362558593</x:v>
      </x:c>
      <x:c r="F29" s="8" t="n">
        <x:v>1244.5490341796867</x:v>
      </x:c>
      <x:c r="G29" s="8" t="n">
        <x:v>1269.69292368</x:v>
      </x:c>
      <x:c r="H29" s="8" t="n">
        <x:v>309.14262489600003</x:v>
      </x:c>
      <x:c r="I29" s="21" t="n">
        <x:f>D29-E29-F29-G29-H29</x:f>
        <x:v>1408.0821334552497</x:v>
      </x:c>
      <x:c r="J29" s="8" t="n">
        <x:v>311.1372585449217</x:v>
      </x:c>
      <x:c r="K29" s="21" t="n">
        <x:f>I29-J29</x:f>
        <x:v>1096.944874910328</x:v>
      </x:c>
      <x:c r="L29" s="8" t="n">
        <x:v>435.5921619628904</x:v>
      </x:c>
      <x:c r="M29" s="8" t="n">
        <x:v>1687.8130737505337</x:v>
      </x:c>
      <x:c r="N29" s="8" t="n">
        <x:v>170.4861690657105</x:v>
      </x:c>
      <x:c r="O29" s="8" t="n">
        <x:v>900.1669726669514</x:v>
      </x:c>
      <x:c r="P29" s="21" t="n">
        <x:f>M29+N29-O29</x:f>
        <x:v>958.1322701492928</x:v>
      </x:c>
    </x:row>
    <x:row r="30" ht="36" customHeight="1">
      <x:c r="A30" s="8" t="str">
        <x:v>Mixed consideration</x:v>
      </x:c>
      <x:c r="B30" s="8" t="str">
        <x:v>Beacon</x:v>
      </x:c>
      <x:c r="C30" s="22" t="n">
        <x:v>1</x:v>
      </x:c>
      <x:c r="D30" s="8" t="n">
        <x:v>5534.999999999999</x:v>
      </x:c>
      <x:c r="E30" s="8" t="n">
        <x:v>3763.799999999999</x:v>
      </x:c>
      <x:c r="F30" s="8" t="n">
        <x:v>553.4999999999999</x:v>
      </x:c>
      <x:c r="G30" s="8" t="n">
        <x:v>683.4</x:v>
      </x:c>
      <x:c r="H30" s="8" t="n">
        <x:v>224.4</x:v>
      </x:c>
      <x:c r="I30" s="21" t="n">
        <x:f>D30-E30-F30-G30-H30</x:f>
        <x:v>309.9000000000003</x:v>
      </x:c>
      <x:c r="J30" s="8" t="n">
        <x:v>138.37499999999997</x:v>
      </x:c>
      <x:c r="K30" s="21" t="n">
        <x:f>I30-J30</x:f>
        <x:v>171.52500000000035</x:v>
      </x:c>
      <x:c r="L30" s="8" t="n">
        <x:v>193.725</x:v>
      </x:c>
      <x:c r="M30" s="8" t="n">
        <x:v>773.3835616438353</x:v>
      </x:c>
      <x:c r="N30" s="8" t="n">
        <x:v>75.82191780821917</x:v>
      </x:c>
      <x:c r="O30" s="8" t="n">
        <x:v>412.4712328767122</x:v>
      </x:c>
      <x:c r="P30" s="21" t="n">
        <x:f>M30+N30-O30</x:f>
        <x:v>436.73424657534224</x:v>
      </x:c>
    </x:row>
    <x:row r="31" ht="36" customHeight="1">
      <x:c r="A31" s="8" t="str">
        <x:v>Mixed consideration</x:v>
      </x:c>
      <x:c r="B31" s="8" t="str">
        <x:v>Beacon</x:v>
      </x:c>
      <x:c r="C31" s="22" t="n">
        <x:v>2</x:v>
      </x:c>
      <x:c r="D31" s="8" t="n">
        <x:v>5673.374999999998</x:v>
      </x:c>
      <x:c r="E31" s="8" t="n">
        <x:v>3857.8949999999986</x:v>
      </x:c>
      <x:c r="F31" s="8" t="n">
        <x:v>567.3374999999999</x:v>
      </x:c>
      <x:c r="G31" s="8" t="n">
        <x:v>697.068</x:v>
      </x:c>
      <x:c r="H31" s="8" t="n">
        <x:v>228.888</x:v>
      </x:c>
      <x:c r="I31" s="21" t="n">
        <x:f>D31-E31-F31-G31-H31</x:f>
        <x:v>322.1864999999997</x:v>
      </x:c>
      <x:c r="J31" s="8" t="n">
        <x:v>141.83437499999997</x:v>
      </x:c>
      <x:c r="K31" s="21" t="n">
        <x:f>I31-J31</x:f>
        <x:v>180.35212499999972</x:v>
      </x:c>
      <x:c r="L31" s="8" t="n">
        <x:v>198.56812499999995</x:v>
      </x:c>
      <x:c r="M31" s="8" t="n">
        <x:v>792.7181506849312</x:v>
      </x:c>
      <x:c r="N31" s="8" t="n">
        <x:v>77.71746575342463</x:v>
      </x:c>
      <x:c r="O31" s="8" t="n">
        <x:v>422.78301369862993</x:v>
      </x:c>
      <x:c r="P31" s="21" t="n">
        <x:f>M31+N31-O31</x:f>
        <x:v>447.6526027397259</x:v>
      </x:c>
    </x:row>
    <x:row r="32" ht="36" customHeight="1">
      <x:c r="A32" s="8" t="str">
        <x:v>Mixed consideration</x:v>
      </x:c>
      <x:c r="B32" s="8" t="str">
        <x:v>Beacon</x:v>
      </x:c>
      <x:c r="C32" s="22" t="n">
        <x:v>3</x:v>
      </x:c>
      <x:c r="D32" s="8" t="n">
        <x:v>5815.209374999998</x:v>
      </x:c>
      <x:c r="E32" s="8" t="n">
        <x:v>3954.342374999998</x:v>
      </x:c>
      <x:c r="F32" s="8" t="n">
        <x:v>581.5209374999998</x:v>
      </x:c>
      <x:c r="G32" s="8" t="n">
        <x:v>711.0093600000001</x:v>
      </x:c>
      <x:c r="H32" s="8" t="n">
        <x:v>233.46576000000005</x:v>
      </x:c>
      <x:c r="I32" s="21" t="n">
        <x:f>D32-E32-F32-G32-H32</x:f>
        <x:v>334.8709424999996</x:v>
      </x:c>
      <x:c r="J32" s="8" t="n">
        <x:v>145.38023437499996</x:v>
      </x:c>
      <x:c r="K32" s="21" t="n">
        <x:f>I32-J32</x:f>
        <x:v>189.49070812499966</x:v>
      </x:c>
      <x:c r="L32" s="8" t="n">
        <x:v>203.53232812499994</x:v>
      </x:c>
      <x:c r="M32" s="8" t="n">
        <x:v>812.5361044520544</x:v>
      </x:c>
      <x:c r="N32" s="8" t="n">
        <x:v>79.66040239726024</x:v>
      </x:c>
      <x:c r="O32" s="8" t="n">
        <x:v>433.35258904109565</x:v>
      </x:c>
      <x:c r="P32" s="21" t="n">
        <x:f>M32+N32-O32</x:f>
        <x:v>458.8439178082189</x:v>
      </x:c>
    </x:row>
    <x:row r="33" ht="36" customHeight="1">
      <x:c r="A33" s="8" t="str">
        <x:v>Mixed consideration</x:v>
      </x:c>
      <x:c r="B33" s="8" t="str">
        <x:v>Beacon</x:v>
      </x:c>
      <x:c r="C33" s="22" t="n">
        <x:v>4</x:v>
      </x:c>
      <x:c r="D33" s="8" t="n">
        <x:v>5960.589609374997</x:v>
      </x:c>
      <x:c r="E33" s="8" t="n">
        <x:v>4053.200934374998</x:v>
      </x:c>
      <x:c r="F33" s="8" t="n">
        <x:v>596.0589609374997</x:v>
      </x:c>
      <x:c r="G33" s="8" t="n">
        <x:v>725.2295472</x:v>
      </x:c>
      <x:c r="H33" s="8" t="n">
        <x:v>238.1350752</x:v>
      </x:c>
      <x:c r="I33" s="21" t="n">
        <x:f>D33-E33-F33-G33-H33</x:f>
        <x:v>347.9650916624996</x:v>
      </x:c>
      <x:c r="J33" s="8" t="n">
        <x:v>149.01474023437493</x:v>
      </x:c>
      <x:c r="K33" s="21" t="n">
        <x:f>I33-J33</x:f>
        <x:v>198.9503514281247</x:v>
      </x:c>
      <x:c r="L33" s="8" t="n">
        <x:v>208.6206363281249</x:v>
      </x:c>
      <x:c r="M33" s="8" t="n">
        <x:v>832.8495070633556</x:v>
      </x:c>
      <x:c r="N33" s="8" t="n">
        <x:v>81.65191245719174</x:v>
      </x:c>
      <x:c r="O33" s="8" t="n">
        <x:v>444.186403767123</x:v>
      </x:c>
      <x:c r="P33" s="21" t="n">
        <x:f>M33+N33-O33</x:f>
        <x:v>470.3150157534244</x:v>
      </x:c>
    </x:row>
    <x:row r="34" ht="36" customHeight="1">
      <x:c r="A34" s="8" t="str">
        <x:v>Mixed consideration</x:v>
      </x:c>
      <x:c r="B34" s="8" t="str">
        <x:v>Beacon</x:v>
      </x:c>
      <x:c r="C34" s="22" t="n">
        <x:v>5</x:v>
      </x:c>
      <x:c r="D34" s="8" t="n">
        <x:v>6109.604349609372</x:v>
      </x:c>
      <x:c r="E34" s="8" t="n">
        <x:v>4154.530957734372</x:v>
      </x:c>
      <x:c r="F34" s="8" t="n">
        <x:v>610.9604349609372</x:v>
      </x:c>
      <x:c r="G34" s="8" t="n">
        <x:v>739.734138144</x:v>
      </x:c>
      <x:c r="H34" s="8" t="n">
        <x:v>242.897776704</x:v>
      </x:c>
      <x:c r="I34" s="21" t="n">
        <x:f>D34-E34-F34-G34-H34</x:f>
        <x:v>361.4810420660622</x:v>
      </x:c>
      <x:c r="J34" s="8" t="n">
        <x:v>152.7401087402343</x:v>
      </x:c>
      <x:c r="K34" s="21" t="n">
        <x:f>I34-J34</x:f>
        <x:v>208.74093332582788</x:v>
      </x:c>
      <x:c r="L34" s="8" t="n">
        <x:v>213.83615223632802</x:v>
      </x:c>
      <x:c r="M34" s="8" t="n">
        <x:v>853.6707447399394</x:v>
      </x:c>
      <x:c r="N34" s="8" t="n">
        <x:v>83.69321026862153</x:v>
      </x:c>
      <x:c r="O34" s="8" t="n">
        <x:v>455.2910638613011</x:v>
      </x:c>
      <x:c r="P34" s="21" t="n">
        <x:f>M34+N34-O34</x:f>
        <x:v>482.0728911472599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2" ht="42" customHeight="1">
      <x:c r="A2" s="5" t="str">
        <x:v>Fictional Atlas / Beacon - illustrative only | Liquidity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</x:row>
    <x:row r="4" ht="42" customHeight="1">
      <x:c r="A4" s="7" t="str">
        <x:v>Structure</x:v>
      </x:c>
      <x:c r="B4" s="7" t="str">
        <x:v>Year</x:v>
      </x:c>
      <x:c r="C4" s="7" t="str">
        <x:v>Opening cash</x:v>
      </x:c>
      <x:c r="D4" s="7" t="str">
        <x:v>EBITDA</x:v>
      </x:c>
      <x:c r="E4" s="7" t="str">
        <x:v>Tax</x:v>
      </x:c>
      <x:c r="F4" s="7" t="str">
        <x:v>Change NWC</x:v>
      </x:c>
      <x:c r="G4" s="7" t="str">
        <x:v>Integration</x:v>
      </x:c>
      <x:c r="H4" s="7" t="str">
        <x:v>Rent cash adjustment</x:v>
      </x:c>
      <x:c r="I4" s="7" t="str">
        <x:v>Capex</x:v>
      </x:c>
      <x:c r="J4" s="7" t="str">
        <x:v>Interest</x:v>
      </x:c>
      <x:c r="K4" s="7" t="str">
        <x:v>Dividends</x:v>
      </x:c>
      <x:c r="L4" s="7" t="str">
        <x:v>Buybacks</x:v>
      </x:c>
      <x:c r="M4" s="7" t="str">
        <x:v>Refinancing fees</x:v>
      </x:c>
      <x:c r="N4" s="7" t="str">
        <x:v>Revolver draw</x:v>
      </x:c>
      <x:c r="O4" s="7" t="str">
        <x:v>Mandatory paid</x:v>
      </x:c>
      <x:c r="P4" s="7" t="str">
        <x:v>Optional paid</x:v>
      </x:c>
      <x:c r="Q4" s="7" t="str">
        <x:v>Closing cash</x:v>
      </x:c>
      <x:c r="R4" s="7" t="str">
        <x:v>Opening debt</x:v>
      </x:c>
      <x:c r="S4" s="7" t="str">
        <x:v>Closing debt</x:v>
      </x:c>
      <x:c r="T4" s="7" t="str">
        <x:v>Net leverage</x:v>
      </x:c>
      <x:c r="U4" s="7" t="str">
        <x:v>Interest coverage</x:v>
      </x:c>
      <x:c r="V4" s="7" t="str">
        <x:v>Rent coverage</x:v>
      </x:c>
      <x:c r="W4" s="7" t="str">
        <x:v>Funding gap</x:v>
      </x:c>
    </x:row>
    <x:row r="5" ht="36" customHeight="1">
      <x:c r="A5" s="8" t="str">
        <x:v>Cash-first</x:v>
      </x:c>
      <x:c r="B5" s="22" t="n">
        <x:v>1</x:v>
      </x:c>
      <x:c r="C5" s="8" t="n">
        <x:v>750</x:v>
      </x:c>
      <x:c r="D5" s="8" t="n">
        <x:v>1577.2999999999993</x:v>
      </x:c>
      <x:c r="E5" s="8" t="n">
        <x:v>253.77960025380693</x:v>
      </x:c>
      <x:c r="F5" s="8" t="n">
        <x:v>31.82328767123272</x:v>
      </x:c>
      <x:c r="G5" s="8" t="n">
        <x:v>80</x:v>
      </x:c>
      <x:c r="H5" s="8" t="n">
        <x:v>0</x:v>
      </x:c>
      <x:c r="I5" s="8" t="n">
        <x:v>588.35</x:v>
      </x:c>
      <x:c r="J5" s="8" t="n">
        <x:v>141.93159898477157</x:v>
      </x:c>
      <x:c r="K5" s="8" t="n">
        <x:v>180</x:v>
      </x:c>
      <x:c r="L5" s="8" t="n">
        <x:v>0</x:v>
      </x:c>
      <x:c r="M5" s="8" t="n">
        <x:v>0</x:v>
      </x:c>
      <x:c r="N5" s="8" t="n">
        <x:v>0</x:v>
      </x:c>
      <x:c r="O5" s="8" t="n">
        <x:v>42.80203045685279</x:v>
      </x:c>
      <x:c r="P5" s="8" t="n">
        <x:v>258.61348263333537</x:v>
      </x:c>
      <x:c r="Q5" s="21" t="n">
        <x:f>C5+D5-E5-F5-G5-H5-I5-J5-K5-L5-M5+N5-O5-P5</x:f>
        <x:v>749.9999999999998</x:v>
      </x:c>
      <x:c r="R5" s="8" t="n">
        <x:v>2670.1015228426395</x:v>
      </x:c>
      <x:c r="S5" s="21" t="n">
        <x:f>R5+N5-O5-P5</x:f>
        <x:v>2368.6860097524514</x:v>
      </x:c>
      <x:c r="T5" s="21" t="n">
        <x:f>IF(D5&lt;=0,"n.a.",(S5-Q5)/D5)</x:f>
        <x:v>1.0262385150272315</x:v>
      </x:c>
      <x:c r="U5" s="21" t="n">
        <x:f>IF(D5&lt;=0,"n.a.",IF(J5=0,"n.a.",D5/J5))</x:f>
        <x:v>11.113099628851742</x:v>
      </x:c>
      <x:c r="V5" s="8" t="n">
        <x:v>3.2017162586542405</x:v>
      </x:c>
      <x:c r="W5" s="8" t="n">
        <x:v>0</x:v>
      </x:c>
    </x:row>
    <x:row r="6" ht="36" customHeight="1">
      <x:c r="A6" s="8" t="str">
        <x:v>Cash-first</x:v>
      </x:c>
      <x:c r="B6" s="22" t="n">
        <x:v>2</x:v>
      </x:c>
      <x:c r="C6" s="8" t="n">
        <x:v>750</x:v>
      </x:c>
      <x:c r="D6" s="8" t="n">
        <x:v>1668.0644999999975</x:v>
      </x:c>
      <x:c r="E6" s="8" t="n">
        <x:v>279.3413435976173</x:v>
      </x:c>
      <x:c r="F6" s="8" t="n">
        <x:v>32.61886986301374</x:v>
      </x:c>
      <x:c r="G6" s="8" t="n">
        <x:v>60</x:v>
      </x:c>
      <x:c r="H6" s="8" t="n">
        <x:v>0</x:v>
      </x:c>
      <x:c r="I6" s="8" t="n">
        <x:v>603.0587499999999</x:v>
      </x:c>
      <x:c r="J6" s="8" t="n">
        <x:v>119.94287560952822</x:v>
      </x:c>
      <x:c r="K6" s="8" t="n">
        <x:v>180</x:v>
      </x:c>
      <x:c r="L6" s="8" t="n">
        <x:v>0</x:v>
      </x:c>
      <x:c r="M6" s="8" t="n">
        <x:v>0</x:v>
      </x:c>
      <x:c r="N6" s="8" t="n">
        <x:v>0</x:v>
      </x:c>
      <x:c r="O6" s="8" t="n">
        <x:v>42.80203045685279</x:v>
      </x:c>
      <x:c r="P6" s="8" t="n">
        <x:v>350.3006304729854</x:v>
      </x:c>
      <x:c r="Q6" s="21" t="n">
        <x:f>C6+D6-E6-F6-G6-H6-I6-J6-K6-L6-M6+N6-O6-P6</x:f>
        <x:v>750</x:v>
      </x:c>
      <x:c r="R6" s="8" t="n">
        <x:v>2368.6860097524514</x:v>
      </x:c>
      <x:c r="S6" s="21" t="n">
        <x:f>R6+N6-O6-P6</x:f>
        <x:v>1975.5833488226133</x:v>
      </x:c>
      <x:c r="T6" s="21" t="n">
        <x:f>IF(D6&lt;=0,"n.a.",(S6-Q6)/D6)</x:f>
        <x:v>0.7347337880655186</x:v>
      </x:c>
      <x:c r="U6" s="21" t="n">
        <x:f>IF(D6&lt;=0,"n.a.",IF(J6=0,"n.a.",D6/J6))</x:f>
        <x:v>13.907157815945235</x:v>
      </x:c>
      <x:c r="V6" s="8" t="n">
        <x:v>3.4184001468678162</x:v>
      </x:c>
      <x:c r="W6" s="8" t="n">
        <x:v>0</x:v>
      </x:c>
    </x:row>
    <x:row r="7" ht="36" customHeight="1">
      <x:c r="A7" s="8" t="str">
        <x:v>Cash-first</x:v>
      </x:c>
      <x:c r="B7" s="22" t="n">
        <x:v>3</x:v>
      </x:c>
      <x:c r="C7" s="8" t="n">
        <x:v>750</x:v>
      </x:c>
      <x:c r="D7" s="8" t="n">
        <x:v>1760.3347524999979</x:v>
      </x:c>
      <x:c r="E7" s="8" t="n">
        <x:v>306.2323988301603</x:v>
      </x:c>
      <x:c r="F7" s="8" t="n">
        <x:v>33.43434160958827</x:v>
      </x:c>
      <x:c r="G7" s="8" t="n">
        <x:v>20</x:v>
      </x:c>
      <x:c r="H7" s="8" t="n">
        <x:v>0</x:v>
      </x:c>
      <x:c r="I7" s="8" t="n">
        <x:v>618.1352187499998</x:v>
      </x:c>
      <x:c r="J7" s="8" t="n">
        <x:v>93.88000092935678</x:v>
      </x:c>
      <x:c r="K7" s="8" t="n">
        <x:v>180</x:v>
      </x:c>
      <x:c r="L7" s="8" t="n">
        <x:v>0</x:v>
      </x:c>
      <x:c r="M7" s="8" t="n">
        <x:v>0</x:v>
      </x:c>
      <x:c r="N7" s="8" t="n">
        <x:v>0</x:v>
      </x:c>
      <x:c r="O7" s="8" t="n">
        <x:v>392.8020304568528</x:v>
      </x:c>
      <x:c r="P7" s="8" t="n">
        <x:v>115.85076192403983</x:v>
      </x:c>
      <x:c r="Q7" s="21" t="n">
        <x:f>C7+D7-E7-F7-G7-H7-I7-J7-K7-L7-M7+N7-O7-P7</x:f>
        <x:v>750.0000000000005</x:v>
      </x:c>
      <x:c r="R7" s="8" t="n">
        <x:v>1975.583348822613</x:v>
      </x:c>
      <x:c r="S7" s="21" t="n">
        <x:f>R7+N7-O7-P7</x:f>
        <x:v>1466.9305564417205</x:v>
      </x:c>
      <x:c r="T7" s="21" t="n">
        <x:f>IF(D7&lt;=0,"n.a.",(S7-Q7)/D7)</x:f>
        <x:v>0.4072694443051512</x:v>
      </x:c>
      <x:c r="U7" s="21" t="n">
        <x:f>IF(D7&lt;=0,"n.a.",IF(J7=0,"n.a.",D7/J7))</x:f>
        <x:v>18.750902589195988</x:v>
      </x:c>
      <x:c r="V7" s="8" t="n">
        <x:v>3.668530737521896</x:v>
      </x:c>
      <x:c r="W7" s="8" t="n">
        <x:v>0</x:v>
      </x:c>
    </x:row>
    <x:row r="8" ht="36" customHeight="1">
      <x:c r="A8" s="8" t="str">
        <x:v>Cash-first</x:v>
      </x:c>
      <x:c r="B8" s="22" t="n">
        <x:v>4</x:v>
      </x:c>
      <x:c r="C8" s="8" t="n">
        <x:v>750</x:v>
      </x:c>
      <x:c r="D8" s="8" t="n">
        <x:v>1814.1531341124974</x:v>
      </x:c>
      <x:c r="E8" s="8" t="n">
        <x:v>323.4235038924361</x:v>
      </x:c>
      <x:c r="F8" s="8" t="n">
        <x:v>34.27020014982895</x:v>
      </x:c>
      <x:c r="G8" s="8" t="n">
        <x:v>0</x:v>
      </x:c>
      <x:c r="H8" s="8" t="n">
        <x:v>0</x:v>
      </x:c>
      <x:c r="I8" s="8" t="n">
        <x:v>633.5885992187497</x:v>
      </x:c>
      <x:c r="J8" s="8" t="n">
        <x:v>67.89583338650323</x:v>
      </x:c>
      <x:c r="K8" s="8" t="n">
        <x:v>180</x:v>
      </x:c>
      <x:c r="L8" s="8" t="n">
        <x:v>0</x:v>
      </x:c>
      <x:c r="M8" s="8" t="n">
        <x:v>0</x:v>
      </x:c>
      <x:c r="N8" s="8" t="n">
        <x:v>367.82703299187324</x:v>
      </x:c>
      <x:c r="O8" s="8" t="n">
        <x:v>942.8020304568528</x:v>
      </x:c>
      <x:c r="P8" s="8" t="n">
        <x:v>0</x:v>
      </x:c>
      <x:c r="Q8" s="21" t="n">
        <x:f>C8+D8-E8-F8-G8-H8-I8-J8-K8-L8-M8+N8-O8-P8</x:f>
        <x:v>749.9999999999997</x:v>
      </x:c>
      <x:c r="R8" s="8" t="n">
        <x:v>1466.9305564417205</x:v>
      </x:c>
      <x:c r="S8" s="21" t="n">
        <x:f>R8+N8-O8-P8</x:f>
        <x:v>891.9555589767409</x:v>
      </x:c>
      <x:c r="T8" s="21" t="n">
        <x:f>IF(D8&lt;=0,"n.a.",(S8-Q8)/D8)</x:f>
        <x:v>0.07824893957818363</x:v>
      </x:c>
      <x:c r="U8" s="21" t="n">
        <x:f>IF(D8&lt;=0,"n.a.",IF(J8=0,"n.a.",D8/J8))</x:f>
        <x:v>26.71965338116207</x:v>
      </x:c>
      <x:c r="V8" s="8" t="n">
        <x:v>3.8668907344419834</x:v>
      </x:c>
      <x:c r="W8" s="8" t="n">
        <x:v>0</x:v>
      </x:c>
    </x:row>
    <x:row r="9" ht="36" customHeight="1">
      <x:c r="A9" s="8" t="str">
        <x:v>Cash-first</x:v>
      </x:c>
      <x:c r="B9" s="22" t="n">
        <x:v>5</x:v>
      </x:c>
      <x:c r="C9" s="8" t="n">
        <x:v>749.9999999999999</x:v>
      </x:c>
      <x:c r="D9" s="8" t="n">
        <x:v>1869.56317552131</x:v>
      </x:c>
      <x:c r="E9" s="8" t="n">
        <x:v>338.3120105700073</x:v>
      </x:c>
      <x:c r="F9" s="8" t="n">
        <x:v>35.126955153574045</x:v>
      </x:c>
      <x:c r="G9" s="8" t="n">
        <x:v>0</x:v>
      </x:c>
      <x:c r="H9" s="8" t="n">
        <x:v>0</x:v>
      </x:c>
      <x:c r="I9" s="8" t="n">
        <x:v>649.4283141992184</x:v>
      </x:c>
      <x:c r="J9" s="8" t="n">
        <x:v>52.43776595612478</x:v>
      </x:c>
      <x:c r="K9" s="8" t="n">
        <x:v>180</x:v>
      </x:c>
      <x:c r="L9" s="8" t="n">
        <x:v>0</x:v>
      </x:c>
      <x:c r="M9" s="8" t="n">
        <x:v>0</x:v>
      </x:c>
      <x:c r="N9" s="8" t="n">
        <x:v>0</x:v>
      </x:c>
      <x:c r="O9" s="8" t="n">
        <x:v>891.9555589767409</x:v>
      </x:c>
      <x:c r="P9" s="8" t="n">
        <x:v>0</x:v>
      </x:c>
      <x:c r="Q9" s="21" t="n">
        <x:f>C9+D9-E9-F9-G9-H9-I9-J9-K9-L9-M9+N9-O9-P9</x:f>
        <x:v>472.3025706656441</x:v>
      </x:c>
      <x:c r="R9" s="8" t="n">
        <x:v>891.9555589767409</x:v>
      </x:c>
      <x:c r="S9" s="21" t="n">
        <x:f>R9+N9-O9-P9</x:f>
        <x:v>0</x:v>
      </x:c>
      <x:c r="T9" s="21" t="n">
        <x:f>IF(D9&lt;=0,"n.a.",(S9-Q9)/D9)</x:f>
        <x:v>-0.25262723231267487</x:v>
      </x:c>
      <x:c r="U9" s="21" t="n">
        <x:f>IF(D9&lt;=0,"n.a.",IF(J9=0,"n.a.",D9/J9))</x:f>
        <x:v>35.652990577165184</x:v>
      </x:c>
      <x:c r="V9" s="8" t="n">
        <x:v>4.006105939130496</x:v>
      </x:c>
      <x:c r="W9" s="8" t="n">
        <x:v>0</x:v>
      </x:c>
    </x:row>
    <x:row r="10" ht="36" customHeight="1">
      <x:c r="A10" s="8" t="str">
        <x:v>Liquidity-first</x:v>
      </x:c>
      <x:c r="B10" s="22" t="n">
        <x:v>1</x:v>
      </x:c>
      <x:c r="C10" s="8" t="n">
        <x:v>1620</x:v>
      </x:c>
      <x:c r="D10" s="8" t="n">
        <x:v>1577.2999999999993</x:v>
      </x:c>
      <x:c r="E10" s="8" t="n">
        <x:v>239.42680837563432</x:v>
      </x:c>
      <x:c r="F10" s="8" t="n">
        <x:v>31.82328767123272</x:v>
      </x:c>
      <x:c r="G10" s="8" t="n">
        <x:v>80</x:v>
      </x:c>
      <x:c r="H10" s="8" t="n">
        <x:v>0</x:v>
      </x:c>
      <x:c r="I10" s="8" t="n">
        <x:v>588.35</x:v>
      </x:c>
      <x:c r="J10" s="8" t="n">
        <x:v>199.34276649746192</x:v>
      </x:c>
      <x:c r="K10" s="8" t="n">
        <x:v>180</x:v>
      </x:c>
      <x:c r="L10" s="8" t="n">
        <x:v>0</x:v>
      </x:c>
      <x:c r="M10" s="8" t="n">
        <x:v>0</x:v>
      </x:c>
      <x:c r="N10" s="8" t="n">
        <x:v>0</x:v>
      </x:c>
      <x:c r="O10" s="8" t="n">
        <x:v>60.46700507614213</x:v>
      </x:c>
      <x:c r="P10" s="8" t="n">
        <x:v>1067.8901323795283</x:v>
      </x:c>
      <x:c r="Q10" s="21" t="n">
        <x:f>C10+D10-E10-F10-G10-H10-I10-J10-K10-L10-M10+N10-O10-P10</x:f>
        <x:v>750</x:v>
      </x:c>
      <x:c r="R10" s="8" t="n">
        <x:v>3553.3502538071066</x:v>
      </x:c>
      <x:c r="S10" s="21" t="n">
        <x:f>R10+N10-O10-P10</x:f>
        <x:v>2424.9931163514366</x:v>
      </x:c>
      <x:c r="T10" s="21" t="n">
        <x:f>IF(D10&lt;=0,"n.a.",(S10-Q10)/D10)</x:f>
        <x:v>1.0619369278840027</x:v>
      </x:c>
      <x:c r="U10" s="21" t="n">
        <x:f>IF(D10&lt;=0,"n.a.",IF(J10=0,"n.a.",D10/J10))</x:f>
        <x:v>7.912501806380227</x:v>
      </x:c>
      <x:c r="V10" s="8" t="n">
        <x:v>2.9425830481172146</x:v>
      </x:c>
      <x:c r="W10" s="8" t="n">
        <x:v>0</x:v>
      </x:c>
    </x:row>
    <x:row r="11" ht="36" customHeight="1">
      <x:c r="A11" s="8" t="str">
        <x:v>Liquidity-first</x:v>
      </x:c>
      <x:c r="B11" s="22" t="n">
        <x:v>2</x:v>
      </x:c>
      <x:c r="C11" s="8" t="n">
        <x:v>750</x:v>
      </x:c>
      <x:c r="D11" s="8" t="n">
        <x:v>1668.0644999999975</x:v>
      </x:c>
      <x:c r="E11" s="8" t="n">
        <x:v>278.4615450570082</x:v>
      </x:c>
      <x:c r="F11" s="8" t="n">
        <x:v>32.61886986301374</x:v>
      </x:c>
      <x:c r="G11" s="8" t="n">
        <x:v>60</x:v>
      </x:c>
      <x:c r="H11" s="8" t="n">
        <x:v>0</x:v>
      </x:c>
      <x:c r="I11" s="8" t="n">
        <x:v>603.0587499999999</x:v>
      </x:c>
      <x:c r="J11" s="8" t="n">
        <x:v>123.46206977196476</x:v>
      </x:c>
      <x:c r="K11" s="8" t="n">
        <x:v>180</x:v>
      </x:c>
      <x:c r="L11" s="8" t="n">
        <x:v>0</x:v>
      </x:c>
      <x:c r="M11" s="8" t="n">
        <x:v>0</x:v>
      </x:c>
      <x:c r="N11" s="8" t="n">
        <x:v>0</x:v>
      </x:c>
      <x:c r="O11" s="8" t="n">
        <x:v>60.46700507614213</x:v>
      </x:c>
      <x:c r="P11" s="8" t="n">
        <x:v>329.99626023186875</x:v>
      </x:c>
      <x:c r="Q11" s="21" t="n">
        <x:f>C11+D11-E11-F11-G11-H11-I11-J11-K11-L11-M11+N11-O11-P11</x:f>
        <x:v>750</x:v>
      </x:c>
      <x:c r="R11" s="8" t="n">
        <x:v>2424.9931163514366</x:v>
      </x:c>
      <x:c r="S11" s="21" t="n">
        <x:f>R11+N11-O11-P11</x:f>
        <x:v>2034.5298510434259</x:v>
      </x:c>
      <x:c r="T11" s="21" t="n">
        <x:f>IF(D11&lt;=0,"n.a.",(S11-Q11)/D11)</x:f>
        <x:v>0.7700720511967181</x:v>
      </x:c>
      <x:c r="U11" s="21" t="n">
        <x:f>IF(D11&lt;=0,"n.a.",IF(J11=0,"n.a.",D11/J11))</x:f>
        <x:v>13.510744660938565</x:v>
      </x:c>
      <x:c r="V11" s="8" t="n">
        <x:v>3.3997101938525773</x:v>
      </x:c>
      <x:c r="W11" s="8" t="n">
        <x:v>0</x:v>
      </x:c>
    </x:row>
    <x:row r="12" ht="36" customHeight="1">
      <x:c r="A12" s="8" t="str">
        <x:v>Liquidity-first</x:v>
      </x:c>
      <x:c r="B12" s="22" t="n">
        <x:v>3</x:v>
      </x:c>
      <x:c r="C12" s="8" t="n">
        <x:v>750</x:v>
      </x:c>
      <x:c r="D12" s="8" t="n">
        <x:v>1760.3347524999979</x:v>
      </x:c>
      <x:c r="E12" s="8" t="n">
        <x:v>305.3482012968481</x:v>
      </x:c>
      <x:c r="F12" s="8" t="n">
        <x:v>33.43434160958827</x:v>
      </x:c>
      <x:c r="G12" s="8" t="n">
        <x:v>20</x:v>
      </x:c>
      <x:c r="H12" s="8" t="n">
        <x:v>0</x:v>
      </x:c>
      <x:c r="I12" s="8" t="n">
        <x:v>618.1352187499998</x:v>
      </x:c>
      <x:c r="J12" s="8" t="n">
        <x:v>97.41679106260553</x:v>
      </x:c>
      <x:c r="K12" s="8" t="n">
        <x:v>180</x:v>
      </x:c>
      <x:c r="L12" s="8" t="n">
        <x:v>0</x:v>
      </x:c>
      <x:c r="M12" s="8" t="n">
        <x:v>0</x:v>
      </x:c>
      <x:c r="N12" s="8" t="n">
        <x:v>0</x:v>
      </x:c>
      <x:c r="O12" s="8" t="n">
        <x:v>410.46700507614213</x:v>
      </x:c>
      <x:c r="P12" s="8" t="n">
        <x:v>95.53319470481392</x:v>
      </x:c>
      <x:c r="Q12" s="21" t="n">
        <x:f>C12+D12-E12-F12-G12-H12-I12-J12-K12-L12-M12+N12-O12-P12</x:f>
        <x:v>750.0000000000007</x:v>
      </x:c>
      <x:c r="R12" s="8" t="n">
        <x:v>2034.5298510434254</x:v>
      </x:c>
      <x:c r="S12" s="21" t="n">
        <x:f>R12+N12-O12-P12</x:f>
        <x:v>1528.5296512624693</x:v>
      </x:c>
      <x:c r="T12" s="21" t="n">
        <x:f>IF(D12&lt;=0,"n.a.",(S12-Q12)/D12)</x:f>
        <x:v>0.4422622743525423</x:v>
      </x:c>
      <x:c r="U12" s="21" t="n">
        <x:f>IF(D12&lt;=0,"n.a.",IF(J12=0,"n.a.",D12/J12))</x:f>
        <x:v>18.070136916835082</x:v>
      </x:c>
      <x:c r="V12" s="8" t="n">
        <x:v>3.647870874822074</x:v>
      </x:c>
      <x:c r="W12" s="8" t="n">
        <x:v>0</x:v>
      </x:c>
    </x:row>
    <x:row r="13" ht="36" customHeight="1">
      <x:c r="A13" s="8" t="str">
        <x:v>Liquidity-first</x:v>
      </x:c>
      <x:c r="B13" s="22" t="n">
        <x:v>4</x:v>
      </x:c>
      <x:c r="C13" s="8" t="n">
        <x:v>750</x:v>
      </x:c>
      <x:c r="D13" s="8" t="n">
        <x:v>1814.1531341124974</x:v>
      </x:c>
      <x:c r="E13" s="8" t="n">
        <x:v>322.49951747012483</x:v>
      </x:c>
      <x:c r="F13" s="8" t="n">
        <x:v>34.27020014982895</x:v>
      </x:c>
      <x:c r="G13" s="8" t="n">
        <x:v>0</x:v>
      </x:c>
      <x:c r="H13" s="8" t="n">
        <x:v>0</x:v>
      </x:c>
      <x:c r="I13" s="8" t="n">
        <x:v>633.5885992187497</x:v>
      </x:c>
      <x:c r="J13" s="8" t="n">
        <x:v>71.59177907574815</x:v>
      </x:c>
      <x:c r="K13" s="8" t="n">
        <x:v>180</x:v>
      </x:c>
      <x:c r="L13" s="8" t="n">
        <x:v>0</x:v>
      </x:c>
      <x:c r="M13" s="8" t="n">
        <x:v>0</x:v>
      </x:c>
      <x:c r="N13" s="8" t="n">
        <x:v>388.2639668780964</x:v>
      </x:c>
      <x:c r="O13" s="8" t="n">
        <x:v>960.4670050761422</x:v>
      </x:c>
      <x:c r="P13" s="8" t="n">
        <x:v>0</x:v>
      </x:c>
      <x:c r="Q13" s="21" t="n">
        <x:f>C13+D13-E13-F13-G13-H13-I13-J13-K13-L13-M13+N13-O13-P13</x:f>
        <x:v>750.0000000000005</x:v>
      </x:c>
      <x:c r="R13" s="8" t="n">
        <x:v>1528.5296512624693</x:v>
      </x:c>
      <x:c r="S13" s="21" t="n">
        <x:f>R13+N13-O13-P13</x:f>
        <x:v>956.3266130644236</x:v>
      </x:c>
      <x:c r="T13" s="21" t="n">
        <x:f>IF(D13&lt;=0,"n.a.",(S13-Q13)/D13)</x:f>
        <x:v>0.11373164105320152</x:v>
      </x:c>
      <x:c r="U13" s="21" t="n">
        <x:f>IF(D13&lt;=0,"n.a.",IF(J13=0,"n.a.",D13/J13))</x:f>
        <x:v>25.34024377565783</x:v>
      </x:c>
      <x:c r="V13" s="8" t="n">
        <x:v>3.8435688760012363</x:v>
      </x:c>
      <x:c r="W13" s="8" t="n">
        <x:v>0</x:v>
      </x:c>
    </x:row>
    <x:row r="14" ht="36" customHeight="1">
      <x:c r="A14" s="8" t="str">
        <x:v>Liquidity-first</x:v>
      </x:c>
      <x:c r="B14" s="22" t="n">
        <x:v>5</x:v>
      </x:c>
      <x:c r="C14" s="8" t="n">
        <x:v>750</x:v>
      </x:c>
      <x:c r="D14" s="8" t="n">
        <x:v>1869.56317552131</x:v>
      </x:c>
      <x:c r="E14" s="8" t="n">
        <x:v>337.359217842371</x:v>
      </x:c>
      <x:c r="F14" s="8" t="n">
        <x:v>35.126955153574045</x:v>
      </x:c>
      <x:c r="G14" s="8" t="n">
        <x:v>0</x:v>
      </x:c>
      <x:c r="H14" s="8" t="n">
        <x:v>0</x:v>
      </x:c>
      <x:c r="I14" s="8" t="n">
        <x:v>649.4283141992184</x:v>
      </x:c>
      <x:c r="J14" s="8" t="n">
        <x:v>56.24893686667018</x:v>
      </x:c>
      <x:c r="K14" s="8" t="n">
        <x:v>180</x:v>
      </x:c>
      <x:c r="L14" s="8" t="n">
        <x:v>0</x:v>
      </x:c>
      <x:c r="M14" s="8" t="n">
        <x:v>0</x:v>
      </x:c>
      <x:c r="N14" s="8" t="n">
        <x:v>0</x:v>
      </x:c>
      <x:c r="O14" s="8" t="n">
        <x:v>956.3266130644236</x:v>
      </x:c>
      <x:c r="P14" s="8" t="n">
        <x:v>0</x:v>
      </x:c>
      <x:c r="Q14" s="21" t="n">
        <x:f>C14+D14-E14-F14-G14-H14-I14-J14-K14-L14-M14+N14-O14-P14</x:f>
        <x:v>405.07313839505287</x:v>
      </x:c>
      <x:c r="R14" s="8" t="n">
        <x:v>956.3266130644236</x:v>
      </x:c>
      <x:c r="S14" s="21" t="n">
        <x:f>R14+N14-O14-P14</x:f>
        <x:v>0</x:v>
      </x:c>
      <x:c r="T14" s="21" t="n">
        <x:f>IF(D14&lt;=0,"n.a.",(S14-Q14)/D14)</x:f>
        <x:v>-0.21666726414960652</x:v>
      </x:c>
      <x:c r="U14" s="21" t="n">
        <x:f>IF(D14&lt;=0,"n.a.",IF(J14=0,"n.a.",D14/J14))</x:f>
        <x:v>33.237306865956135</x:v>
      </x:c>
      <x:c r="V14" s="8" t="n">
        <x:v>3.981006116637693</x:v>
      </x:c>
      <x:c r="W14" s="8" t="n">
        <x:v>0</x:v>
      </x:c>
    </x:row>
    <x:row r="15" ht="36" customHeight="1">
      <x:c r="A15" s="8" t="str">
        <x:v>Mixed consideration</x:v>
      </x:c>
      <x:c r="B15" s="22" t="n">
        <x:v>1</x:v>
      </x:c>
      <x:c r="C15" s="8" t="n">
        <x:v>750</x:v>
      </x:c>
      <x:c r="D15" s="8" t="n">
        <x:v>1577.2999999999993</x:v>
      </x:c>
      <x:c r="E15" s="8" t="n">
        <x:v>270.6070114213196</x:v>
      </x:c>
      <x:c r="F15" s="8" t="n">
        <x:v>31.82328767123272</x:v>
      </x:c>
      <x:c r="G15" s="8" t="n">
        <x:v>80</x:v>
      </x:c>
      <x:c r="H15" s="8" t="n">
        <x:v>0</x:v>
      </x:c>
      <x:c r="I15" s="8" t="n">
        <x:v>588.35</x:v>
      </x:c>
      <x:c r="J15" s="8" t="n">
        <x:v>74.62195431472081</x:v>
      </x:c>
      <x:c r="K15" s="8" t="n">
        <x:v>180</x:v>
      </x:c>
      <x:c r="L15" s="8" t="n">
        <x:v>0</x:v>
      </x:c>
      <x:c r="M15" s="8" t="n">
        <x:v>0</x:v>
      </x:c>
      <x:c r="N15" s="8" t="n">
        <x:v>0</x:v>
      </x:c>
      <x:c r="O15" s="8" t="n">
        <x:v>22.091370558375637</x:v>
      </x:c>
      <x:c r="P15" s="8" t="n">
        <x:v>329.80637603435025</x:v>
      </x:c>
      <x:c r="Q15" s="21" t="n">
        <x:f>C15+D15-E15-F15-G15-H15-I15-J15-K15-L15-M15+N15-O15-P15</x:f>
        <x:v>750</x:v>
      </x:c>
      <x:c r="R15" s="8" t="n">
        <x:v>1634.5685279187817</x:v>
      </x:c>
      <x:c r="S15" s="21" t="n">
        <x:f>R15+N15-O15-P15</x:f>
        <x:v>1282.6707813260557</x:v>
      </x:c>
      <x:c r="T15" s="21" t="n">
        <x:f>IF(D15&lt;=0,"n.a.",(S15-Q15)/D15)</x:f>
        <x:v>0.33771050613456916</x:v>
      </x:c>
      <x:c r="U15" s="21" t="n">
        <x:f>IF(D15&lt;=0,"n.a.",IF(J15=0,"n.a.",D15/J15))</x:f>
        <x:v>21.13721108599862</x:v>
      </x:c>
      <x:c r="V15" s="8" t="n">
        <x:v>3.570341456722541</x:v>
      </x:c>
      <x:c r="W15" s="8" t="n">
        <x:v>0</x:v>
      </x:c>
    </x:row>
    <x:row r="16" ht="36" customHeight="1">
      <x:c r="A16" s="8" t="str">
        <x:v>Mixed consideration</x:v>
      </x:c>
      <x:c r="B16" s="22" t="n">
        <x:v>2</x:v>
      </x:c>
      <x:c r="C16" s="8" t="n">
        <x:v>750</x:v>
      </x:c>
      <x:c r="D16" s="8" t="n">
        <x:v>1668.0644999999975</x:v>
      </x:c>
      <x:c r="E16" s="8" t="n">
        <x:v>296.2124277334237</x:v>
      </x:c>
      <x:c r="F16" s="8" t="n">
        <x:v>32.61886986301374</x:v>
      </x:c>
      <x:c r="G16" s="8" t="n">
        <x:v>60</x:v>
      </x:c>
      <x:c r="H16" s="8" t="n">
        <x:v>0</x:v>
      </x:c>
      <x:c r="I16" s="8" t="n">
        <x:v>603.0587499999999</x:v>
      </x:c>
      <x:c r="J16" s="8" t="n">
        <x:v>52.45853906630279</x:v>
      </x:c>
      <x:c r="K16" s="8" t="n">
        <x:v>180</x:v>
      </x:c>
      <x:c r="L16" s="8" t="n">
        <x:v>0</x:v>
      </x:c>
      <x:c r="M16" s="8" t="n">
        <x:v>0</x:v>
      </x:c>
      <x:c r="N16" s="8" t="n">
        <x:v>0</x:v>
      </x:c>
      <x:c r="O16" s="8" t="n">
        <x:v>16</x:v>
      </x:c>
      <x:c r="P16" s="8" t="n">
        <x:v>427.71591333725723</x:v>
      </x:c>
      <x:c r="Q16" s="21" t="n">
        <x:f>C16+D16-E16-F16-G16-H16-I16-J16-K16-L16-M16+N16-O16-P16</x:f>
        <x:v>750.0000000000005</x:v>
      </x:c>
      <x:c r="R16" s="8" t="n">
        <x:v>1282.670781326056</x:v>
      </x:c>
      <x:c r="S16" s="21" t="n">
        <x:f>R16+N16-O16-P16</x:f>
        <x:v>838.9548679887987</x:v>
      </x:c>
      <x:c r="T16" s="21" t="n">
        <x:f>IF(D16&lt;=0,"n.a.",(S16-Q16)/D16)</x:f>
        <x:v>0.053328194436605046</x:v>
      </x:c>
      <x:c r="U16" s="21" t="n">
        <x:f>IF(D16&lt;=0,"n.a.",IF(J16=0,"n.a.",D16/J16))</x:f>
        <x:v>31.797768860694283</x:v>
      </x:c>
      <x:c r="V16" s="8" t="n">
        <x:v>3.8212378768818787</x:v>
      </x:c>
      <x:c r="W16" s="8" t="n">
        <x:v>0</x:v>
      </x:c>
    </x:row>
    <x:row r="17" ht="36" customHeight="1">
      <x:c r="A17" s="8" t="str">
        <x:v>Mixed consideration</x:v>
      </x:c>
      <x:c r="B17" s="22" t="n">
        <x:v>3</x:v>
      </x:c>
      <x:c r="C17" s="8" t="n">
        <x:v>750</x:v>
      </x:c>
      <x:c r="D17" s="8" t="n">
        <x:v>1760.3347524999979</x:v>
      </x:c>
      <x:c r="E17" s="8" t="n">
        <x:v>321.73232781660596</x:v>
      </x:c>
      <x:c r="F17" s="8" t="n">
        <x:v>33.43434160958827</x:v>
      </x:c>
      <x:c r="G17" s="8" t="n">
        <x:v>20</x:v>
      </x:c>
      <x:c r="H17" s="8" t="n">
        <x:v>0</x:v>
      </x:c>
      <x:c r="I17" s="8" t="n">
        <x:v>618.1352187499998</x:v>
      </x:c>
      <x:c r="J17" s="8" t="n">
        <x:v>31.88028498357435</x:v>
      </x:c>
      <x:c r="K17" s="8" t="n">
        <x:v>180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555.1525793402295</x:v>
      </x:c>
      <x:c r="Q17" s="21" t="n">
        <x:f>C17+D17-E17-F17-G17-H17-I17-J17-K17-L17-M17+N17-O17-P17</x:f>
        <x:v>750.0000000000007</x:v>
      </x:c>
      <x:c r="R17" s="8" t="n">
        <x:v>838.9548679887987</x:v>
      </x:c>
      <x:c r="S17" s="21" t="n">
        <x:f>R17+N17-O17-P17</x:f>
        <x:v>283.8022886485692</x:v>
      </x:c>
      <x:c r="T17" s="21" t="n">
        <x:f>IF(D17&lt;=0,"n.a.",(S17-Q17)/D17)</x:f>
        <x:v>-0.26483469163427314</x:v>
      </x:c>
      <x:c r="U17" s="21" t="n">
        <x:f>IF(D17&lt;=0,"n.a.",IF(J17=0,"n.a.",D17/J17))</x:f>
        <x:v>55.21703314154731</x:v>
      </x:c>
      <x:c r="V17" s="8" t="n">
        <x:v>4.072893792165051</x:v>
      </x:c>
      <x:c r="W17" s="8" t="n">
        <x:v>0</x:v>
      </x:c>
    </x:row>
    <x:row r="18" ht="36" customHeight="1">
      <x:c r="A18" s="8" t="str">
        <x:v>Mixed consideration</x:v>
      </x:c>
      <x:c r="B18" s="22" t="n">
        <x:v>4</x:v>
      </x:c>
      <x:c r="C18" s="8" t="n">
        <x:v>750</x:v>
      </x:c>
      <x:c r="D18" s="8" t="n">
        <x:v>1814.1531341124974</x:v>
      </x:c>
      <x:c r="E18" s="8" t="n">
        <x:v>337.7013404969005</x:v>
      </x:c>
      <x:c r="F18" s="8" t="n">
        <x:v>34.27020014982895</x:v>
      </x:c>
      <x:c r="G18" s="8" t="n">
        <x:v>0</x:v>
      </x:c>
      <x:c r="H18" s="8" t="n">
        <x:v>0</x:v>
      </x:c>
      <x:c r="I18" s="8" t="n">
        <x:v>633.5885992187497</x:v>
      </x:c>
      <x:c r="J18" s="8" t="n">
        <x:v>10.784486968645629</x:v>
      </x:c>
      <x:c r="K18" s="8" t="n">
        <x:v>180</x:v>
      </x:c>
      <x:c r="L18" s="8" t="n">
        <x:v>0</x:v>
      </x:c>
      <x:c r="M18" s="8" t="n">
        <x:v>0</x:v>
      </x:c>
      <x:c r="N18" s="8" t="n">
        <x:v>0</x:v>
      </x:c>
      <x:c r="O18" s="8" t="n">
        <x:v>283.8022886485692</x:v>
      </x:c>
      <x:c r="P18" s="8" t="n">
        <x:v>0</x:v>
      </x:c>
      <x:c r="Q18" s="21" t="n">
        <x:f>C18+D18-E18-F18-G18-H18-I18-J18-K18-L18-M18+N18-O18-P18</x:f>
        <x:v>1084.0062186298037</x:v>
      </x:c>
      <x:c r="R18" s="8" t="n">
        <x:v>283.8022886485692</x:v>
      </x:c>
      <x:c r="S18" s="21" t="n">
        <x:f>R18+N18-O18-P18</x:f>
        <x:v>0</x:v>
      </x:c>
      <x:c r="T18" s="21" t="n">
        <x:f>IF(D18&lt;=0,"n.a.",(S18-Q18)/D18)</x:f>
        <x:v>-0.5975274072770659</x:v>
      </x:c>
      <x:c r="U18" s="21" t="n">
        <x:f>IF(D18&lt;=0,"n.a.",IF(J18=0,"n.a.",D18/J18))</x:f>
        <x:v>168.21877010810908</x:v>
      </x:c>
      <x:c r="V18" s="8" t="n">
        <x:v>4.266968831295214</x:v>
      </x:c>
      <x:c r="W18" s="8" t="n">
        <x:v>0</x:v>
      </x:c>
    </x:row>
    <x:row r="19" ht="36" customHeight="1">
      <x:c r="A19" s="8" t="str">
        <x:v>Mixed consideration</x:v>
      </x:c>
      <x:c r="B19" s="22" t="n">
        <x:v>5</x:v>
      </x:c>
      <x:c r="C19" s="8" t="n">
        <x:v>1084.0062186298035</x:v>
      </x:c>
      <x:c r="D19" s="8" t="n">
        <x:v>1869.56317552131</x:v>
      </x:c>
      <x:c r="E19" s="8" t="n">
        <x:v>351.42145205903853</x:v>
      </x:c>
      <x:c r="F19" s="8" t="n">
        <x:v>35.126955153574045</x:v>
      </x:c>
      <x:c r="G19" s="8" t="n">
        <x:v>0</x:v>
      </x:c>
      <x:c r="H19" s="8" t="n">
        <x:v>0</x:v>
      </x:c>
      <x:c r="I19" s="8" t="n">
        <x:v>649.4283141992184</x:v>
      </x:c>
      <x:c r="J19" s="8" t="n">
        <x:v>0</x:v>
      </x:c>
      <x:c r="K19" s="8" t="n">
        <x:v>180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0</x:v>
      </x:c>
      <x:c r="Q19" s="21" t="n">
        <x:f>C19+D19-E19-F19-G19-H19-I19-J19-K19-L19-M19+N19-O19-P19</x:f>
        <x:v>1737.5926727392823</x:v>
      </x:c>
      <x:c r="R19" s="8" t="n">
        <x:v>0</x:v>
      </x:c>
      <x:c r="S19" s="21" t="n">
        <x:f>R19+N19-O19-P19</x:f>
        <x:v>0</x:v>
      </x:c>
      <x:c r="T19" s="21" t="n">
        <x:f>IF(D19&lt;=0,"n.a.",(S19-Q19)/D19)</x:f>
        <x:v>-0.9294110493242738</x:v>
      </x:c>
      <x:c r="U19" s="21" t="str">
        <x:f>IF(D19&lt;=0,"n.a.",IF(J19=0,"n.a.",D19/J19))</x:f>
        <x:v>n.a.</x:v>
      </x:c>
      <x:c r="V19" s="8" t="n">
        <x:v>4.3866419379862105</x:v>
      </x:c>
      <x:c r="W19" s="8" t="n">
        <x:v>0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4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2" ht="42" customHeight="1">
      <x:c r="A2" s="5" t="str">
        <x:v>Fictional Atlas / Beacon - illustrative only | Debt Schedule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42" customHeight="1">
      <x:c r="A4" s="7" t="str">
        <x:v>Structure</x:v>
      </x:c>
      <x:c r="B4" s="7" t="str">
        <x:v>Scenario</x:v>
      </x:c>
      <x:c r="C4" s="7" t="str">
        <x:v>Instrument</x:v>
      </x:c>
      <x:c r="D4" s="7" t="str">
        <x:v>Period</x:v>
      </x:c>
      <x:c r="E4" s="7" t="str">
        <x:v>Opening principal</x:v>
      </x:c>
      <x:c r="F4" s="7" t="str">
        <x:v>Rate (fraction)</x:v>
      </x:c>
      <x:c r="G4" s="7" t="str">
        <x:v>Interest</x:v>
      </x:c>
      <x:c r="H4" s="7" t="str">
        <x:v>Mandatory due</x:v>
      </x:c>
      <x:c r="I4" s="7" t="str">
        <x:v>Mandatory paid</x:v>
      </x:c>
      <x:c r="J4" s="7" t="str">
        <x:v>Optional paid</x:v>
      </x:c>
      <x:c r="K4" s="7" t="str">
        <x:v>New borrowing</x:v>
      </x:c>
      <x:c r="L4" s="7" t="str">
        <x:v>Refinanced old debt</x:v>
      </x:c>
      <x:c r="M4" s="7" t="str">
        <x:v>Closing principal</x:v>
      </x:c>
    </x:row>
    <x:row r="5" ht="36" customHeight="1">
      <x:c r="A5" s="8" t="str">
        <x:v>Cash-first</x:v>
      </x:c>
      <x:c r="B5" s="8" t="str">
        <x:v>Base</x:v>
      </x:c>
      <x:c r="C5" s="8" t="str">
        <x:v>Atlas notes</x:v>
      </x:c>
      <x:c r="D5" s="22" t="n">
        <x:v>1</x:v>
      </x:c>
      <x:c r="E5" s="8" t="n">
        <x:v>900</x:v>
      </x:c>
      <x:c r="F5" s="23" t="n">
        <x:v>0.038</x:v>
      </x:c>
      <x:c r="G5" s="8" t="n">
        <x:v>34.199999999999996</x:v>
      </x:c>
      <x:c r="H5" s="8" t="n">
        <x:v>0</x:v>
      </x:c>
      <x:c r="I5" s="8" t="n">
        <x:v>0</x:v>
      </x:c>
      <x:c r="J5" s="8" t="n">
        <x:v>0</x:v>
      </x:c>
      <x:c r="K5" s="8" t="n">
        <x:v>0</x:v>
      </x:c>
      <x:c r="L5" s="8" t="n">
        <x:v>0</x:v>
      </x:c>
      <x:c r="M5" s="21" t="n">
        <x:f>E5+K5-I5-J5-L5</x:f>
        <x:v>900</x:v>
      </x:c>
    </x:row>
    <x:row r="6" ht="36" customHeight="1">
      <x:c r="A6" s="8" t="str">
        <x:v>Cash-first</x:v>
      </x:c>
      <x:c r="B6" s="8" t="str">
        <x:v>Base</x:v>
      </x:c>
      <x:c r="C6" s="8" t="str">
        <x:v>Atlas finance lease</x:v>
      </x:c>
      <x:c r="D6" s="22" t="n">
        <x:v>1</x:v>
      </x:c>
      <x:c r="E6" s="8" t="n">
        <x:v>80</x:v>
      </x:c>
      <x:c r="F6" s="23" t="n">
        <x:v>0.05</x:v>
      </x:c>
      <x:c r="G6" s="8" t="n">
        <x:v>4</x:v>
      </x:c>
      <x:c r="H6" s="8" t="n">
        <x:v>16</x:v>
      </x:c>
      <x:c r="I6" s="8" t="n">
        <x:v>16</x:v>
      </x:c>
      <x:c r="J6" s="8" t="n">
        <x:v>0</x:v>
      </x:c>
      <x:c r="K6" s="8" t="n">
        <x:v>0</x:v>
      </x:c>
      <x:c r="L6" s="8" t="n">
        <x:v>0</x:v>
      </x:c>
      <x:c r="M6" s="21" t="n">
        <x:f>E6+K6-I6-J6-L6</x:f>
        <x:v>64</x:v>
      </x:c>
    </x:row>
    <x:row r="7" ht="36" customHeight="1">
      <x:c r="A7" s="8" t="str">
        <x:v>Cash-first</x:v>
      </x:c>
      <x:c r="B7" s="8" t="str">
        <x:v>Base</x:v>
      </x:c>
      <x:c r="C7" s="8" t="str">
        <x:v>Beacon notes</x:v>
      </x:c>
      <x:c r="D7" s="22" t="n">
        <x:v>1</x:v>
      </x:c>
      <x:c r="E7" s="8" t="n">
        <x:v>350</x:v>
      </x:c>
      <x:c r="F7" s="23" t="n">
        <x:v>0.0475</x:v>
      </x:c>
      <x:c r="G7" s="8" t="n">
        <x:v>16.625</x:v>
      </x:c>
      <x:c r="H7" s="8" t="n">
        <x:v>0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21" t="n">
        <x:f>E7+K7-I7-J7-L7</x:f>
        <x:v>350</x:v>
      </x:c>
    </x:row>
    <x:row r="8" ht="36" customHeight="1">
      <x:c r="A8" s="8" t="str">
        <x:v>Cash-first</x:v>
      </x:c>
      <x:c r="B8" s="8" t="str">
        <x:v>Base</x:v>
      </x:c>
      <x:c r="C8" s="8" t="str">
        <x:v>Acquisition term</x:v>
      </x:c>
      <x:c r="D8" s="22" t="n">
        <x:v>1</x:v>
      </x:c>
      <x:c r="E8" s="8" t="n">
        <x:v>1340.1015228426397</x:v>
      </x:c>
      <x:c r="F8" s="23" t="n">
        <x:v>0.065</x:v>
      </x:c>
      <x:c r="G8" s="8" t="n">
        <x:v>87.10659898477158</x:v>
      </x:c>
      <x:c r="H8" s="8" t="n">
        <x:v>26.802030456852794</x:v>
      </x:c>
      <x:c r="I8" s="8" t="n">
        <x:v>26.802030456852794</x:v>
      </x:c>
      <x:c r="J8" s="8" t="n">
        <x:v>258.61348263333537</x:v>
      </x:c>
      <x:c r="K8" s="8" t="n">
        <x:v>0</x:v>
      </x:c>
      <x:c r="L8" s="8" t="n">
        <x:v>0</x:v>
      </x:c>
      <x:c r="M8" s="21" t="n">
        <x:f>E8+K8-I8-J8-L8</x:f>
        <x:v>1054.6860097524514</x:v>
      </x:c>
    </x:row>
    <x:row r="9" ht="36" customHeight="1">
      <x:c r="A9" s="8" t="str">
        <x:v>Cash-first</x:v>
      </x:c>
      <x:c r="B9" s="8" t="str">
        <x:v>Base</x:v>
      </x:c>
      <x:c r="C9" s="8" t="str">
        <x:v>Committed revolver</x:v>
      </x:c>
      <x:c r="D9" s="22" t="n">
        <x:v>1</x:v>
      </x:c>
      <x:c r="E9" s="8" t="n">
        <x:v>0</x:v>
      </x:c>
      <x:c r="F9" s="23" t="n">
        <x:v>0.0625</x:v>
      </x:c>
      <x:c r="G9" s="8" t="n">
        <x:v>0</x:v>
      </x:c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21" t="n">
        <x:f>E9+K9-I9-J9-L9</x:f>
        <x:v>0</x:v>
      </x:c>
    </x:row>
    <x:row r="10" ht="36" customHeight="1">
      <x:c r="A10" s="8" t="str">
        <x:v>Cash-first</x:v>
      </x:c>
      <x:c r="B10" s="8" t="str">
        <x:v>Base</x:v>
      </x:c>
      <x:c r="C10" s="8" t="str">
        <x:v>Atlas notes</x:v>
      </x:c>
      <x:c r="D10" s="22" t="n">
        <x:v>2</x:v>
      </x:c>
      <x:c r="E10" s="8" t="n">
        <x:v>900</x:v>
      </x:c>
      <x:c r="F10" s="23" t="n">
        <x:v>0.038</x:v>
      </x:c>
      <x:c r="G10" s="8" t="n">
        <x:v>34.199999999999996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21" t="n">
        <x:f>E10+K10-I10-J10-L10</x:f>
        <x:v>900</x:v>
      </x:c>
    </x:row>
    <x:row r="11" ht="36" customHeight="1">
      <x:c r="A11" s="8" t="str">
        <x:v>Cash-first</x:v>
      </x:c>
      <x:c r="B11" s="8" t="str">
        <x:v>Base</x:v>
      </x:c>
      <x:c r="C11" s="8" t="str">
        <x:v>Atlas finance lease</x:v>
      </x:c>
      <x:c r="D11" s="22" t="n">
        <x:v>2</x:v>
      </x:c>
      <x:c r="E11" s="8" t="n">
        <x:v>64</x:v>
      </x:c>
      <x:c r="F11" s="23" t="n">
        <x:v>0.05</x:v>
      </x:c>
      <x:c r="G11" s="8" t="n">
        <x:v>3.2</x:v>
      </x:c>
      <x:c r="H11" s="8" t="n">
        <x:v>16</x:v>
      </x:c>
      <x:c r="I11" s="8" t="n">
        <x:v>16</x:v>
      </x:c>
      <x:c r="J11" s="8" t="n">
        <x:v>0</x:v>
      </x:c>
      <x:c r="K11" s="8" t="n">
        <x:v>0</x:v>
      </x:c>
      <x:c r="L11" s="8" t="n">
        <x:v>0</x:v>
      </x:c>
      <x:c r="M11" s="21" t="n">
        <x:f>E11+K11-I11-J11-L11</x:f>
        <x:v>48</x:v>
      </x:c>
    </x:row>
    <x:row r="12" ht="36" customHeight="1">
      <x:c r="A12" s="8" t="str">
        <x:v>Cash-first</x:v>
      </x:c>
      <x:c r="B12" s="8" t="str">
        <x:v>Base</x:v>
      </x:c>
      <x:c r="C12" s="8" t="str">
        <x:v>Beacon notes</x:v>
      </x:c>
      <x:c r="D12" s="22" t="n">
        <x:v>2</x:v>
      </x:c>
      <x:c r="E12" s="8" t="n">
        <x:v>350</x:v>
      </x:c>
      <x:c r="F12" s="23" t="n">
        <x:v>0.0475</x:v>
      </x:c>
      <x:c r="G12" s="8" t="n">
        <x:v>16.625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21" t="n">
        <x:f>E12+K12-I12-J12-L12</x:f>
        <x:v>350</x:v>
      </x:c>
    </x:row>
    <x:row r="13" ht="36" customHeight="1">
      <x:c r="A13" s="8" t="str">
        <x:v>Cash-first</x:v>
      </x:c>
      <x:c r="B13" s="8" t="str">
        <x:v>Base</x:v>
      </x:c>
      <x:c r="C13" s="8" t="str">
        <x:v>Acquisition term</x:v>
      </x:c>
      <x:c r="D13" s="22" t="n">
        <x:v>2</x:v>
      </x:c>
      <x:c r="E13" s="8" t="n">
        <x:v>1054.6860097524514</x:v>
      </x:c>
      <x:c r="F13" s="23" t="n">
        <x:v>0.0625</x:v>
      </x:c>
      <x:c r="G13" s="8" t="n">
        <x:v>65.91787560952821</x:v>
      </x:c>
      <x:c r="H13" s="8" t="n">
        <x:v>26.802030456852794</x:v>
      </x:c>
      <x:c r="I13" s="8" t="n">
        <x:v>26.802030456852794</x:v>
      </x:c>
      <x:c r="J13" s="8" t="n">
        <x:v>350.3006304729854</x:v>
      </x:c>
      <x:c r="K13" s="8" t="n">
        <x:v>0</x:v>
      </x:c>
      <x:c r="L13" s="8" t="n">
        <x:v>0</x:v>
      </x:c>
      <x:c r="M13" s="21" t="n">
        <x:f>E13+K13-I13-J13-L13</x:f>
        <x:v>677.5833488226131</x:v>
      </x:c>
    </x:row>
    <x:row r="14" ht="36" customHeight="1">
      <x:c r="A14" s="8" t="str">
        <x:v>Cash-first</x:v>
      </x:c>
      <x:c r="B14" s="8" t="str">
        <x:v>Base</x:v>
      </x:c>
      <x:c r="C14" s="8" t="str">
        <x:v>Committed revolver</x:v>
      </x:c>
      <x:c r="D14" s="22" t="n">
        <x:v>2</x:v>
      </x:c>
      <x:c r="E14" s="8" t="n">
        <x:v>0</x:v>
      </x:c>
      <x:c r="F14" s="23" t="n">
        <x:v>0.06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21" t="n">
        <x:f>E14+K14-I14-J14-L14</x:f>
        <x:v>0</x:v>
      </x:c>
    </x:row>
    <x:row r="15" ht="36" customHeight="1">
      <x:c r="A15" s="8" t="str">
        <x:v>Cash-first</x:v>
      </x:c>
      <x:c r="B15" s="8" t="str">
        <x:v>Base</x:v>
      </x:c>
      <x:c r="C15" s="8" t="str">
        <x:v>Atlas notes</x:v>
      </x:c>
      <x:c r="D15" s="22" t="n">
        <x:v>3</x:v>
      </x:c>
      <x:c r="E15" s="8" t="n">
        <x:v>900</x:v>
      </x:c>
      <x:c r="F15" s="23" t="n">
        <x:v>0.038</x:v>
      </x:c>
      <x:c r="G15" s="8" t="n">
        <x:v>34.199999999999996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21" t="n">
        <x:f>E15+K15-I15-J15-L15</x:f>
        <x:v>900</x:v>
      </x:c>
    </x:row>
    <x:row r="16" ht="36" customHeight="1">
      <x:c r="A16" s="8" t="str">
        <x:v>Cash-first</x:v>
      </x:c>
      <x:c r="B16" s="8" t="str">
        <x:v>Base</x:v>
      </x:c>
      <x:c r="C16" s="8" t="str">
        <x:v>Atlas finance lease</x:v>
      </x:c>
      <x:c r="D16" s="22" t="n">
        <x:v>3</x:v>
      </x:c>
      <x:c r="E16" s="8" t="n">
        <x:v>48</x:v>
      </x:c>
      <x:c r="F16" s="23" t="n">
        <x:v>0.05</x:v>
      </x:c>
      <x:c r="G16" s="8" t="n">
        <x:v>2.4000000000000004</x:v>
      </x:c>
      <x:c r="H16" s="8" t="n">
        <x:v>16</x:v>
      </x:c>
      <x:c r="I16" s="8" t="n">
        <x:v>16</x:v>
      </x:c>
      <x:c r="J16" s="8" t="n">
        <x:v>0</x:v>
      </x:c>
      <x:c r="K16" s="8" t="n">
        <x:v>0</x:v>
      </x:c>
      <x:c r="L16" s="8" t="n">
        <x:v>0</x:v>
      </x:c>
      <x:c r="M16" s="21" t="n">
        <x:f>E16+K16-I16-J16-L16</x:f>
        <x:v>32</x:v>
      </x:c>
    </x:row>
    <x:row r="17" ht="36" customHeight="1">
      <x:c r="A17" s="8" t="str">
        <x:v>Cash-first</x:v>
      </x:c>
      <x:c r="B17" s="8" t="str">
        <x:v>Base</x:v>
      </x:c>
      <x:c r="C17" s="8" t="str">
        <x:v>Beacon notes</x:v>
      </x:c>
      <x:c r="D17" s="22" t="n">
        <x:v>3</x:v>
      </x:c>
      <x:c r="E17" s="8" t="n">
        <x:v>350</x:v>
      </x:c>
      <x:c r="F17" s="23" t="n">
        <x:v>0.0475</x:v>
      </x:c>
      <x:c r="G17" s="8" t="n">
        <x:v>16.625</x:v>
      </x:c>
      <x:c r="H17" s="8" t="n">
        <x:v>350</x:v>
      </x:c>
      <x:c r="I17" s="8" t="n">
        <x:v>350</x:v>
      </x:c>
      <x:c r="J17" s="8" t="n">
        <x:v>0</x:v>
      </x:c>
      <x:c r="K17" s="8" t="n">
        <x:v>0</x:v>
      </x:c>
      <x:c r="L17" s="8" t="n">
        <x:v>0</x:v>
      </x:c>
      <x:c r="M17" s="21" t="n">
        <x:f>E17+K17-I17-J17-L17</x:f>
        <x:v>0</x:v>
      </x:c>
    </x:row>
    <x:row r="18" ht="36" customHeight="1">
      <x:c r="A18" s="8" t="str">
        <x:v>Cash-first</x:v>
      </x:c>
      <x:c r="B18" s="8" t="str">
        <x:v>Base</x:v>
      </x:c>
      <x:c r="C18" s="8" t="str">
        <x:v>Acquisition term</x:v>
      </x:c>
      <x:c r="D18" s="22" t="n">
        <x:v>3</x:v>
      </x:c>
      <x:c r="E18" s="8" t="n">
        <x:v>677.5833488226131</x:v>
      </x:c>
      <x:c r="F18" s="23" t="n">
        <x:v>0.060000000000000005</x:v>
      </x:c>
      <x:c r="G18" s="8" t="n">
        <x:v>40.65500092935679</x:v>
      </x:c>
      <x:c r="H18" s="8" t="n">
        <x:v>26.802030456852794</x:v>
      </x:c>
      <x:c r="I18" s="8" t="n">
        <x:v>26.802030456852794</x:v>
      </x:c>
      <x:c r="J18" s="8" t="n">
        <x:v>115.85076192403983</x:v>
      </x:c>
      <x:c r="K18" s="8" t="n">
        <x:v>0</x:v>
      </x:c>
      <x:c r="L18" s="8" t="n">
        <x:v>0</x:v>
      </x:c>
      <x:c r="M18" s="21" t="n">
        <x:f>E18+K18-I18-J18-L18</x:f>
        <x:v>534.9305564417205</x:v>
      </x:c>
    </x:row>
    <x:row r="19" ht="36" customHeight="1">
      <x:c r="A19" s="8" t="str">
        <x:v>Cash-first</x:v>
      </x:c>
      <x:c r="B19" s="8" t="str">
        <x:v>Base</x:v>
      </x:c>
      <x:c r="C19" s="8" t="str">
        <x:v>Committed revolver</x:v>
      </x:c>
      <x:c r="D19" s="22" t="n">
        <x:v>3</x:v>
      </x:c>
      <x:c r="E19" s="8" t="n">
        <x:v>0</x:v>
      </x:c>
      <x:c r="F19" s="23" t="n">
        <x:v>0.0575</x:v>
      </x:c>
      <x:c r="G19" s="8" t="n">
        <x:v>0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21" t="n">
        <x:f>E19+K19-I19-J19-L19</x:f>
        <x:v>0</x:v>
      </x:c>
    </x:row>
    <x:row r="20" ht="36" customHeight="1">
      <x:c r="A20" s="8" t="str">
        <x:v>Cash-first</x:v>
      </x:c>
      <x:c r="B20" s="8" t="str">
        <x:v>Base</x:v>
      </x:c>
      <x:c r="C20" s="8" t="str">
        <x:v>Atlas notes</x:v>
      </x:c>
      <x:c r="D20" s="22" t="n">
        <x:v>4</x:v>
      </x:c>
      <x:c r="E20" s="8" t="n">
        <x:v>900</x:v>
      </x:c>
      <x:c r="F20" s="23" t="n">
        <x:v>0.038</x:v>
      </x:c>
      <x:c r="G20" s="8" t="n">
        <x:v>34.199999999999996</x:v>
      </x:c>
      <x:c r="H20" s="8" t="n">
        <x:v>900</x:v>
      </x:c>
      <x:c r="I20" s="8" t="n">
        <x:v>900</x:v>
      </x:c>
      <x:c r="J20" s="8" t="n">
        <x:v>0</x:v>
      </x:c>
      <x:c r="K20" s="8" t="n">
        <x:v>0</x:v>
      </x:c>
      <x:c r="L20" s="8" t="n">
        <x:v>0</x:v>
      </x:c>
      <x:c r="M20" s="21" t="n">
        <x:f>E20+K20-I20-J20-L20</x:f>
        <x:v>0</x:v>
      </x:c>
    </x:row>
    <x:row r="21" ht="36" customHeight="1">
      <x:c r="A21" s="8" t="str">
        <x:v>Cash-first</x:v>
      </x:c>
      <x:c r="B21" s="8" t="str">
        <x:v>Base</x:v>
      </x:c>
      <x:c r="C21" s="8" t="str">
        <x:v>Atlas finance lease</x:v>
      </x:c>
      <x:c r="D21" s="22" t="n">
        <x:v>4</x:v>
      </x:c>
      <x:c r="E21" s="8" t="n">
        <x:v>32</x:v>
      </x:c>
      <x:c r="F21" s="23" t="n">
        <x:v>0.05</x:v>
      </x:c>
      <x:c r="G21" s="8" t="n">
        <x:v>1.6</x:v>
      </x:c>
      <x:c r="H21" s="8" t="n">
        <x:v>16</x:v>
      </x:c>
      <x:c r="I21" s="8" t="n">
        <x:v>16</x:v>
      </x:c>
      <x:c r="J21" s="8" t="n">
        <x:v>0</x:v>
      </x:c>
      <x:c r="K21" s="8" t="n">
        <x:v>0</x:v>
      </x:c>
      <x:c r="L21" s="8" t="n">
        <x:v>0</x:v>
      </x:c>
      <x:c r="M21" s="21" t="n">
        <x:f>E21+K21-I21-J21-L21</x:f>
        <x:v>16</x:v>
      </x:c>
    </x:row>
    <x:row r="22" ht="36" customHeight="1">
      <x:c r="A22" s="8" t="str">
        <x:v>Cash-first</x:v>
      </x:c>
      <x:c r="B22" s="8" t="str">
        <x:v>Base</x:v>
      </x:c>
      <x:c r="C22" s="8" t="str">
        <x:v>Beacon notes</x:v>
      </x:c>
      <x:c r="D22" s="22" t="n">
        <x:v>4</x:v>
      </x:c>
      <x:c r="E22" s="8" t="n">
        <x:v>0</x:v>
      </x:c>
      <x:c r="F22" s="23" t="n">
        <x:v>0.0475</x:v>
      </x:c>
      <x:c r="G22" s="8" t="n">
        <x:v>0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21" t="n">
        <x:f>E22+K22-I22-J22-L22</x:f>
        <x:v>0</x:v>
      </x:c>
    </x:row>
    <x:row r="23" ht="36" customHeight="1">
      <x:c r="A23" s="8" t="str">
        <x:v>Cash-first</x:v>
      </x:c>
      <x:c r="B23" s="8" t="str">
        <x:v>Base</x:v>
      </x:c>
      <x:c r="C23" s="8" t="str">
        <x:v>Acquisition term</x:v>
      </x:c>
      <x:c r="D23" s="22" t="n">
        <x:v>4</x:v>
      </x:c>
      <x:c r="E23" s="8" t="n">
        <x:v>534.9305564417205</x:v>
      </x:c>
      <x:c r="F23" s="23" t="n">
        <x:v>0.060000000000000005</x:v>
      </x:c>
      <x:c r="G23" s="8" t="n">
        <x:v>32.09583338650323</x:v>
      </x:c>
      <x:c r="H23" s="8" t="n">
        <x:v>26.802030456852794</x:v>
      </x:c>
      <x:c r="I23" s="8" t="n">
        <x:v>26.802030456852794</x:v>
      </x:c>
      <x:c r="J23" s="8" t="n">
        <x:v>0</x:v>
      </x:c>
      <x:c r="K23" s="8" t="n">
        <x:v>0</x:v>
      </x:c>
      <x:c r="L23" s="8" t="n">
        <x:v>0</x:v>
      </x:c>
      <x:c r="M23" s="21" t="n">
        <x:f>E23+K23-I23-J23-L23</x:f>
        <x:v>508.1285259848677</x:v>
      </x:c>
    </x:row>
    <x:row r="24" ht="36" customHeight="1">
      <x:c r="A24" s="8" t="str">
        <x:v>Cash-first</x:v>
      </x:c>
      <x:c r="B24" s="8" t="str">
        <x:v>Base</x:v>
      </x:c>
      <x:c r="C24" s="8" t="str">
        <x:v>Committed revolver</x:v>
      </x:c>
      <x:c r="D24" s="22" t="n">
        <x:v>4</x:v>
      </x:c>
      <x:c r="E24" s="8" t="n">
        <x:v>0</x:v>
      </x:c>
      <x:c r="F24" s="23" t="n">
        <x:v>0.0575</x:v>
      </x:c>
      <x:c r="G24" s="8" t="n">
        <x:v>0</x:v>
      </x:c>
      <x:c r="H24" s="8" t="n">
        <x:v>0</x:v>
      </x:c>
      <x:c r="I24" s="8" t="n">
        <x:v>0</x:v>
      </x:c>
      <x:c r="J24" s="8" t="n">
        <x:v>0</x:v>
      </x:c>
      <x:c r="K24" s="8" t="n">
        <x:v>367.82703299187324</x:v>
      </x:c>
      <x:c r="L24" s="8" t="n">
        <x:v>0</x:v>
      </x:c>
      <x:c r="M24" s="21" t="n">
        <x:f>E24+K24-I24-J24-L24</x:f>
        <x:v>367.82703299187324</x:v>
      </x:c>
    </x:row>
    <x:row r="25" ht="36" customHeight="1">
      <x:c r="A25" s="8" t="str">
        <x:v>Cash-first</x:v>
      </x:c>
      <x:c r="B25" s="8" t="str">
        <x:v>Base</x:v>
      </x:c>
      <x:c r="C25" s="8" t="str">
        <x:v>Atlas notes</x:v>
      </x:c>
      <x:c r="D25" s="22" t="n">
        <x:v>5</x:v>
      </x:c>
      <x:c r="E25" s="8" t="n">
        <x:v>0</x:v>
      </x:c>
      <x:c r="F25" s="23" t="n">
        <x:v>0.038</x:v>
      </x:c>
      <x:c r="G25" s="8" t="n">
        <x:v>0</x:v>
      </x:c>
      <x:c r="H25" s="8" t="n">
        <x:v>0</x:v>
      </x:c>
      <x:c r="I25" s="8" t="n">
        <x:v>0</x:v>
      </x:c>
      <x:c r="J25" s="8" t="n">
        <x:v>0</x:v>
      </x:c>
      <x:c r="K25" s="8" t="n">
        <x:v>0</x:v>
      </x:c>
      <x:c r="L25" s="8" t="n">
        <x:v>0</x:v>
      </x:c>
      <x:c r="M25" s="21" t="n">
        <x:f>E25+K25-I25-J25-L25</x:f>
        <x:v>0</x:v>
      </x:c>
    </x:row>
    <x:row r="26" ht="36" customHeight="1">
      <x:c r="A26" s="8" t="str">
        <x:v>Cash-first</x:v>
      </x:c>
      <x:c r="B26" s="8" t="str">
        <x:v>Base</x:v>
      </x:c>
      <x:c r="C26" s="8" t="str">
        <x:v>Atlas finance lease</x:v>
      </x:c>
      <x:c r="D26" s="22" t="n">
        <x:v>5</x:v>
      </x:c>
      <x:c r="E26" s="8" t="n">
        <x:v>16</x:v>
      </x:c>
      <x:c r="F26" s="23" t="n">
        <x:v>0.05</x:v>
      </x:c>
      <x:c r="G26" s="8" t="n">
        <x:v>0.8</x:v>
      </x:c>
      <x:c r="H26" s="8" t="n">
        <x:v>16</x:v>
      </x:c>
      <x:c r="I26" s="8" t="n">
        <x:v>16</x:v>
      </x:c>
      <x:c r="J26" s="8" t="n">
        <x:v>0</x:v>
      </x:c>
      <x:c r="K26" s="8" t="n">
        <x:v>0</x:v>
      </x:c>
      <x:c r="L26" s="8" t="n">
        <x:v>0</x:v>
      </x:c>
      <x:c r="M26" s="21" t="n">
        <x:f>E26+K26-I26-J26-L26</x:f>
        <x:v>0</x:v>
      </x:c>
    </x:row>
    <x:row r="27" ht="36" customHeight="1">
      <x:c r="A27" s="8" t="str">
        <x:v>Cash-first</x:v>
      </x:c>
      <x:c r="B27" s="8" t="str">
        <x:v>Base</x:v>
      </x:c>
      <x:c r="C27" s="8" t="str">
        <x:v>Beacon notes</x:v>
      </x:c>
      <x:c r="D27" s="22" t="n">
        <x:v>5</x:v>
      </x:c>
      <x:c r="E27" s="8" t="n">
        <x:v>0</x:v>
      </x:c>
      <x:c r="F27" s="23" t="n">
        <x:v>0.0475</x:v>
      </x:c>
      <x:c r="G27" s="8" t="n">
        <x:v>0</x:v>
      </x:c>
      <x:c r="H27" s="8" t="n">
        <x:v>0</x:v>
      </x:c>
      <x:c r="I27" s="8" t="n">
        <x:v>0</x:v>
      </x:c>
      <x:c r="J27" s="8" t="n">
        <x:v>0</x:v>
      </x:c>
      <x:c r="K27" s="8" t="n">
        <x:v>0</x:v>
      </x:c>
      <x:c r="L27" s="8" t="n">
        <x:v>0</x:v>
      </x:c>
      <x:c r="M27" s="21" t="n">
        <x:f>E27+K27-I27-J27-L27</x:f>
        <x:v>0</x:v>
      </x:c>
    </x:row>
    <x:row r="28" ht="36" customHeight="1">
      <x:c r="A28" s="8" t="str">
        <x:v>Cash-first</x:v>
      </x:c>
      <x:c r="B28" s="8" t="str">
        <x:v>Base</x:v>
      </x:c>
      <x:c r="C28" s="8" t="str">
        <x:v>Acquisition term</x:v>
      </x:c>
      <x:c r="D28" s="22" t="n">
        <x:v>5</x:v>
      </x:c>
      <x:c r="E28" s="8" t="n">
        <x:v>508.1285259848677</x:v>
      </x:c>
      <x:c r="F28" s="23" t="n">
        <x:v>0.060000000000000005</x:v>
      </x:c>
      <x:c r="G28" s="8" t="n">
        <x:v>30.487711559092062</x:v>
      </x:c>
      <x:c r="H28" s="8" t="n">
        <x:v>508.1285259848677</x:v>
      </x:c>
      <x:c r="I28" s="8" t="n">
        <x:v>508.1285259848677</x:v>
      </x:c>
      <x:c r="J28" s="8" t="n">
        <x:v>0</x:v>
      </x:c>
      <x:c r="K28" s="8" t="n">
        <x:v>0</x:v>
      </x:c>
      <x:c r="L28" s="8" t="n">
        <x:v>0</x:v>
      </x:c>
      <x:c r="M28" s="21" t="n">
        <x:f>E28+K28-I28-J28-L28</x:f>
        <x:v>0</x:v>
      </x:c>
    </x:row>
    <x:row r="29" ht="36" customHeight="1">
      <x:c r="A29" s="8" t="str">
        <x:v>Cash-first</x:v>
      </x:c>
      <x:c r="B29" s="8" t="str">
        <x:v>Base</x:v>
      </x:c>
      <x:c r="C29" s="8" t="str">
        <x:v>Committed revolver</x:v>
      </x:c>
      <x:c r="D29" s="22" t="n">
        <x:v>5</x:v>
      </x:c>
      <x:c r="E29" s="8" t="n">
        <x:v>367.82703299187324</x:v>
      </x:c>
      <x:c r="F29" s="23" t="n">
        <x:v>0.0575</x:v>
      </x:c>
      <x:c r="G29" s="8" t="n">
        <x:v>21.15005439703271</x:v>
      </x:c>
      <x:c r="H29" s="8" t="n">
        <x:v>367.82703299187324</x:v>
      </x:c>
      <x:c r="I29" s="8" t="n">
        <x:v>367.82703299187324</x:v>
      </x:c>
      <x:c r="J29" s="8" t="n">
        <x:v>0</x:v>
      </x:c>
      <x:c r="K29" s="8" t="n">
        <x:v>0</x:v>
      </x:c>
      <x:c r="L29" s="8" t="n">
        <x:v>0</x:v>
      </x:c>
      <x:c r="M29" s="21" t="n">
        <x:f>E29+K29-I29-J29-L29</x:f>
        <x:v>0</x:v>
      </x:c>
    </x:row>
    <x:row r="30" ht="36" customHeight="1">
      <x:c r="A30" s="8" t="str">
        <x:v>Liquidity-first</x:v>
      </x:c>
      <x:c r="B30" s="8" t="str">
        <x:v>Base</x:v>
      </x:c>
      <x:c r="C30" s="8" t="str">
        <x:v>Atlas notes</x:v>
      </x:c>
      <x:c r="D30" s="22" t="n">
        <x:v>1</x:v>
      </x:c>
      <x:c r="E30" s="8" t="n">
        <x:v>900</x:v>
      </x:c>
      <x:c r="F30" s="23" t="n">
        <x:v>0.038</x:v>
      </x:c>
      <x:c r="G30" s="8" t="n">
        <x:v>34.199999999999996</x:v>
      </x:c>
      <x:c r="H30" s="8" t="n">
        <x:v>0</x:v>
      </x:c>
      <x:c r="I30" s="8" t="n">
        <x:v>0</x:v>
      </x:c>
      <x:c r="J30" s="8" t="n">
        <x:v>0</x:v>
      </x:c>
      <x:c r="K30" s="8" t="n">
        <x:v>0</x:v>
      </x:c>
      <x:c r="L30" s="8" t="n">
        <x:v>0</x:v>
      </x:c>
      <x:c r="M30" s="21" t="n">
        <x:f>E30+K30-I30-J30-L30</x:f>
        <x:v>900</x:v>
      </x:c>
    </x:row>
    <x:row r="31" ht="36" customHeight="1">
      <x:c r="A31" s="8" t="str">
        <x:v>Liquidity-first</x:v>
      </x:c>
      <x:c r="B31" s="8" t="str">
        <x:v>Base</x:v>
      </x:c>
      <x:c r="C31" s="8" t="str">
        <x:v>Atlas finance lease</x:v>
      </x:c>
      <x:c r="D31" s="22" t="n">
        <x:v>1</x:v>
      </x:c>
      <x:c r="E31" s="8" t="n">
        <x:v>80</x:v>
      </x:c>
      <x:c r="F31" s="23" t="n">
        <x:v>0.05</x:v>
      </x:c>
      <x:c r="G31" s="8" t="n">
        <x:v>4</x:v>
      </x:c>
      <x:c r="H31" s="8" t="n">
        <x:v>16</x:v>
      </x:c>
      <x:c r="I31" s="8" t="n">
        <x:v>16</x:v>
      </x:c>
      <x:c r="J31" s="8" t="n">
        <x:v>0</x:v>
      </x:c>
      <x:c r="K31" s="8" t="n">
        <x:v>0</x:v>
      </x:c>
      <x:c r="L31" s="8" t="n">
        <x:v>0</x:v>
      </x:c>
      <x:c r="M31" s="21" t="n">
        <x:f>E31+K31-I31-J31-L31</x:f>
        <x:v>64</x:v>
      </x:c>
    </x:row>
    <x:row r="32" ht="36" customHeight="1">
      <x:c r="A32" s="8" t="str">
        <x:v>Liquidity-first</x:v>
      </x:c>
      <x:c r="B32" s="8" t="str">
        <x:v>Base</x:v>
      </x:c>
      <x:c r="C32" s="8" t="str">
        <x:v>Beacon notes</x:v>
      </x:c>
      <x:c r="D32" s="22" t="n">
        <x:v>1</x:v>
      </x:c>
      <x:c r="E32" s="8" t="n">
        <x:v>350</x:v>
      </x:c>
      <x:c r="F32" s="23" t="n">
        <x:v>0.0475</x:v>
      </x:c>
      <x:c r="G32" s="8" t="n">
        <x:v>16.625</x:v>
      </x:c>
      <x:c r="H32" s="8" t="n">
        <x:v>0</x:v>
      </x:c>
      <x:c r="I32" s="8" t="n">
        <x:v>0</x:v>
      </x:c>
      <x:c r="J32" s="8" t="n">
        <x:v>0</x:v>
      </x:c>
      <x:c r="K32" s="8" t="n">
        <x:v>0</x:v>
      </x:c>
      <x:c r="L32" s="8" t="n">
        <x:v>0</x:v>
      </x:c>
      <x:c r="M32" s="21" t="n">
        <x:f>E32+K32-I32-J32-L32</x:f>
        <x:v>350</x:v>
      </x:c>
    </x:row>
    <x:row r="33" ht="36" customHeight="1">
      <x:c r="A33" s="8" t="str">
        <x:v>Liquidity-first</x:v>
      </x:c>
      <x:c r="B33" s="8" t="str">
        <x:v>Base</x:v>
      </x:c>
      <x:c r="C33" s="8" t="str">
        <x:v>Acquisition term</x:v>
      </x:c>
      <x:c r="D33" s="22" t="n">
        <x:v>1</x:v>
      </x:c>
      <x:c r="E33" s="8" t="n">
        <x:v>2223.3502538071066</x:v>
      </x:c>
      <x:c r="F33" s="23" t="n">
        <x:v>0.065</x:v>
      </x:c>
      <x:c r="G33" s="8" t="n">
        <x:v>144.51776649746193</x:v>
      </x:c>
      <x:c r="H33" s="8" t="n">
        <x:v>44.46700507614213</x:v>
      </x:c>
      <x:c r="I33" s="8" t="n">
        <x:v>44.46700507614213</x:v>
      </x:c>
      <x:c r="J33" s="8" t="n">
        <x:v>1067.8901323795283</x:v>
      </x:c>
      <x:c r="K33" s="8" t="n">
        <x:v>0</x:v>
      </x:c>
      <x:c r="L33" s="8" t="n">
        <x:v>0</x:v>
      </x:c>
      <x:c r="M33" s="21" t="n">
        <x:f>E33+K33-I33-J33-L33</x:f>
        <x:v>1110.9931163514364</x:v>
      </x:c>
    </x:row>
    <x:row r="34" ht="36" customHeight="1">
      <x:c r="A34" s="8" t="str">
        <x:v>Liquidity-first</x:v>
      </x:c>
      <x:c r="B34" s="8" t="str">
        <x:v>Base</x:v>
      </x:c>
      <x:c r="C34" s="8" t="str">
        <x:v>Committed revolver</x:v>
      </x:c>
      <x:c r="D34" s="22" t="n">
        <x:v>1</x:v>
      </x:c>
      <x:c r="E34" s="8" t="n">
        <x:v>0</x:v>
      </x:c>
      <x:c r="F34" s="23" t="n">
        <x:v>0.0625</x:v>
      </x:c>
      <x:c r="G34" s="8" t="n">
        <x:v>0</x:v>
      </x:c>
      <x:c r="H34" s="8" t="n">
        <x:v>0</x:v>
      </x:c>
      <x:c r="I34" s="8" t="n">
        <x:v>0</x:v>
      </x:c>
      <x:c r="J34" s="8" t="n">
        <x:v>0</x:v>
      </x:c>
      <x:c r="K34" s="8" t="n">
        <x:v>0</x:v>
      </x:c>
      <x:c r="L34" s="8" t="n">
        <x:v>0</x:v>
      </x:c>
      <x:c r="M34" s="21" t="n">
        <x:f>E34+K34-I34-J34-L34</x:f>
        <x:v>0</x:v>
      </x:c>
    </x:row>
    <x:row r="35" ht="36" customHeight="1">
      <x:c r="A35" s="8" t="str">
        <x:v>Liquidity-first</x:v>
      </x:c>
      <x:c r="B35" s="8" t="str">
        <x:v>Base</x:v>
      </x:c>
      <x:c r="C35" s="8" t="str">
        <x:v>Atlas notes</x:v>
      </x:c>
      <x:c r="D35" s="22" t="n">
        <x:v>2</x:v>
      </x:c>
      <x:c r="E35" s="8" t="n">
        <x:v>900</x:v>
      </x:c>
      <x:c r="F35" s="23" t="n">
        <x:v>0.038</x:v>
      </x:c>
      <x:c r="G35" s="8" t="n">
        <x:v>34.199999999999996</x:v>
      </x:c>
      <x:c r="H35" s="8" t="n">
        <x:v>0</x:v>
      </x:c>
      <x:c r="I35" s="8" t="n">
        <x:v>0</x:v>
      </x:c>
      <x:c r="J35" s="8" t="n">
        <x:v>0</x:v>
      </x:c>
      <x:c r="K35" s="8" t="n">
        <x:v>0</x:v>
      </x:c>
      <x:c r="L35" s="8" t="n">
        <x:v>0</x:v>
      </x:c>
      <x:c r="M35" s="21" t="n">
        <x:f>E35+K35-I35-J35-L35</x:f>
        <x:v>900</x:v>
      </x:c>
    </x:row>
    <x:row r="36" ht="36" customHeight="1">
      <x:c r="A36" s="8" t="str">
        <x:v>Liquidity-first</x:v>
      </x:c>
      <x:c r="B36" s="8" t="str">
        <x:v>Base</x:v>
      </x:c>
      <x:c r="C36" s="8" t="str">
        <x:v>Atlas finance lease</x:v>
      </x:c>
      <x:c r="D36" s="22" t="n">
        <x:v>2</x:v>
      </x:c>
      <x:c r="E36" s="8" t="n">
        <x:v>64</x:v>
      </x:c>
      <x:c r="F36" s="23" t="n">
        <x:v>0.05</x:v>
      </x:c>
      <x:c r="G36" s="8" t="n">
        <x:v>3.2</x:v>
      </x:c>
      <x:c r="H36" s="8" t="n">
        <x:v>16</x:v>
      </x:c>
      <x:c r="I36" s="8" t="n">
        <x:v>16</x:v>
      </x:c>
      <x:c r="J36" s="8" t="n">
        <x:v>0</x:v>
      </x:c>
      <x:c r="K36" s="8" t="n">
        <x:v>0</x:v>
      </x:c>
      <x:c r="L36" s="8" t="n">
        <x:v>0</x:v>
      </x:c>
      <x:c r="M36" s="21" t="n">
        <x:f>E36+K36-I36-J36-L36</x:f>
        <x:v>48</x:v>
      </x:c>
    </x:row>
    <x:row r="37" ht="36" customHeight="1">
      <x:c r="A37" s="8" t="str">
        <x:v>Liquidity-first</x:v>
      </x:c>
      <x:c r="B37" s="8" t="str">
        <x:v>Base</x:v>
      </x:c>
      <x:c r="C37" s="8" t="str">
        <x:v>Beacon notes</x:v>
      </x:c>
      <x:c r="D37" s="22" t="n">
        <x:v>2</x:v>
      </x:c>
      <x:c r="E37" s="8" t="n">
        <x:v>350</x:v>
      </x:c>
      <x:c r="F37" s="23" t="n">
        <x:v>0.0475</x:v>
      </x:c>
      <x:c r="G37" s="8" t="n">
        <x:v>16.625</x:v>
      </x:c>
      <x:c r="H37" s="8" t="n">
        <x:v>0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21" t="n">
        <x:f>E37+K37-I37-J37-L37</x:f>
        <x:v>350</x:v>
      </x:c>
    </x:row>
    <x:row r="38" ht="36" customHeight="1">
      <x:c r="A38" s="8" t="str">
        <x:v>Liquidity-first</x:v>
      </x:c>
      <x:c r="B38" s="8" t="str">
        <x:v>Base</x:v>
      </x:c>
      <x:c r="C38" s="8" t="str">
        <x:v>Acquisition term</x:v>
      </x:c>
      <x:c r="D38" s="22" t="n">
        <x:v>2</x:v>
      </x:c>
      <x:c r="E38" s="8" t="n">
        <x:v>1110.9931163514364</x:v>
      </x:c>
      <x:c r="F38" s="23" t="n">
        <x:v>0.0625</x:v>
      </x:c>
      <x:c r="G38" s="8" t="n">
        <x:v>69.43706977196477</x:v>
      </x:c>
      <x:c r="H38" s="8" t="n">
        <x:v>44.46700507614213</x:v>
      </x:c>
      <x:c r="I38" s="8" t="n">
        <x:v>44.46700507614213</x:v>
      </x:c>
      <x:c r="J38" s="8" t="n">
        <x:v>329.99626023186875</x:v>
      </x:c>
      <x:c r="K38" s="8" t="n">
        <x:v>0</x:v>
      </x:c>
      <x:c r="L38" s="8" t="n">
        <x:v>0</x:v>
      </x:c>
      <x:c r="M38" s="21" t="n">
        <x:f>E38+K38-I38-J38-L38</x:f>
        <x:v>736.5298510434254</x:v>
      </x:c>
    </x:row>
    <x:row r="39" ht="36" customHeight="1">
      <x:c r="A39" s="8" t="str">
        <x:v>Liquidity-first</x:v>
      </x:c>
      <x:c r="B39" s="8" t="str">
        <x:v>Base</x:v>
      </x:c>
      <x:c r="C39" s="8" t="str">
        <x:v>Committed revolver</x:v>
      </x:c>
      <x:c r="D39" s="22" t="n">
        <x:v>2</x:v>
      </x:c>
      <x:c r="E39" s="8" t="n">
        <x:v>0</x:v>
      </x:c>
      <x:c r="F39" s="23" t="n">
        <x:v>0.06</x:v>
      </x:c>
      <x:c r="G39" s="8" t="n">
        <x:v>0</x:v>
      </x:c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21" t="n">
        <x:f>E39+K39-I39-J39-L39</x:f>
        <x:v>0</x:v>
      </x:c>
    </x:row>
    <x:row r="40" ht="36" customHeight="1">
      <x:c r="A40" s="8" t="str">
        <x:v>Liquidity-first</x:v>
      </x:c>
      <x:c r="B40" s="8" t="str">
        <x:v>Base</x:v>
      </x:c>
      <x:c r="C40" s="8" t="str">
        <x:v>Atlas notes</x:v>
      </x:c>
      <x:c r="D40" s="22" t="n">
        <x:v>3</x:v>
      </x:c>
      <x:c r="E40" s="8" t="n">
        <x:v>900</x:v>
      </x:c>
      <x:c r="F40" s="23" t="n">
        <x:v>0.038</x:v>
      </x:c>
      <x:c r="G40" s="8" t="n">
        <x:v>34.199999999999996</x:v>
      </x:c>
      <x:c r="H40" s="8" t="n">
        <x:v>0</x:v>
      </x:c>
      <x:c r="I40" s="8" t="n">
        <x:v>0</x:v>
      </x:c>
      <x:c r="J40" s="8" t="n">
        <x:v>0</x:v>
      </x:c>
      <x:c r="K40" s="8" t="n">
        <x:v>0</x:v>
      </x:c>
      <x:c r="L40" s="8" t="n">
        <x:v>0</x:v>
      </x:c>
      <x:c r="M40" s="21" t="n">
        <x:f>E40+K40-I40-J40-L40</x:f>
        <x:v>900</x:v>
      </x:c>
    </x:row>
    <x:row r="41" ht="36" customHeight="1">
      <x:c r="A41" s="8" t="str">
        <x:v>Liquidity-first</x:v>
      </x:c>
      <x:c r="B41" s="8" t="str">
        <x:v>Base</x:v>
      </x:c>
      <x:c r="C41" s="8" t="str">
        <x:v>Atlas finance lease</x:v>
      </x:c>
      <x:c r="D41" s="22" t="n">
        <x:v>3</x:v>
      </x:c>
      <x:c r="E41" s="8" t="n">
        <x:v>48</x:v>
      </x:c>
      <x:c r="F41" s="23" t="n">
        <x:v>0.05</x:v>
      </x:c>
      <x:c r="G41" s="8" t="n">
        <x:v>2.4000000000000004</x:v>
      </x:c>
      <x:c r="H41" s="8" t="n">
        <x:v>16</x:v>
      </x:c>
      <x:c r="I41" s="8" t="n">
        <x:v>16</x:v>
      </x:c>
      <x:c r="J41" s="8" t="n">
        <x:v>0</x:v>
      </x:c>
      <x:c r="K41" s="8" t="n">
        <x:v>0</x:v>
      </x:c>
      <x:c r="L41" s="8" t="n">
        <x:v>0</x:v>
      </x:c>
      <x:c r="M41" s="21" t="n">
        <x:f>E41+K41-I41-J41-L41</x:f>
        <x:v>32</x:v>
      </x:c>
    </x:row>
    <x:row r="42" ht="36" customHeight="1">
      <x:c r="A42" s="8" t="str">
        <x:v>Liquidity-first</x:v>
      </x:c>
      <x:c r="B42" s="8" t="str">
        <x:v>Base</x:v>
      </x:c>
      <x:c r="C42" s="8" t="str">
        <x:v>Beacon notes</x:v>
      </x:c>
      <x:c r="D42" s="22" t="n">
        <x:v>3</x:v>
      </x:c>
      <x:c r="E42" s="8" t="n">
        <x:v>350</x:v>
      </x:c>
      <x:c r="F42" s="23" t="n">
        <x:v>0.0475</x:v>
      </x:c>
      <x:c r="G42" s="8" t="n">
        <x:v>16.625</x:v>
      </x:c>
      <x:c r="H42" s="8" t="n">
        <x:v>350</x:v>
      </x:c>
      <x:c r="I42" s="8" t="n">
        <x:v>350</x:v>
      </x:c>
      <x:c r="J42" s="8" t="n">
        <x:v>0</x:v>
      </x:c>
      <x:c r="K42" s="8" t="n">
        <x:v>0</x:v>
      </x:c>
      <x:c r="L42" s="8" t="n">
        <x:v>0</x:v>
      </x:c>
      <x:c r="M42" s="21" t="n">
        <x:f>E42+K42-I42-J42-L42</x:f>
        <x:v>0</x:v>
      </x:c>
    </x:row>
    <x:row r="43" ht="36" customHeight="1">
      <x:c r="A43" s="8" t="str">
        <x:v>Liquidity-first</x:v>
      </x:c>
      <x:c r="B43" s="8" t="str">
        <x:v>Base</x:v>
      </x:c>
      <x:c r="C43" s="8" t="str">
        <x:v>Acquisition term</x:v>
      </x:c>
      <x:c r="D43" s="22" t="n">
        <x:v>3</x:v>
      </x:c>
      <x:c r="E43" s="8" t="n">
        <x:v>736.5298510434254</x:v>
      </x:c>
      <x:c r="F43" s="23" t="n">
        <x:v>0.060000000000000005</x:v>
      </x:c>
      <x:c r="G43" s="8" t="n">
        <x:v>44.19179106260553</x:v>
      </x:c>
      <x:c r="H43" s="8" t="n">
        <x:v>44.46700507614213</x:v>
      </x:c>
      <x:c r="I43" s="8" t="n">
        <x:v>44.46700507614213</x:v>
      </x:c>
      <x:c r="J43" s="8" t="n">
        <x:v>95.53319470481392</x:v>
      </x:c>
      <x:c r="K43" s="8" t="n">
        <x:v>0</x:v>
      </x:c>
      <x:c r="L43" s="8" t="n">
        <x:v>0</x:v>
      </x:c>
      <x:c r="M43" s="21" t="n">
        <x:f>E43+K43-I43-J43-L43</x:f>
        <x:v>596.5296512624693</x:v>
      </x:c>
    </x:row>
    <x:row r="44" ht="36" customHeight="1">
      <x:c r="A44" s="8" t="str">
        <x:v>Liquidity-first</x:v>
      </x:c>
      <x:c r="B44" s="8" t="str">
        <x:v>Base</x:v>
      </x:c>
      <x:c r="C44" s="8" t="str">
        <x:v>Committed revolver</x:v>
      </x:c>
      <x:c r="D44" s="22" t="n">
        <x:v>3</x:v>
      </x:c>
      <x:c r="E44" s="8" t="n">
        <x:v>0</x:v>
      </x:c>
      <x:c r="F44" s="23" t="n">
        <x:v>0.0575</x:v>
      </x:c>
      <x:c r="G44" s="8" t="n">
        <x:v>0</x:v>
      </x:c>
      <x:c r="H44" s="8" t="n">
        <x:v>0</x:v>
      </x:c>
      <x:c r="I44" s="8" t="n">
        <x:v>0</x:v>
      </x:c>
      <x:c r="J44" s="8" t="n">
        <x:v>0</x:v>
      </x:c>
      <x:c r="K44" s="8" t="n">
        <x:v>0</x:v>
      </x:c>
      <x:c r="L44" s="8" t="n">
        <x:v>0</x:v>
      </x:c>
      <x:c r="M44" s="21" t="n">
        <x:f>E44+K44-I44-J44-L44</x:f>
        <x:v>0</x:v>
      </x:c>
    </x:row>
    <x:row r="45" ht="36" customHeight="1">
      <x:c r="A45" s="8" t="str">
        <x:v>Liquidity-first</x:v>
      </x:c>
      <x:c r="B45" s="8" t="str">
        <x:v>Base</x:v>
      </x:c>
      <x:c r="C45" s="8" t="str">
        <x:v>Atlas notes</x:v>
      </x:c>
      <x:c r="D45" s="22" t="n">
        <x:v>4</x:v>
      </x:c>
      <x:c r="E45" s="8" t="n">
        <x:v>900</x:v>
      </x:c>
      <x:c r="F45" s="23" t="n">
        <x:v>0.038</x:v>
      </x:c>
      <x:c r="G45" s="8" t="n">
        <x:v>34.199999999999996</x:v>
      </x:c>
      <x:c r="H45" s="8" t="n">
        <x:v>900</x:v>
      </x:c>
      <x:c r="I45" s="8" t="n">
        <x:v>900</x:v>
      </x:c>
      <x:c r="J45" s="8" t="n">
        <x:v>0</x:v>
      </x:c>
      <x:c r="K45" s="8" t="n">
        <x:v>0</x:v>
      </x:c>
      <x:c r="L45" s="8" t="n">
        <x:v>0</x:v>
      </x:c>
      <x:c r="M45" s="21" t="n">
        <x:f>E45+K45-I45-J45-L45</x:f>
        <x:v>0</x:v>
      </x:c>
    </x:row>
    <x:row r="46" ht="36" customHeight="1">
      <x:c r="A46" s="8" t="str">
        <x:v>Liquidity-first</x:v>
      </x:c>
      <x:c r="B46" s="8" t="str">
        <x:v>Base</x:v>
      </x:c>
      <x:c r="C46" s="8" t="str">
        <x:v>Atlas finance lease</x:v>
      </x:c>
      <x:c r="D46" s="22" t="n">
        <x:v>4</x:v>
      </x:c>
      <x:c r="E46" s="8" t="n">
        <x:v>32</x:v>
      </x:c>
      <x:c r="F46" s="23" t="n">
        <x:v>0.05</x:v>
      </x:c>
      <x:c r="G46" s="8" t="n">
        <x:v>1.6</x:v>
      </x:c>
      <x:c r="H46" s="8" t="n">
        <x:v>16</x:v>
      </x:c>
      <x:c r="I46" s="8" t="n">
        <x:v>16</x:v>
      </x:c>
      <x:c r="J46" s="8" t="n">
        <x:v>0</x:v>
      </x:c>
      <x:c r="K46" s="8" t="n">
        <x:v>0</x:v>
      </x:c>
      <x:c r="L46" s="8" t="n">
        <x:v>0</x:v>
      </x:c>
      <x:c r="M46" s="21" t="n">
        <x:f>E46+K46-I46-J46-L46</x:f>
        <x:v>16</x:v>
      </x:c>
    </x:row>
    <x:row r="47" ht="36" customHeight="1">
      <x:c r="A47" s="8" t="str">
        <x:v>Liquidity-first</x:v>
      </x:c>
      <x:c r="B47" s="8" t="str">
        <x:v>Base</x:v>
      </x:c>
      <x:c r="C47" s="8" t="str">
        <x:v>Beacon notes</x:v>
      </x:c>
      <x:c r="D47" s="22" t="n">
        <x:v>4</x:v>
      </x:c>
      <x:c r="E47" s="8" t="n">
        <x:v>0</x:v>
      </x:c>
      <x:c r="F47" s="23" t="n">
        <x:v>0.0475</x:v>
      </x:c>
      <x:c r="G47" s="8" t="n">
        <x:v>0</x:v>
      </x:c>
      <x:c r="H47" s="8" t="n">
        <x:v>0</x:v>
      </x:c>
      <x:c r="I47" s="8" t="n">
        <x:v>0</x:v>
      </x:c>
      <x:c r="J47" s="8" t="n">
        <x:v>0</x:v>
      </x:c>
      <x:c r="K47" s="8" t="n">
        <x:v>0</x:v>
      </x:c>
      <x:c r="L47" s="8" t="n">
        <x:v>0</x:v>
      </x:c>
      <x:c r="M47" s="21" t="n">
        <x:f>E47+K47-I47-J47-L47</x:f>
        <x:v>0</x:v>
      </x:c>
    </x:row>
    <x:row r="48" ht="36" customHeight="1">
      <x:c r="A48" s="8" t="str">
        <x:v>Liquidity-first</x:v>
      </x:c>
      <x:c r="B48" s="8" t="str">
        <x:v>Base</x:v>
      </x:c>
      <x:c r="C48" s="8" t="str">
        <x:v>Acquisition term</x:v>
      </x:c>
      <x:c r="D48" s="22" t="n">
        <x:v>4</x:v>
      </x:c>
      <x:c r="E48" s="8" t="n">
        <x:v>596.5296512624693</x:v>
      </x:c>
      <x:c r="F48" s="23" t="n">
        <x:v>0.060000000000000005</x:v>
      </x:c>
      <x:c r="G48" s="8" t="n">
        <x:v>35.79177907574816</x:v>
      </x:c>
      <x:c r="H48" s="8" t="n">
        <x:v>44.46700507614213</x:v>
      </x:c>
      <x:c r="I48" s="8" t="n">
        <x:v>44.46700507614213</x:v>
      </x:c>
      <x:c r="J48" s="8" t="n">
        <x:v>0</x:v>
      </x:c>
      <x:c r="K48" s="8" t="n">
        <x:v>0</x:v>
      </x:c>
      <x:c r="L48" s="8" t="n">
        <x:v>0</x:v>
      </x:c>
      <x:c r="M48" s="21" t="n">
        <x:f>E48+K48-I48-J48-L48</x:f>
        <x:v>552.0626461863271</x:v>
      </x:c>
    </x:row>
    <x:row r="49" ht="36" customHeight="1">
      <x:c r="A49" s="8" t="str">
        <x:v>Liquidity-first</x:v>
      </x:c>
      <x:c r="B49" s="8" t="str">
        <x:v>Base</x:v>
      </x:c>
      <x:c r="C49" s="8" t="str">
        <x:v>Committed revolver</x:v>
      </x:c>
      <x:c r="D49" s="22" t="n">
        <x:v>4</x:v>
      </x:c>
      <x:c r="E49" s="8" t="n">
        <x:v>0</x:v>
      </x:c>
      <x:c r="F49" s="23" t="n">
        <x:v>0.0575</x:v>
      </x:c>
      <x:c r="G49" s="8" t="n">
        <x:v>0</x:v>
      </x:c>
      <x:c r="H49" s="8" t="n">
        <x:v>0</x:v>
      </x:c>
      <x:c r="I49" s="8" t="n">
        <x:v>0</x:v>
      </x:c>
      <x:c r="J49" s="8" t="n">
        <x:v>0</x:v>
      </x:c>
      <x:c r="K49" s="8" t="n">
        <x:v>388.2639668780964</x:v>
      </x:c>
      <x:c r="L49" s="8" t="n">
        <x:v>0</x:v>
      </x:c>
      <x:c r="M49" s="21" t="n">
        <x:f>E49+K49-I49-J49-L49</x:f>
        <x:v>388.2639668780964</x:v>
      </x:c>
    </x:row>
    <x:row r="50" ht="36" customHeight="1">
      <x:c r="A50" s="8" t="str">
        <x:v>Liquidity-first</x:v>
      </x:c>
      <x:c r="B50" s="8" t="str">
        <x:v>Base</x:v>
      </x:c>
      <x:c r="C50" s="8" t="str">
        <x:v>Atlas notes</x:v>
      </x:c>
      <x:c r="D50" s="22" t="n">
        <x:v>5</x:v>
      </x:c>
      <x:c r="E50" s="8" t="n">
        <x:v>0</x:v>
      </x:c>
      <x:c r="F50" s="23" t="n">
        <x:v>0.038</x:v>
      </x:c>
      <x:c r="G50" s="8" t="n">
        <x:v>0</x:v>
      </x:c>
      <x:c r="H50" s="8" t="n">
        <x:v>0</x:v>
      </x:c>
      <x:c r="I50" s="8" t="n">
        <x:v>0</x:v>
      </x:c>
      <x:c r="J50" s="8" t="n">
        <x:v>0</x:v>
      </x:c>
      <x:c r="K50" s="8" t="n">
        <x:v>0</x:v>
      </x:c>
      <x:c r="L50" s="8" t="n">
        <x:v>0</x:v>
      </x:c>
      <x:c r="M50" s="21" t="n">
        <x:f>E50+K50-I50-J50-L50</x:f>
        <x:v>0</x:v>
      </x:c>
    </x:row>
    <x:row r="51" ht="36" customHeight="1">
      <x:c r="A51" s="8" t="str">
        <x:v>Liquidity-first</x:v>
      </x:c>
      <x:c r="B51" s="8" t="str">
        <x:v>Base</x:v>
      </x:c>
      <x:c r="C51" s="8" t="str">
        <x:v>Atlas finance lease</x:v>
      </x:c>
      <x:c r="D51" s="22" t="n">
        <x:v>5</x:v>
      </x:c>
      <x:c r="E51" s="8" t="n">
        <x:v>16</x:v>
      </x:c>
      <x:c r="F51" s="23" t="n">
        <x:v>0.05</x:v>
      </x:c>
      <x:c r="G51" s="8" t="n">
        <x:v>0.8</x:v>
      </x:c>
      <x:c r="H51" s="8" t="n">
        <x:v>16</x:v>
      </x:c>
      <x:c r="I51" s="8" t="n">
        <x:v>16</x:v>
      </x:c>
      <x:c r="J51" s="8" t="n">
        <x:v>0</x:v>
      </x:c>
      <x:c r="K51" s="8" t="n">
        <x:v>0</x:v>
      </x:c>
      <x:c r="L51" s="8" t="n">
        <x:v>0</x:v>
      </x:c>
      <x:c r="M51" s="21" t="n">
        <x:f>E51+K51-I51-J51-L51</x:f>
        <x:v>0</x:v>
      </x:c>
    </x:row>
    <x:row r="52" ht="36" customHeight="1">
      <x:c r="A52" s="8" t="str">
        <x:v>Liquidity-first</x:v>
      </x:c>
      <x:c r="B52" s="8" t="str">
        <x:v>Base</x:v>
      </x:c>
      <x:c r="C52" s="8" t="str">
        <x:v>Beacon notes</x:v>
      </x:c>
      <x:c r="D52" s="22" t="n">
        <x:v>5</x:v>
      </x:c>
      <x:c r="E52" s="8" t="n">
        <x:v>0</x:v>
      </x:c>
      <x:c r="F52" s="23" t="n">
        <x:v>0.0475</x:v>
      </x:c>
      <x:c r="G52" s="8" t="n">
        <x:v>0</x:v>
      </x:c>
      <x:c r="H52" s="8" t="n">
        <x:v>0</x:v>
      </x:c>
      <x:c r="I52" s="8" t="n">
        <x:v>0</x:v>
      </x:c>
      <x:c r="J52" s="8" t="n">
        <x:v>0</x:v>
      </x:c>
      <x:c r="K52" s="8" t="n">
        <x:v>0</x:v>
      </x:c>
      <x:c r="L52" s="8" t="n">
        <x:v>0</x:v>
      </x:c>
      <x:c r="M52" s="21" t="n">
        <x:f>E52+K52-I52-J52-L52</x:f>
        <x:v>0</x:v>
      </x:c>
    </x:row>
    <x:row r="53" ht="36" customHeight="1">
      <x:c r="A53" s="8" t="str">
        <x:v>Liquidity-first</x:v>
      </x:c>
      <x:c r="B53" s="8" t="str">
        <x:v>Base</x:v>
      </x:c>
      <x:c r="C53" s="8" t="str">
        <x:v>Acquisition term</x:v>
      </x:c>
      <x:c r="D53" s="22" t="n">
        <x:v>5</x:v>
      </x:c>
      <x:c r="E53" s="8" t="n">
        <x:v>552.0626461863271</x:v>
      </x:c>
      <x:c r="F53" s="23" t="n">
        <x:v>0.060000000000000005</x:v>
      </x:c>
      <x:c r="G53" s="8" t="n">
        <x:v>33.12375877117963</x:v>
      </x:c>
      <x:c r="H53" s="8" t="n">
        <x:v>552.0626461863271</x:v>
      </x:c>
      <x:c r="I53" s="8" t="n">
        <x:v>552.0626461863271</x:v>
      </x:c>
      <x:c r="J53" s="8" t="n">
        <x:v>0</x:v>
      </x:c>
      <x:c r="K53" s="8" t="n">
        <x:v>0</x:v>
      </x:c>
      <x:c r="L53" s="8" t="n">
        <x:v>0</x:v>
      </x:c>
      <x:c r="M53" s="21" t="n">
        <x:f>E53+K53-I53-J53-L53</x:f>
        <x:v>0</x:v>
      </x:c>
    </x:row>
    <x:row r="54" ht="36" customHeight="1">
      <x:c r="A54" s="8" t="str">
        <x:v>Liquidity-first</x:v>
      </x:c>
      <x:c r="B54" s="8" t="str">
        <x:v>Base</x:v>
      </x:c>
      <x:c r="C54" s="8" t="str">
        <x:v>Committed revolver</x:v>
      </x:c>
      <x:c r="D54" s="22" t="n">
        <x:v>5</x:v>
      </x:c>
      <x:c r="E54" s="8" t="n">
        <x:v>388.2639668780964</x:v>
      </x:c>
      <x:c r="F54" s="23" t="n">
        <x:v>0.0575</x:v>
      </x:c>
      <x:c r="G54" s="8" t="n">
        <x:v>22.325178095490546</x:v>
      </x:c>
      <x:c r="H54" s="8" t="n">
        <x:v>388.2639668780964</x:v>
      </x:c>
      <x:c r="I54" s="8" t="n">
        <x:v>388.2639668780964</x:v>
      </x:c>
      <x:c r="J54" s="8" t="n">
        <x:v>0</x:v>
      </x:c>
      <x:c r="K54" s="8" t="n">
        <x:v>0</x:v>
      </x:c>
      <x:c r="L54" s="8" t="n">
        <x:v>0</x:v>
      </x:c>
      <x:c r="M54" s="21" t="n">
        <x:f>E54+K54-I54-J54-L54</x:f>
        <x:v>0</x:v>
      </x:c>
    </x:row>
    <x:row r="55" ht="36" customHeight="1">
      <x:c r="A55" s="8" t="str">
        <x:v>Mixed consideration</x:v>
      </x:c>
      <x:c r="B55" s="8" t="str">
        <x:v>Base</x:v>
      </x:c>
      <x:c r="C55" s="8" t="str">
        <x:v>Atlas notes</x:v>
      </x:c>
      <x:c r="D55" s="22" t="n">
        <x:v>1</x:v>
      </x:c>
      <x:c r="E55" s="8" t="n">
        <x:v>900</x:v>
      </x:c>
      <x:c r="F55" s="23" t="n">
        <x:v>0.038</x:v>
      </x:c>
      <x:c r="G55" s="8" t="n">
        <x:v>34.199999999999996</x:v>
      </x:c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21" t="n">
        <x:f>E55+K55-I55-J55-L55</x:f>
        <x:v>900</x:v>
      </x:c>
    </x:row>
    <x:row r="56" ht="36" customHeight="1">
      <x:c r="A56" s="8" t="str">
        <x:v>Mixed consideration</x:v>
      </x:c>
      <x:c r="B56" s="8" t="str">
        <x:v>Base</x:v>
      </x:c>
      <x:c r="C56" s="8" t="str">
        <x:v>Atlas finance lease</x:v>
      </x:c>
      <x:c r="D56" s="22" t="n">
        <x:v>1</x:v>
      </x:c>
      <x:c r="E56" s="8" t="n">
        <x:v>80</x:v>
      </x:c>
      <x:c r="F56" s="23" t="n">
        <x:v>0.05</x:v>
      </x:c>
      <x:c r="G56" s="8" t="n">
        <x:v>4</x:v>
      </x:c>
      <x:c r="H56" s="8" t="n">
        <x:v>16</x:v>
      </x:c>
      <x:c r="I56" s="8" t="n">
        <x:v>16</x:v>
      </x:c>
      <x:c r="J56" s="8" t="n">
        <x:v>31.329218673944126</x:v>
      </x:c>
      <x:c r="K56" s="8" t="n">
        <x:v>0</x:v>
      </x:c>
      <x:c r="L56" s="8" t="n">
        <x:v>0</x:v>
      </x:c>
      <x:c r="M56" s="21" t="n">
        <x:f>E56+K56-I56-J56-L56</x:f>
        <x:v>32.670781326055874</x:v>
      </x:c>
    </x:row>
    <x:row r="57" ht="36" customHeight="1">
      <x:c r="A57" s="8" t="str">
        <x:v>Mixed consideration</x:v>
      </x:c>
      <x:c r="B57" s="8" t="str">
        <x:v>Base</x:v>
      </x:c>
      <x:c r="C57" s="8" t="str">
        <x:v>Beacon notes</x:v>
      </x:c>
      <x:c r="D57" s="22" t="n">
        <x:v>1</x:v>
      </x:c>
      <x:c r="E57" s="8" t="n">
        <x:v>350</x:v>
      </x:c>
      <x:c r="F57" s="23" t="n">
        <x:v>0.0475</x:v>
      </x:c>
      <x:c r="G57" s="8" t="n">
        <x:v>16.625</x:v>
      </x:c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21" t="n">
        <x:f>E57+K57-I57-J57-L57</x:f>
        <x:v>350</x:v>
      </x:c>
    </x:row>
    <x:row r="58" ht="36" customHeight="1">
      <x:c r="A58" s="8" t="str">
        <x:v>Mixed consideration</x:v>
      </x:c>
      <x:c r="B58" s="8" t="str">
        <x:v>Base</x:v>
      </x:c>
      <x:c r="C58" s="8" t="str">
        <x:v>Acquisition term</x:v>
      </x:c>
      <x:c r="D58" s="22" t="n">
        <x:v>1</x:v>
      </x:c>
      <x:c r="E58" s="8" t="n">
        <x:v>304.56852791878174</x:v>
      </x:c>
      <x:c r="F58" s="23" t="n">
        <x:v>0.065</x:v>
      </x:c>
      <x:c r="G58" s="8" t="n">
        <x:v>19.796954314720814</x:v>
      </x:c>
      <x:c r="H58" s="8" t="n">
        <x:v>6.091370558375635</x:v>
      </x:c>
      <x:c r="I58" s="8" t="n">
        <x:v>6.091370558375635</x:v>
      </x:c>
      <x:c r="J58" s="8" t="n">
        <x:v>298.4771573604061</x:v>
      </x:c>
      <x:c r="K58" s="8" t="n">
        <x:v>0</x:v>
      </x:c>
      <x:c r="L58" s="8" t="n">
        <x:v>0</x:v>
      </x:c>
      <x:c r="M58" s="21" t="n">
        <x:f>E58+K58-I58-J58-L58</x:f>
        <x:v>0</x:v>
      </x:c>
    </x:row>
    <x:row r="59" ht="36" customHeight="1">
      <x:c r="A59" s="8" t="str">
        <x:v>Mixed consideration</x:v>
      </x:c>
      <x:c r="B59" s="8" t="str">
        <x:v>Base</x:v>
      </x:c>
      <x:c r="C59" s="8" t="str">
        <x:v>Committed revolver</x:v>
      </x:c>
      <x:c r="D59" s="22" t="n">
        <x:v>1</x:v>
      </x:c>
      <x:c r="E59" s="8" t="n">
        <x:v>0</x:v>
      </x:c>
      <x:c r="F59" s="23" t="n">
        <x:v>0.0625</x:v>
      </x:c>
      <x:c r="G59" s="8" t="n">
        <x:v>0</x:v>
      </x:c>
      <x:c r="H59" s="8" t="n">
        <x:v>0</x:v>
      </x:c>
      <x:c r="I59" s="8" t="n">
        <x:v>0</x:v>
      </x:c>
      <x:c r="J59" s="8" t="n">
        <x:v>0</x:v>
      </x:c>
      <x:c r="K59" s="8" t="n">
        <x:v>0</x:v>
      </x:c>
      <x:c r="L59" s="8" t="n">
        <x:v>0</x:v>
      </x:c>
      <x:c r="M59" s="21" t="n">
        <x:f>E59+K59-I59-J59-L59</x:f>
        <x:v>0</x:v>
      </x:c>
    </x:row>
    <x:row r="60" ht="36" customHeight="1">
      <x:c r="A60" s="8" t="str">
        <x:v>Mixed consideration</x:v>
      </x:c>
      <x:c r="B60" s="8" t="str">
        <x:v>Base</x:v>
      </x:c>
      <x:c r="C60" s="8" t="str">
        <x:v>Atlas notes</x:v>
      </x:c>
      <x:c r="D60" s="22" t="n">
        <x:v>2</x:v>
      </x:c>
      <x:c r="E60" s="8" t="n">
        <x:v>900</x:v>
      </x:c>
      <x:c r="F60" s="23" t="n">
        <x:v>0.038</x:v>
      </x:c>
      <x:c r="G60" s="8" t="n">
        <x:v>34.199999999999996</x:v>
      </x:c>
      <x:c r="H60" s="8" t="n">
        <x:v>0</x:v>
      </x:c>
      <x:c r="I60" s="8" t="n">
        <x:v>0</x:v>
      </x:c>
      <x:c r="J60" s="8" t="n">
        <x:v>61.04513201120136</x:v>
      </x:c>
      <x:c r="K60" s="8" t="n">
        <x:v>0</x:v>
      </x:c>
      <x:c r="L60" s="8" t="n">
        <x:v>0</x:v>
      </x:c>
      <x:c r="M60" s="21" t="n">
        <x:f>E60+K60-I60-J60-L60</x:f>
        <x:v>838.9548679887987</x:v>
      </x:c>
    </x:row>
    <x:row r="61" ht="36" customHeight="1">
      <x:c r="A61" s="8" t="str">
        <x:v>Mixed consideration</x:v>
      </x:c>
      <x:c r="B61" s="8" t="str">
        <x:v>Base</x:v>
      </x:c>
      <x:c r="C61" s="8" t="str">
        <x:v>Atlas finance lease</x:v>
      </x:c>
      <x:c r="D61" s="22" t="n">
        <x:v>2</x:v>
      </x:c>
      <x:c r="E61" s="8" t="n">
        <x:v>32.670781326055874</x:v>
      </x:c>
      <x:c r="F61" s="23" t="n">
        <x:v>0.05</x:v>
      </x:c>
      <x:c r="G61" s="8" t="n">
        <x:v>1.6335390663027938</x:v>
      </x:c>
      <x:c r="H61" s="8" t="n">
        <x:v>16</x:v>
      </x:c>
      <x:c r="I61" s="8" t="n">
        <x:v>16</x:v>
      </x:c>
      <x:c r="J61" s="8" t="n">
        <x:v>16.670781326055874</x:v>
      </x:c>
      <x:c r="K61" s="8" t="n">
        <x:v>0</x:v>
      </x:c>
      <x:c r="L61" s="8" t="n">
        <x:v>0</x:v>
      </x:c>
      <x:c r="M61" s="21" t="n">
        <x:f>E61+K61-I61-J61-L61</x:f>
        <x:v>0</x:v>
      </x:c>
    </x:row>
    <x:row r="62" ht="36" customHeight="1">
      <x:c r="A62" s="8" t="str">
        <x:v>Mixed consideration</x:v>
      </x:c>
      <x:c r="B62" s="8" t="str">
        <x:v>Base</x:v>
      </x:c>
      <x:c r="C62" s="8" t="str">
        <x:v>Beacon notes</x:v>
      </x:c>
      <x:c r="D62" s="22" t="n">
        <x:v>2</x:v>
      </x:c>
      <x:c r="E62" s="8" t="n">
        <x:v>350</x:v>
      </x:c>
      <x:c r="F62" s="23" t="n">
        <x:v>0.0475</x:v>
      </x:c>
      <x:c r="G62" s="8" t="n">
        <x:v>16.625</x:v>
      </x:c>
      <x:c r="H62" s="8" t="n">
        <x:v>0</x:v>
      </x:c>
      <x:c r="I62" s="8" t="n">
        <x:v>0</x:v>
      </x:c>
      <x:c r="J62" s="8" t="n">
        <x:v>350</x:v>
      </x:c>
      <x:c r="K62" s="8" t="n">
        <x:v>0</x:v>
      </x:c>
      <x:c r="L62" s="8" t="n">
        <x:v>0</x:v>
      </x:c>
      <x:c r="M62" s="21" t="n">
        <x:f>E62+K62-I62-J62-L62</x:f>
        <x:v>0</x:v>
      </x:c>
    </x:row>
    <x:row r="63" ht="36" customHeight="1">
      <x:c r="A63" s="8" t="str">
        <x:v>Mixed consideration</x:v>
      </x:c>
      <x:c r="B63" s="8" t="str">
        <x:v>Base</x:v>
      </x:c>
      <x:c r="C63" s="8" t="str">
        <x:v>Acquisition term</x:v>
      </x:c>
      <x:c r="D63" s="22" t="n">
        <x:v>2</x:v>
      </x:c>
      <x:c r="E63" s="8" t="n">
        <x:v>0</x:v>
      </x:c>
      <x:c r="F63" s="23" t="n">
        <x:v>0.0625</x:v>
      </x:c>
      <x:c r="G63" s="8" t="n">
        <x:v>0</x:v>
      </x:c>
      <x:c r="H63" s="8" t="n">
        <x:v>0</x:v>
      </x:c>
      <x:c r="I63" s="8" t="n">
        <x:v>0</x:v>
      </x:c>
      <x:c r="J63" s="8" t="n">
        <x:v>0</x:v>
      </x:c>
      <x:c r="K63" s="8" t="n">
        <x:v>0</x:v>
      </x:c>
      <x:c r="L63" s="8" t="n">
        <x:v>0</x:v>
      </x:c>
      <x:c r="M63" s="21" t="n">
        <x:f>E63+K63-I63-J63-L63</x:f>
        <x:v>0</x:v>
      </x:c>
    </x:row>
    <x:row r="64" ht="36" customHeight="1">
      <x:c r="A64" s="8" t="str">
        <x:v>Mixed consideration</x:v>
      </x:c>
      <x:c r="B64" s="8" t="str">
        <x:v>Base</x:v>
      </x:c>
      <x:c r="C64" s="8" t="str">
        <x:v>Committed revolver</x:v>
      </x:c>
      <x:c r="D64" s="22" t="n">
        <x:v>2</x:v>
      </x:c>
      <x:c r="E64" s="8" t="n">
        <x:v>0</x:v>
      </x:c>
      <x:c r="F64" s="23" t="n">
        <x:v>0.06</x:v>
      </x:c>
      <x:c r="G64" s="8" t="n">
        <x:v>0</x:v>
      </x:c>
      <x:c r="H64" s="8" t="n">
        <x:v>0</x:v>
      </x:c>
      <x:c r="I64" s="8" t="n">
        <x:v>0</x:v>
      </x:c>
      <x:c r="J64" s="8" t="n">
        <x:v>0</x:v>
      </x:c>
      <x:c r="K64" s="8" t="n">
        <x:v>0</x:v>
      </x:c>
      <x:c r="L64" s="8" t="n">
        <x:v>0</x:v>
      </x:c>
      <x:c r="M64" s="21" t="n">
        <x:f>E64+K64-I64-J64-L64</x:f>
        <x:v>0</x:v>
      </x:c>
    </x:row>
    <x:row r="65" ht="36" customHeight="1">
      <x:c r="A65" s="8" t="str">
        <x:v>Mixed consideration</x:v>
      </x:c>
      <x:c r="B65" s="8" t="str">
        <x:v>Base</x:v>
      </x:c>
      <x:c r="C65" s="8" t="str">
        <x:v>Atlas notes</x:v>
      </x:c>
      <x:c r="D65" s="22" t="n">
        <x:v>3</x:v>
      </x:c>
      <x:c r="E65" s="8" t="n">
        <x:v>838.9548679887987</x:v>
      </x:c>
      <x:c r="F65" s="23" t="n">
        <x:v>0.038</x:v>
      </x:c>
      <x:c r="G65" s="8" t="n">
        <x:v>31.88028498357435</x:v>
      </x:c>
      <x:c r="H65" s="8" t="n">
        <x:v>0</x:v>
      </x:c>
      <x:c r="I65" s="8" t="n">
        <x:v>0</x:v>
      </x:c>
      <x:c r="J65" s="8" t="n">
        <x:v>555.1525793402295</x:v>
      </x:c>
      <x:c r="K65" s="8" t="n">
        <x:v>0</x:v>
      </x:c>
      <x:c r="L65" s="8" t="n">
        <x:v>0</x:v>
      </x:c>
      <x:c r="M65" s="21" t="n">
        <x:f>E65+K65-I65-J65-L65</x:f>
        <x:v>283.8022886485692</x:v>
      </x:c>
    </x:row>
    <x:row r="66" ht="36" customHeight="1">
      <x:c r="A66" s="8" t="str">
        <x:v>Mixed consideration</x:v>
      </x:c>
      <x:c r="B66" s="8" t="str">
        <x:v>Base</x:v>
      </x:c>
      <x:c r="C66" s="8" t="str">
        <x:v>Atlas finance lease</x:v>
      </x:c>
      <x:c r="D66" s="22" t="n">
        <x:v>3</x:v>
      </x:c>
      <x:c r="E66" s="8" t="n">
        <x:v>0</x:v>
      </x:c>
      <x:c r="F66" s="23" t="n">
        <x:v>0.05</x:v>
      </x:c>
      <x:c r="G66" s="8" t="n">
        <x:v>0</x:v>
      </x:c>
      <x:c r="H66" s="8" t="n">
        <x:v>0</x:v>
      </x:c>
      <x:c r="I66" s="8" t="n">
        <x:v>0</x:v>
      </x:c>
      <x:c r="J66" s="8" t="n">
        <x:v>0</x:v>
      </x:c>
      <x:c r="K66" s="8" t="n">
        <x:v>0</x:v>
      </x:c>
      <x:c r="L66" s="8" t="n">
        <x:v>0</x:v>
      </x:c>
      <x:c r="M66" s="21" t="n">
        <x:f>E66+K66-I66-J66-L66</x:f>
        <x:v>0</x:v>
      </x:c>
    </x:row>
    <x:row r="67" ht="36" customHeight="1">
      <x:c r="A67" s="8" t="str">
        <x:v>Mixed consideration</x:v>
      </x:c>
      <x:c r="B67" s="8" t="str">
        <x:v>Base</x:v>
      </x:c>
      <x:c r="C67" s="8" t="str">
        <x:v>Beacon notes</x:v>
      </x:c>
      <x:c r="D67" s="22" t="n">
        <x:v>3</x:v>
      </x:c>
      <x:c r="E67" s="8" t="n">
        <x:v>0</x:v>
      </x:c>
      <x:c r="F67" s="23" t="n">
        <x:v>0.0475</x:v>
      </x:c>
      <x:c r="G67" s="8" t="n">
        <x:v>0</x:v>
      </x:c>
      <x:c r="H67" s="8" t="n">
        <x:v>0</x:v>
      </x:c>
      <x:c r="I67" s="8" t="n">
        <x:v>0</x:v>
      </x:c>
      <x:c r="J67" s="8" t="n">
        <x:v>0</x:v>
      </x:c>
      <x:c r="K67" s="8" t="n">
        <x:v>0</x:v>
      </x:c>
      <x:c r="L67" s="8" t="n">
        <x:v>0</x:v>
      </x:c>
      <x:c r="M67" s="21" t="n">
        <x:f>E67+K67-I67-J67-L67</x:f>
        <x:v>0</x:v>
      </x:c>
    </x:row>
    <x:row r="68" ht="36" customHeight="1">
      <x:c r="A68" s="8" t="str">
        <x:v>Mixed consideration</x:v>
      </x:c>
      <x:c r="B68" s="8" t="str">
        <x:v>Base</x:v>
      </x:c>
      <x:c r="C68" s="8" t="str">
        <x:v>Acquisition term</x:v>
      </x:c>
      <x:c r="D68" s="22" t="n">
        <x:v>3</x:v>
      </x:c>
      <x:c r="E68" s="8" t="n">
        <x:v>0</x:v>
      </x:c>
      <x:c r="F68" s="23" t="n">
        <x:v>0.060000000000000005</x:v>
      </x:c>
      <x:c r="G68" s="8" t="n">
        <x:v>0</x:v>
      </x:c>
      <x:c r="H68" s="8" t="n">
        <x:v>0</x:v>
      </x:c>
      <x:c r="I68" s="8" t="n">
        <x:v>0</x:v>
      </x:c>
      <x:c r="J68" s="8" t="n">
        <x:v>0</x:v>
      </x:c>
      <x:c r="K68" s="8" t="n">
        <x:v>0</x:v>
      </x:c>
      <x:c r="L68" s="8" t="n">
        <x:v>0</x:v>
      </x:c>
      <x:c r="M68" s="21" t="n">
        <x:f>E68+K68-I68-J68-L68</x:f>
        <x:v>0</x:v>
      </x:c>
    </x:row>
    <x:row r="69" ht="36" customHeight="1">
      <x:c r="A69" s="8" t="str">
        <x:v>Mixed consideration</x:v>
      </x:c>
      <x:c r="B69" s="8" t="str">
        <x:v>Base</x:v>
      </x:c>
      <x:c r="C69" s="8" t="str">
        <x:v>Committed revolver</x:v>
      </x:c>
      <x:c r="D69" s="22" t="n">
        <x:v>3</x:v>
      </x:c>
      <x:c r="E69" s="8" t="n">
        <x:v>0</x:v>
      </x:c>
      <x:c r="F69" s="23" t="n">
        <x:v>0.0575</x:v>
      </x:c>
      <x:c r="G69" s="8" t="n">
        <x:v>0</x:v>
      </x:c>
      <x:c r="H69" s="8" t="n">
        <x:v>0</x:v>
      </x:c>
      <x:c r="I69" s="8" t="n">
        <x:v>0</x:v>
      </x:c>
      <x:c r="J69" s="8" t="n">
        <x:v>0</x:v>
      </x:c>
      <x:c r="K69" s="8" t="n">
        <x:v>0</x:v>
      </x:c>
      <x:c r="L69" s="8" t="n">
        <x:v>0</x:v>
      </x:c>
      <x:c r="M69" s="21" t="n">
        <x:f>E69+K69-I69-J69-L69</x:f>
        <x:v>0</x:v>
      </x:c>
    </x:row>
    <x:row r="70" ht="36" customHeight="1">
      <x:c r="A70" s="8" t="str">
        <x:v>Mixed consideration</x:v>
      </x:c>
      <x:c r="B70" s="8" t="str">
        <x:v>Base</x:v>
      </x:c>
      <x:c r="C70" s="8" t="str">
        <x:v>Atlas notes</x:v>
      </x:c>
      <x:c r="D70" s="22" t="n">
        <x:v>4</x:v>
      </x:c>
      <x:c r="E70" s="8" t="n">
        <x:v>283.8022886485692</x:v>
      </x:c>
      <x:c r="F70" s="23" t="n">
        <x:v>0.038</x:v>
      </x:c>
      <x:c r="G70" s="8" t="n">
        <x:v>10.784486968645629</x:v>
      </x:c>
      <x:c r="H70" s="8" t="n">
        <x:v>283.8022886485692</x:v>
      </x:c>
      <x:c r="I70" s="8" t="n">
        <x:v>283.8022886485692</x:v>
      </x:c>
      <x:c r="J70" s="8" t="n">
        <x:v>0</x:v>
      </x:c>
      <x:c r="K70" s="8" t="n">
        <x:v>0</x:v>
      </x:c>
      <x:c r="L70" s="8" t="n">
        <x:v>0</x:v>
      </x:c>
      <x:c r="M70" s="21" t="n">
        <x:f>E70+K70-I70-J70-L70</x:f>
        <x:v>0</x:v>
      </x:c>
    </x:row>
    <x:row r="71" ht="36" customHeight="1">
      <x:c r="A71" s="8" t="str">
        <x:v>Mixed consideration</x:v>
      </x:c>
      <x:c r="B71" s="8" t="str">
        <x:v>Base</x:v>
      </x:c>
      <x:c r="C71" s="8" t="str">
        <x:v>Atlas finance lease</x:v>
      </x:c>
      <x:c r="D71" s="22" t="n">
        <x:v>4</x:v>
      </x:c>
      <x:c r="E71" s="8" t="n">
        <x:v>0</x:v>
      </x:c>
      <x:c r="F71" s="23" t="n">
        <x:v>0.05</x:v>
      </x:c>
      <x:c r="G71" s="8" t="n">
        <x:v>0</x:v>
      </x:c>
      <x:c r="H71" s="8" t="n">
        <x:v>0</x:v>
      </x:c>
      <x:c r="I71" s="8" t="n">
        <x:v>0</x:v>
      </x:c>
      <x:c r="J71" s="8" t="n">
        <x:v>0</x:v>
      </x:c>
      <x:c r="K71" s="8" t="n">
        <x:v>0</x:v>
      </x:c>
      <x:c r="L71" s="8" t="n">
        <x:v>0</x:v>
      </x:c>
      <x:c r="M71" s="21" t="n">
        <x:f>E71+K71-I71-J71-L71</x:f>
        <x:v>0</x:v>
      </x:c>
    </x:row>
    <x:row r="72" ht="36" customHeight="1">
      <x:c r="A72" s="8" t="str">
        <x:v>Mixed consideration</x:v>
      </x:c>
      <x:c r="B72" s="8" t="str">
        <x:v>Base</x:v>
      </x:c>
      <x:c r="C72" s="8" t="str">
        <x:v>Beacon notes</x:v>
      </x:c>
      <x:c r="D72" s="22" t="n">
        <x:v>4</x:v>
      </x:c>
      <x:c r="E72" s="8" t="n">
        <x:v>0</x:v>
      </x:c>
      <x:c r="F72" s="23" t="n">
        <x:v>0.0475</x:v>
      </x:c>
      <x:c r="G72" s="8" t="n">
        <x:v>0</x:v>
      </x:c>
      <x:c r="H72" s="8" t="n">
        <x:v>0</x:v>
      </x:c>
      <x:c r="I72" s="8" t="n">
        <x:v>0</x:v>
      </x:c>
      <x:c r="J72" s="8" t="n">
        <x:v>0</x:v>
      </x:c>
      <x:c r="K72" s="8" t="n">
        <x:v>0</x:v>
      </x:c>
      <x:c r="L72" s="8" t="n">
        <x:v>0</x:v>
      </x:c>
      <x:c r="M72" s="21" t="n">
        <x:f>E72+K72-I72-J72-L72</x:f>
        <x:v>0</x:v>
      </x:c>
    </x:row>
    <x:row r="73" ht="36" customHeight="1">
      <x:c r="A73" s="8" t="str">
        <x:v>Mixed consideration</x:v>
      </x:c>
      <x:c r="B73" s="8" t="str">
        <x:v>Base</x:v>
      </x:c>
      <x:c r="C73" s="8" t="str">
        <x:v>Acquisition term</x:v>
      </x:c>
      <x:c r="D73" s="22" t="n">
        <x:v>4</x:v>
      </x:c>
      <x:c r="E73" s="8" t="n">
        <x:v>0</x:v>
      </x:c>
      <x:c r="F73" s="23" t="n">
        <x:v>0.060000000000000005</x:v>
      </x:c>
      <x:c r="G73" s="8" t="n">
        <x:v>0</x:v>
      </x:c>
      <x:c r="H73" s="8" t="n">
        <x:v>0</x:v>
      </x:c>
      <x:c r="I73" s="8" t="n">
        <x:v>0</x:v>
      </x:c>
      <x:c r="J73" s="8" t="n">
        <x:v>0</x:v>
      </x:c>
      <x:c r="K73" s="8" t="n">
        <x:v>0</x:v>
      </x:c>
      <x:c r="L73" s="8" t="n">
        <x:v>0</x:v>
      </x:c>
      <x:c r="M73" s="21" t="n">
        <x:f>E73+K73-I73-J73-L73</x:f>
        <x:v>0</x:v>
      </x:c>
    </x:row>
    <x:row r="74" ht="36" customHeight="1">
      <x:c r="A74" s="8" t="str">
        <x:v>Mixed consideration</x:v>
      </x:c>
      <x:c r="B74" s="8" t="str">
        <x:v>Base</x:v>
      </x:c>
      <x:c r="C74" s="8" t="str">
        <x:v>Committed revolver</x:v>
      </x:c>
      <x:c r="D74" s="22" t="n">
        <x:v>4</x:v>
      </x:c>
      <x:c r="E74" s="8" t="n">
        <x:v>0</x:v>
      </x:c>
      <x:c r="F74" s="23" t="n">
        <x:v>0.0575</x:v>
      </x:c>
      <x:c r="G74" s="8" t="n">
        <x:v>0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0</x:v>
      </x:c>
      <x:c r="M74" s="21" t="n">
        <x:f>E74+K74-I74-J74-L74</x:f>
        <x:v>0</x:v>
      </x:c>
    </x:row>
    <x:row r="75" ht="36" customHeight="1">
      <x:c r="A75" s="8" t="str">
        <x:v>Mixed consideration</x:v>
      </x:c>
      <x:c r="B75" s="8" t="str">
        <x:v>Base</x:v>
      </x:c>
      <x:c r="C75" s="8" t="str">
        <x:v>Atlas notes</x:v>
      </x:c>
      <x:c r="D75" s="22" t="n">
        <x:v>5</x:v>
      </x:c>
      <x:c r="E75" s="8" t="n">
        <x:v>0</x:v>
      </x:c>
      <x:c r="F75" s="23" t="n">
        <x:v>0.038</x:v>
      </x:c>
      <x:c r="G75" s="8" t="n">
        <x:v>0</x:v>
      </x:c>
      <x:c r="H75" s="8" t="n">
        <x:v>0</x:v>
      </x:c>
      <x:c r="I75" s="8" t="n">
        <x:v>0</x:v>
      </x:c>
      <x:c r="J75" s="8" t="n">
        <x:v>0</x:v>
      </x:c>
      <x:c r="K75" s="8" t="n">
        <x:v>0</x:v>
      </x:c>
      <x:c r="L75" s="8" t="n">
        <x:v>0</x:v>
      </x:c>
      <x:c r="M75" s="21" t="n">
        <x:f>E75+K75-I75-J75-L75</x:f>
        <x:v>0</x:v>
      </x:c>
    </x:row>
    <x:row r="76" ht="36" customHeight="1">
      <x:c r="A76" s="8" t="str">
        <x:v>Mixed consideration</x:v>
      </x:c>
      <x:c r="B76" s="8" t="str">
        <x:v>Base</x:v>
      </x:c>
      <x:c r="C76" s="8" t="str">
        <x:v>Atlas finance lease</x:v>
      </x:c>
      <x:c r="D76" s="22" t="n">
        <x:v>5</x:v>
      </x:c>
      <x:c r="E76" s="8" t="n">
        <x:v>0</x:v>
      </x:c>
      <x:c r="F76" s="23" t="n">
        <x:v>0.05</x:v>
      </x:c>
      <x:c r="G76" s="8" t="n">
        <x:v>0</x:v>
      </x:c>
      <x:c r="H76" s="8" t="n">
        <x:v>0</x:v>
      </x:c>
      <x:c r="I76" s="8" t="n">
        <x:v>0</x:v>
      </x:c>
      <x:c r="J76" s="8" t="n">
        <x:v>0</x:v>
      </x:c>
      <x:c r="K76" s="8" t="n">
        <x:v>0</x:v>
      </x:c>
      <x:c r="L76" s="8" t="n">
        <x:v>0</x:v>
      </x:c>
      <x:c r="M76" s="21" t="n">
        <x:f>E76+K76-I76-J76-L76</x:f>
        <x:v>0</x:v>
      </x:c>
    </x:row>
    <x:row r="77" ht="36" customHeight="1">
      <x:c r="A77" s="8" t="str">
        <x:v>Mixed consideration</x:v>
      </x:c>
      <x:c r="B77" s="8" t="str">
        <x:v>Base</x:v>
      </x:c>
      <x:c r="C77" s="8" t="str">
        <x:v>Beacon notes</x:v>
      </x:c>
      <x:c r="D77" s="22" t="n">
        <x:v>5</x:v>
      </x:c>
      <x:c r="E77" s="8" t="n">
        <x:v>0</x:v>
      </x:c>
      <x:c r="F77" s="23" t="n">
        <x:v>0.0475</x:v>
      </x:c>
      <x:c r="G77" s="8" t="n">
        <x:v>0</x:v>
      </x:c>
      <x:c r="H77" s="8" t="n">
        <x:v>0</x:v>
      </x:c>
      <x:c r="I77" s="8" t="n">
        <x:v>0</x:v>
      </x:c>
      <x:c r="J77" s="8" t="n">
        <x:v>0</x:v>
      </x:c>
      <x:c r="K77" s="8" t="n">
        <x:v>0</x:v>
      </x:c>
      <x:c r="L77" s="8" t="n">
        <x:v>0</x:v>
      </x:c>
      <x:c r="M77" s="21" t="n">
        <x:f>E77+K77-I77-J77-L77</x:f>
        <x:v>0</x:v>
      </x:c>
    </x:row>
    <x:row r="78" ht="36" customHeight="1">
      <x:c r="A78" s="8" t="str">
        <x:v>Mixed consideration</x:v>
      </x:c>
      <x:c r="B78" s="8" t="str">
        <x:v>Base</x:v>
      </x:c>
      <x:c r="C78" s="8" t="str">
        <x:v>Acquisition term</x:v>
      </x:c>
      <x:c r="D78" s="22" t="n">
        <x:v>5</x:v>
      </x:c>
      <x:c r="E78" s="8" t="n">
        <x:v>0</x:v>
      </x:c>
      <x:c r="F78" s="23" t="n">
        <x:v>0.060000000000000005</x:v>
      </x:c>
      <x:c r="G78" s="8" t="n">
        <x:v>0</x:v>
      </x:c>
      <x:c r="H78" s="8" t="n">
        <x:v>0</x:v>
      </x:c>
      <x:c r="I78" s="8" t="n">
        <x:v>0</x:v>
      </x:c>
      <x:c r="J78" s="8" t="n">
        <x:v>0</x:v>
      </x:c>
      <x:c r="K78" s="8" t="n">
        <x:v>0</x:v>
      </x:c>
      <x:c r="L78" s="8" t="n">
        <x:v>0</x:v>
      </x:c>
      <x:c r="M78" s="21" t="n">
        <x:f>E78+K78-I78-J78-L78</x:f>
        <x:v>0</x:v>
      </x:c>
    </x:row>
    <x:row r="79" ht="36" customHeight="1">
      <x:c r="A79" s="8" t="str">
        <x:v>Mixed consideration</x:v>
      </x:c>
      <x:c r="B79" s="8" t="str">
        <x:v>Base</x:v>
      </x:c>
      <x:c r="C79" s="8" t="str">
        <x:v>Committed revolver</x:v>
      </x:c>
      <x:c r="D79" s="22" t="n">
        <x:v>5</x:v>
      </x:c>
      <x:c r="E79" s="8" t="n">
        <x:v>0</x:v>
      </x:c>
      <x:c r="F79" s="23" t="n">
        <x:v>0.0575</x:v>
      </x:c>
      <x:c r="G79" s="8" t="n">
        <x:v>0</x:v>
      </x:c>
      <x:c r="H79" s="8" t="n">
        <x:v>0</x:v>
      </x:c>
      <x:c r="I79" s="8" t="n">
        <x:v>0</x:v>
      </x:c>
      <x:c r="J79" s="8" t="n">
        <x:v>0</x:v>
      </x:c>
      <x:c r="K79" s="8" t="n">
        <x:v>0</x:v>
      </x:c>
      <x:c r="L79" s="8" t="n">
        <x:v>0</x:v>
      </x:c>
      <x:c r="M79" s="21" t="n">
        <x:f>E79+K79-I79-J79-L79</x:f>
        <x:v>0</x:v>
      </x:c>
    </x:row>
    <x:row r="80" ht="36" customHeight="1">
      <x:c r="A80" s="8" t="str">
        <x:v>Cash-first</x:v>
      </x:c>
      <x:c r="B80" s="8" t="str">
        <x:v>Moderate revenue</x:v>
      </x:c>
      <x:c r="C80" s="8" t="str">
        <x:v>Atlas notes</x:v>
      </x:c>
      <x:c r="D80" s="22" t="n">
        <x:v>1</x:v>
      </x:c>
      <x:c r="E80" s="8" t="n">
        <x:v>900</x:v>
      </x:c>
      <x:c r="F80" s="23" t="n">
        <x:v>0.038</x:v>
      </x:c>
      <x:c r="G80" s="8" t="n">
        <x:v>34.199999999999996</x:v>
      </x:c>
      <x:c r="H80" s="8" t="n">
        <x:v>0</x:v>
      </x:c>
      <x:c r="I80" s="8" t="n">
        <x:v>0</x:v>
      </x:c>
      <x:c r="J80" s="8" t="n">
        <x:v>0</x:v>
      </x:c>
      <x:c r="K80" s="8" t="n">
        <x:v>0</x:v>
      </x:c>
      <x:c r="L80" s="8" t="n">
        <x:v>0</x:v>
      </x:c>
      <x:c r="M80" s="21" t="n">
        <x:f>E80+K80-I80-J80-L80</x:f>
        <x:v>900</x:v>
      </x:c>
    </x:row>
    <x:row r="81" ht="36" customHeight="1">
      <x:c r="A81" s="8" t="str">
        <x:v>Cash-first</x:v>
      </x:c>
      <x:c r="B81" s="8" t="str">
        <x:v>Moderate revenue</x:v>
      </x:c>
      <x:c r="C81" s="8" t="str">
        <x:v>Atlas finance lease</x:v>
      </x:c>
      <x:c r="D81" s="22" t="n">
        <x:v>1</x:v>
      </x:c>
      <x:c r="E81" s="8" t="n">
        <x:v>80</x:v>
      </x:c>
      <x:c r="F81" s="23" t="n">
        <x:v>0.05</x:v>
      </x:c>
      <x:c r="G81" s="8" t="n">
        <x:v>4</x:v>
      </x:c>
      <x:c r="H81" s="8" t="n">
        <x:v>16</x:v>
      </x:c>
      <x:c r="I81" s="8" t="n">
        <x:v>16</x:v>
      </x:c>
      <x:c r="J81" s="8" t="n">
        <x:v>0</x:v>
      </x:c>
      <x:c r="K81" s="8" t="n">
        <x:v>0</x:v>
      </x:c>
      <x:c r="L81" s="8" t="n">
        <x:v>0</x:v>
      </x:c>
      <x:c r="M81" s="21" t="n">
        <x:f>E81+K81-I81-J81-L81</x:f>
        <x:v>64</x:v>
      </x:c>
    </x:row>
    <x:row r="82" ht="36" customHeight="1">
      <x:c r="A82" s="8" t="str">
        <x:v>Cash-first</x:v>
      </x:c>
      <x:c r="B82" s="8" t="str">
        <x:v>Moderate revenue</x:v>
      </x:c>
      <x:c r="C82" s="8" t="str">
        <x:v>Beacon notes</x:v>
      </x:c>
      <x:c r="D82" s="22" t="n">
        <x:v>1</x:v>
      </x:c>
      <x:c r="E82" s="8" t="n">
        <x:v>350</x:v>
      </x:c>
      <x:c r="F82" s="23" t="n">
        <x:v>0.0475</x:v>
      </x:c>
      <x:c r="G82" s="8" t="n">
        <x:v>16.625</x:v>
      </x:c>
      <x:c r="H82" s="8" t="n">
        <x:v>0</x:v>
      </x:c>
      <x:c r="I82" s="8" t="n">
        <x:v>0</x:v>
      </x:c>
      <x:c r="J82" s="8" t="n">
        <x:v>0</x:v>
      </x:c>
      <x:c r="K82" s="8" t="n">
        <x:v>0</x:v>
      </x:c>
      <x:c r="L82" s="8" t="n">
        <x:v>0</x:v>
      </x:c>
      <x:c r="M82" s="21" t="n">
        <x:f>E82+K82-I82-J82-L82</x:f>
        <x:v>350</x:v>
      </x:c>
    </x:row>
    <x:row r="83" ht="36" customHeight="1">
      <x:c r="A83" s="8" t="str">
        <x:v>Cash-first</x:v>
      </x:c>
      <x:c r="B83" s="8" t="str">
        <x:v>Moderate revenue</x:v>
      </x:c>
      <x:c r="C83" s="8" t="str">
        <x:v>Acquisition term</x:v>
      </x:c>
      <x:c r="D83" s="22" t="n">
        <x:v>1</x:v>
      </x:c>
      <x:c r="E83" s="8" t="n">
        <x:v>1340.1015228426397</x:v>
      </x:c>
      <x:c r="F83" s="23" t="n">
        <x:v>0.065</x:v>
      </x:c>
      <x:c r="G83" s="8" t="n">
        <x:v>87.10659898477158</x:v>
      </x:c>
      <x:c r="H83" s="8" t="n">
        <x:v>26.802030456852794</x:v>
      </x:c>
      <x:c r="I83" s="8" t="n">
        <x:v>26.802030456852794</x:v>
      </x:c>
      <x:c r="J83" s="8" t="n">
        <x:v>200.87684735936205</x:v>
      </x:c>
      <x:c r="K83" s="8" t="n">
        <x:v>0</x:v>
      </x:c>
      <x:c r="L83" s="8" t="n">
        <x:v>0</x:v>
      </x:c>
      <x:c r="M83" s="21" t="n">
        <x:f>E83+K83-I83-J83-L83</x:f>
        <x:v>1112.4226450264248</x:v>
      </x:c>
    </x:row>
    <x:row r="84" ht="36" customHeight="1">
      <x:c r="A84" s="8" t="str">
        <x:v>Cash-first</x:v>
      </x:c>
      <x:c r="B84" s="8" t="str">
        <x:v>Moderate revenue</x:v>
      </x:c>
      <x:c r="C84" s="8" t="str">
        <x:v>Committed revolver</x:v>
      </x:c>
      <x:c r="D84" s="22" t="n">
        <x:v>1</x:v>
      </x:c>
      <x:c r="E84" s="8" t="n">
        <x:v>0</x:v>
      </x:c>
      <x:c r="F84" s="23" t="n">
        <x:v>0.0625</x:v>
      </x:c>
      <x:c r="G84" s="8" t="n">
        <x:v>0</x:v>
      </x:c>
      <x:c r="H84" s="8" t="n">
        <x:v>0</x:v>
      </x:c>
      <x:c r="I84" s="8" t="n">
        <x:v>0</x:v>
      </x:c>
      <x:c r="J84" s="8" t="n">
        <x:v>0</x:v>
      </x:c>
      <x:c r="K84" s="8" t="n">
        <x:v>0</x:v>
      </x:c>
      <x:c r="L84" s="8" t="n">
        <x:v>0</x:v>
      </x:c>
      <x:c r="M84" s="21" t="n">
        <x:f>E84+K84-I84-J84-L84</x:f>
        <x:v>0</x:v>
      </x:c>
    </x:row>
    <x:row r="85" ht="36" customHeight="1">
      <x:c r="A85" s="8" t="str">
        <x:v>Cash-first</x:v>
      </x:c>
      <x:c r="B85" s="8" t="str">
        <x:v>Moderate revenue</x:v>
      </x:c>
      <x:c r="C85" s="8" t="str">
        <x:v>Atlas notes</x:v>
      </x:c>
      <x:c r="D85" s="22" t="n">
        <x:v>2</x:v>
      </x:c>
      <x:c r="E85" s="8" t="n">
        <x:v>900</x:v>
      </x:c>
      <x:c r="F85" s="23" t="n">
        <x:v>0.038</x:v>
      </x:c>
      <x:c r="G85" s="8" t="n">
        <x:v>34.199999999999996</x:v>
      </x:c>
      <x:c r="H85" s="8" t="n">
        <x:v>0</x:v>
      </x:c>
      <x:c r="I85" s="8" t="n">
        <x:v>0</x:v>
      </x:c>
      <x:c r="J85" s="8" t="n">
        <x:v>0</x:v>
      </x:c>
      <x:c r="K85" s="8" t="n">
        <x:v>0</x:v>
      </x:c>
      <x:c r="L85" s="8" t="n">
        <x:v>0</x:v>
      </x:c>
      <x:c r="M85" s="21" t="n">
        <x:f>E85+K85-I85-J85-L85</x:f>
        <x:v>900</x:v>
      </x:c>
    </x:row>
    <x:row r="86" ht="36" customHeight="1">
      <x:c r="A86" s="8" t="str">
        <x:v>Cash-first</x:v>
      </x:c>
      <x:c r="B86" s="8" t="str">
        <x:v>Moderate revenue</x:v>
      </x:c>
      <x:c r="C86" s="8" t="str">
        <x:v>Atlas finance lease</x:v>
      </x:c>
      <x:c r="D86" s="22" t="n">
        <x:v>2</x:v>
      </x:c>
      <x:c r="E86" s="8" t="n">
        <x:v>64</x:v>
      </x:c>
      <x:c r="F86" s="23" t="n">
        <x:v>0.05</x:v>
      </x:c>
      <x:c r="G86" s="8" t="n">
        <x:v>3.2</x:v>
      </x:c>
      <x:c r="H86" s="8" t="n">
        <x:v>16</x:v>
      </x:c>
      <x:c r="I86" s="8" t="n">
        <x:v>16</x:v>
      </x:c>
      <x:c r="J86" s="8" t="n">
        <x:v>0</x:v>
      </x:c>
      <x:c r="K86" s="8" t="n">
        <x:v>0</x:v>
      </x:c>
      <x:c r="L86" s="8" t="n">
        <x:v>0</x:v>
      </x:c>
      <x:c r="M86" s="21" t="n">
        <x:f>E86+K86-I86-J86-L86</x:f>
        <x:v>48</x:v>
      </x:c>
    </x:row>
    <x:row r="87" ht="36" customHeight="1">
      <x:c r="A87" s="8" t="str">
        <x:v>Cash-first</x:v>
      </x:c>
      <x:c r="B87" s="8" t="str">
        <x:v>Moderate revenue</x:v>
      </x:c>
      <x:c r="C87" s="8" t="str">
        <x:v>Beacon notes</x:v>
      </x:c>
      <x:c r="D87" s="22" t="n">
        <x:v>2</x:v>
      </x:c>
      <x:c r="E87" s="8" t="n">
        <x:v>350</x:v>
      </x:c>
      <x:c r="F87" s="23" t="n">
        <x:v>0.0475</x:v>
      </x:c>
      <x:c r="G87" s="8" t="n">
        <x:v>16.625</x:v>
      </x:c>
      <x:c r="H87" s="8" t="n">
        <x:v>0</x:v>
      </x:c>
      <x:c r="I87" s="8" t="n">
        <x:v>0</x:v>
      </x:c>
      <x:c r="J87" s="8" t="n">
        <x:v>0</x:v>
      </x:c>
      <x:c r="K87" s="8" t="n">
        <x:v>0</x:v>
      </x:c>
      <x:c r="L87" s="8" t="n">
        <x:v>0</x:v>
      </x:c>
      <x:c r="M87" s="21" t="n">
        <x:f>E87+K87-I87-J87-L87</x:f>
        <x:v>350</x:v>
      </x:c>
    </x:row>
    <x:row r="88" ht="36" customHeight="1">
      <x:c r="A88" s="8" t="str">
        <x:v>Cash-first</x:v>
      </x:c>
      <x:c r="B88" s="8" t="str">
        <x:v>Moderate revenue</x:v>
      </x:c>
      <x:c r="C88" s="8" t="str">
        <x:v>Acquisition term</x:v>
      </x:c>
      <x:c r="D88" s="22" t="n">
        <x:v>2</x:v>
      </x:c>
      <x:c r="E88" s="8" t="n">
        <x:v>1112.4226450264248</x:v>
      </x:c>
      <x:c r="F88" s="23" t="n">
        <x:v>0.0625</x:v>
      </x:c>
      <x:c r="G88" s="8" t="n">
        <x:v>69.52641531415155</x:v>
      </x:c>
      <x:c r="H88" s="8" t="n">
        <x:v>26.802030456852794</x:v>
      </x:c>
      <x:c r="I88" s="8" t="n">
        <x:v>26.802030456852794</x:v>
      </x:c>
      <x:c r="J88" s="8" t="n">
        <x:v>223.17643481267146</x:v>
      </x:c>
      <x:c r="K88" s="8" t="n">
        <x:v>0</x:v>
      </x:c>
      <x:c r="L88" s="8" t="n">
        <x:v>0</x:v>
      </x:c>
      <x:c r="M88" s="21" t="n">
        <x:f>E88+K88-I88-J88-L88</x:f>
        <x:v>862.4441797569004</x:v>
      </x:c>
    </x:row>
    <x:row r="89" ht="36" customHeight="1">
      <x:c r="A89" s="8" t="str">
        <x:v>Cash-first</x:v>
      </x:c>
      <x:c r="B89" s="8" t="str">
        <x:v>Moderate revenue</x:v>
      </x:c>
      <x:c r="C89" s="8" t="str">
        <x:v>Committed revolver</x:v>
      </x:c>
      <x:c r="D89" s="22" t="n">
        <x:v>2</x:v>
      </x:c>
      <x:c r="E89" s="8" t="n">
        <x:v>0</x:v>
      </x:c>
      <x:c r="F89" s="23" t="n">
        <x:v>0.06</x:v>
      </x:c>
      <x:c r="G89" s="8" t="n">
        <x:v>0</x:v>
      </x:c>
      <x:c r="H89" s="8" t="n">
        <x:v>0</x:v>
      </x:c>
      <x:c r="I89" s="8" t="n">
        <x:v>0</x:v>
      </x:c>
      <x:c r="J89" s="8" t="n">
        <x:v>0</x:v>
      </x:c>
      <x:c r="K89" s="8" t="n">
        <x:v>0</x:v>
      </x:c>
      <x:c r="L89" s="8" t="n">
        <x:v>0</x:v>
      </x:c>
      <x:c r="M89" s="21" t="n">
        <x:f>E89+K89-I89-J89-L89</x:f>
        <x:v>0</x:v>
      </x:c>
    </x:row>
    <x:row r="90" ht="36" customHeight="1">
      <x:c r="A90" s="8" t="str">
        <x:v>Cash-first</x:v>
      </x:c>
      <x:c r="B90" s="8" t="str">
        <x:v>Moderate revenue</x:v>
      </x:c>
      <x:c r="C90" s="8" t="str">
        <x:v>Atlas notes</x:v>
      </x:c>
      <x:c r="D90" s="22" t="n">
        <x:v>3</x:v>
      </x:c>
      <x:c r="E90" s="8" t="n">
        <x:v>900</x:v>
      </x:c>
      <x:c r="F90" s="23" t="n">
        <x:v>0.038</x:v>
      </x:c>
      <x:c r="G90" s="8" t="n">
        <x:v>34.199999999999996</x:v>
      </x:c>
      <x:c r="H90" s="8" t="n">
        <x:v>0</x:v>
      </x:c>
      <x:c r="I90" s="8" t="n">
        <x:v>0</x:v>
      </x:c>
      <x:c r="J90" s="8" t="n">
        <x:v>0</x:v>
      </x:c>
      <x:c r="K90" s="8" t="n">
        <x:v>0</x:v>
      </x:c>
      <x:c r="L90" s="8" t="n">
        <x:v>0</x:v>
      </x:c>
      <x:c r="M90" s="21" t="n">
        <x:f>E90+K90-I90-J90-L90</x:f>
        <x:v>900</x:v>
      </x:c>
    </x:row>
    <x:row r="91" ht="36" customHeight="1">
      <x:c r="A91" s="8" t="str">
        <x:v>Cash-first</x:v>
      </x:c>
      <x:c r="B91" s="8" t="str">
        <x:v>Moderate revenue</x:v>
      </x:c>
      <x:c r="C91" s="8" t="str">
        <x:v>Atlas finance lease</x:v>
      </x:c>
      <x:c r="D91" s="22" t="n">
        <x:v>3</x:v>
      </x:c>
      <x:c r="E91" s="8" t="n">
        <x:v>48</x:v>
      </x:c>
      <x:c r="F91" s="23" t="n">
        <x:v>0.05</x:v>
      </x:c>
      <x:c r="G91" s="8" t="n">
        <x:v>2.4000000000000004</x:v>
      </x:c>
      <x:c r="H91" s="8" t="n">
        <x:v>16</x:v>
      </x:c>
      <x:c r="I91" s="8" t="n">
        <x:v>16</x:v>
      </x:c>
      <x:c r="J91" s="8" t="n">
        <x:v>0</x:v>
      </x:c>
      <x:c r="K91" s="8" t="n">
        <x:v>0</x:v>
      </x:c>
      <x:c r="L91" s="8" t="n">
        <x:v>0</x:v>
      </x:c>
      <x:c r="M91" s="21" t="n">
        <x:f>E91+K91-I91-J91-L91</x:f>
        <x:v>32</x:v>
      </x:c>
    </x:row>
    <x:row r="92" ht="36" customHeight="1">
      <x:c r="A92" s="8" t="str">
        <x:v>Cash-first</x:v>
      </x:c>
      <x:c r="B92" s="8" t="str">
        <x:v>Moderate revenue</x:v>
      </x:c>
      <x:c r="C92" s="8" t="str">
        <x:v>Beacon notes</x:v>
      </x:c>
      <x:c r="D92" s="22" t="n">
        <x:v>3</x:v>
      </x:c>
      <x:c r="E92" s="8" t="n">
        <x:v>350</x:v>
      </x:c>
      <x:c r="F92" s="23" t="n">
        <x:v>0.0475</x:v>
      </x:c>
      <x:c r="G92" s="8" t="n">
        <x:v>16.625</x:v>
      </x:c>
      <x:c r="H92" s="8" t="n">
        <x:v>350</x:v>
      </x:c>
      <x:c r="I92" s="8" t="n">
        <x:v>350</x:v>
      </x:c>
      <x:c r="J92" s="8" t="n">
        <x:v>0</x:v>
      </x:c>
      <x:c r="K92" s="8" t="n">
        <x:v>0</x:v>
      </x:c>
      <x:c r="L92" s="8" t="n">
        <x:v>0</x:v>
      </x:c>
      <x:c r="M92" s="21" t="n">
        <x:f>E92+K92-I92-J92-L92</x:f>
        <x:v>0</x:v>
      </x:c>
    </x:row>
    <x:row r="93" ht="36" customHeight="1">
      <x:c r="A93" s="8" t="str">
        <x:v>Cash-first</x:v>
      </x:c>
      <x:c r="B93" s="8" t="str">
        <x:v>Moderate revenue</x:v>
      </x:c>
      <x:c r="C93" s="8" t="str">
        <x:v>Acquisition term</x:v>
      </x:c>
      <x:c r="D93" s="22" t="n">
        <x:v>3</x:v>
      </x:c>
      <x:c r="E93" s="8" t="n">
        <x:v>862.4441797569004</x:v>
      </x:c>
      <x:c r="F93" s="23" t="n">
        <x:v>0.060000000000000005</x:v>
      </x:c>
      <x:c r="G93" s="8" t="n">
        <x:v>51.74665078541403</x:v>
      </x:c>
      <x:c r="H93" s="8" t="n">
        <x:v>26.802030456852794</x:v>
      </x:c>
      <x:c r="I93" s="8" t="n">
        <x:v>26.802030456852794</x:v>
      </x:c>
      <x:c r="J93" s="8" t="n">
        <x:v>0</x:v>
      </x:c>
      <x:c r="K93" s="8" t="n">
        <x:v>0</x:v>
      </x:c>
      <x:c r="L93" s="8" t="n">
        <x:v>0</x:v>
      </x:c>
      <x:c r="M93" s="21" t="n">
        <x:f>E93+K93-I93-J93-L93</x:f>
        <x:v>835.6421493000477</x:v>
      </x:c>
    </x:row>
    <x:row r="94" ht="36" customHeight="1">
      <x:c r="A94" s="8" t="str">
        <x:v>Cash-first</x:v>
      </x:c>
      <x:c r="B94" s="8" t="str">
        <x:v>Moderate revenue</x:v>
      </x:c>
      <x:c r="C94" s="8" t="str">
        <x:v>Committed revolver</x:v>
      </x:c>
      <x:c r="D94" s="22" t="n">
        <x:v>3</x:v>
      </x:c>
      <x:c r="E94" s="8" t="n">
        <x:v>0</x:v>
      </x:c>
      <x:c r="F94" s="23" t="n">
        <x:v>0.0575</x:v>
      </x:c>
      <x:c r="G94" s="8" t="n">
        <x:v>0</x:v>
      </x:c>
      <x:c r="H94" s="8" t="n">
        <x:v>0</x:v>
      </x:c>
      <x:c r="I94" s="8" t="n">
        <x:v>0</x:v>
      </x:c>
      <x:c r="J94" s="8" t="n">
        <x:v>0</x:v>
      </x:c>
      <x:c r="K94" s="8" t="n">
        <x:v>19.996211121898796</x:v>
      </x:c>
      <x:c r="L94" s="8" t="n">
        <x:v>0</x:v>
      </x:c>
      <x:c r="M94" s="21" t="n">
        <x:f>E94+K94-I94-J94-L94</x:f>
        <x:v>19.996211121898796</x:v>
      </x:c>
    </x:row>
    <x:row r="95" ht="36" customHeight="1">
      <x:c r="A95" s="8" t="str">
        <x:v>Cash-first</x:v>
      </x:c>
      <x:c r="B95" s="8" t="str">
        <x:v>Moderate revenue</x:v>
      </x:c>
      <x:c r="C95" s="8" t="str">
        <x:v>Atlas notes</x:v>
      </x:c>
      <x:c r="D95" s="22" t="n">
        <x:v>4</x:v>
      </x:c>
      <x:c r="E95" s="8" t="n">
        <x:v>900</x:v>
      </x:c>
      <x:c r="F95" s="23" t="n">
        <x:v>0.038</x:v>
      </x:c>
      <x:c r="G95" s="8" t="n">
        <x:v>34.199999999999996</x:v>
      </x:c>
      <x:c r="H95" s="8" t="n">
        <x:v>900</x:v>
      </x:c>
      <x:c r="I95" s="8" t="n">
        <x:v>900</x:v>
      </x:c>
      <x:c r="J95" s="8" t="n">
        <x:v>0</x:v>
      </x:c>
      <x:c r="K95" s="8" t="n">
        <x:v>0</x:v>
      </x:c>
      <x:c r="L95" s="8" t="n">
        <x:v>0</x:v>
      </x:c>
      <x:c r="M95" s="21" t="n">
        <x:f>E95+K95-I95-J95-L95</x:f>
        <x:v>0</x:v>
      </x:c>
    </x:row>
    <x:row r="96" ht="36" customHeight="1">
      <x:c r="A96" s="8" t="str">
        <x:v>Cash-first</x:v>
      </x:c>
      <x:c r="B96" s="8" t="str">
        <x:v>Moderate revenue</x:v>
      </x:c>
      <x:c r="C96" s="8" t="str">
        <x:v>Atlas finance lease</x:v>
      </x:c>
      <x:c r="D96" s="22" t="n">
        <x:v>4</x:v>
      </x:c>
      <x:c r="E96" s="8" t="n">
        <x:v>32</x:v>
      </x:c>
      <x:c r="F96" s="23" t="n">
        <x:v>0.05</x:v>
      </x:c>
      <x:c r="G96" s="8" t="n">
        <x:v>1.6</x:v>
      </x:c>
      <x:c r="H96" s="8" t="n">
        <x:v>16</x:v>
      </x:c>
      <x:c r="I96" s="8" t="n">
        <x:v>16</x:v>
      </x:c>
      <x:c r="J96" s="8" t="n">
        <x:v>0</x:v>
      </x:c>
      <x:c r="K96" s="8" t="n">
        <x:v>0</x:v>
      </x:c>
      <x:c r="L96" s="8" t="n">
        <x:v>0</x:v>
      </x:c>
      <x:c r="M96" s="21" t="n">
        <x:f>E96+K96-I96-J96-L96</x:f>
        <x:v>16</x:v>
      </x:c>
    </x:row>
    <x:row r="97" ht="36" customHeight="1">
      <x:c r="A97" s="8" t="str">
        <x:v>Cash-first</x:v>
      </x:c>
      <x:c r="B97" s="8" t="str">
        <x:v>Moderate revenue</x:v>
      </x:c>
      <x:c r="C97" s="8" t="str">
        <x:v>Beacon notes</x:v>
      </x:c>
      <x:c r="D97" s="22" t="n">
        <x:v>4</x:v>
      </x:c>
      <x:c r="E97" s="8" t="n">
        <x:v>0</x:v>
      </x:c>
      <x:c r="F97" s="23" t="n">
        <x:v>0.0475</x:v>
      </x:c>
      <x:c r="G97" s="8" t="n">
        <x:v>0</x:v>
      </x:c>
      <x:c r="H97" s="8" t="n">
        <x:v>0</x:v>
      </x:c>
      <x:c r="I97" s="8" t="n">
        <x:v>0</x:v>
      </x:c>
      <x:c r="J97" s="8" t="n">
        <x:v>0</x:v>
      </x:c>
      <x:c r="K97" s="8" t="n">
        <x:v>0</x:v>
      </x:c>
      <x:c r="L97" s="8" t="n">
        <x:v>0</x:v>
      </x:c>
      <x:c r="M97" s="21" t="n">
        <x:f>E97+K97-I97-J97-L97</x:f>
        <x:v>0</x:v>
      </x:c>
    </x:row>
    <x:row r="98" ht="36" customHeight="1">
      <x:c r="A98" s="8" t="str">
        <x:v>Cash-first</x:v>
      </x:c>
      <x:c r="B98" s="8" t="str">
        <x:v>Moderate revenue</x:v>
      </x:c>
      <x:c r="C98" s="8" t="str">
        <x:v>Acquisition term</x:v>
      </x:c>
      <x:c r="D98" s="22" t="n">
        <x:v>4</x:v>
      </x:c>
      <x:c r="E98" s="8" t="n">
        <x:v>835.6421493000477</x:v>
      </x:c>
      <x:c r="F98" s="23" t="n">
        <x:v>0.060000000000000005</x:v>
      </x:c>
      <x:c r="G98" s="8" t="n">
        <x:v>50.138528958002865</x:v>
      </x:c>
      <x:c r="H98" s="8" t="n">
        <x:v>26.802030456852794</x:v>
      </x:c>
      <x:c r="I98" s="8" t="n">
        <x:v>26.802030456852794</x:v>
      </x:c>
      <x:c r="J98" s="8" t="n">
        <x:v>0</x:v>
      </x:c>
      <x:c r="K98" s="8" t="n">
        <x:v>0</x:v>
      </x:c>
      <x:c r="L98" s="8" t="n">
        <x:v>0</x:v>
      </x:c>
      <x:c r="M98" s="21" t="n">
        <x:f>E98+K98-I98-J98-L98</x:f>
        <x:v>808.8401188431949</x:v>
      </x:c>
    </x:row>
    <x:row r="99" ht="36" customHeight="1">
      <x:c r="A99" s="8" t="str">
        <x:v>Cash-first</x:v>
      </x:c>
      <x:c r="B99" s="8" t="str">
        <x:v>Moderate revenue</x:v>
      </x:c>
      <x:c r="C99" s="8" t="str">
        <x:v>Committed revolver</x:v>
      </x:c>
      <x:c r="D99" s="22" t="n">
        <x:v>4</x:v>
      </x:c>
      <x:c r="E99" s="8" t="n">
        <x:v>19.996211121898796</x:v>
      </x:c>
      <x:c r="F99" s="23" t="n">
        <x:v>0.0575</x:v>
      </x:c>
      <x:c r="G99" s="8" t="n">
        <x:v>1.1497821395091807</x:v>
      </x:c>
      <x:c r="H99" s="8" t="n">
        <x:v>0</x:v>
      </x:c>
      <x:c r="I99" s="8" t="n">
        <x:v>0</x:v>
      </x:c>
      <x:c r="J99" s="8" t="n">
        <x:v>0</x:v>
      </x:c>
      <x:c r="K99" s="8" t="n">
        <x:v>512.9378328203713</x:v>
      </x:c>
      <x:c r="L99" s="8" t="n">
        <x:v>0</x:v>
      </x:c>
      <x:c r="M99" s="21" t="n">
        <x:f>E99+K99-I99-J99-L99</x:f>
        <x:v>532.9340439422701</x:v>
      </x:c>
    </x:row>
    <x:row r="100" ht="36" customHeight="1">
      <x:c r="A100" s="8" t="str">
        <x:v>Cash-first</x:v>
      </x:c>
      <x:c r="B100" s="8" t="str">
        <x:v>Moderate revenue</x:v>
      </x:c>
      <x:c r="C100" s="8" t="str">
        <x:v>Atlas notes</x:v>
      </x:c>
      <x:c r="D100" s="22" t="n">
        <x:v>5</x:v>
      </x:c>
      <x:c r="E100" s="8" t="n">
        <x:v>0</x:v>
      </x:c>
      <x:c r="F100" s="23" t="n">
        <x:v>0.038</x:v>
      </x:c>
      <x:c r="G100" s="8" t="n">
        <x:v>0</x:v>
      </x:c>
      <x:c r="H100" s="8" t="n">
        <x:v>0</x:v>
      </x:c>
      <x:c r="I100" s="8" t="n">
        <x:v>0</x:v>
      </x:c>
      <x:c r="J100" s="8" t="n">
        <x:v>0</x:v>
      </x:c>
      <x:c r="K100" s="8" t="n">
        <x:v>0</x:v>
      </x:c>
      <x:c r="L100" s="8" t="n">
        <x:v>0</x:v>
      </x:c>
      <x:c r="M100" s="21" t="n">
        <x:f>E100+K100-I100-J100-L100</x:f>
        <x:v>0</x:v>
      </x:c>
    </x:row>
    <x:row r="101" ht="36" customHeight="1">
      <x:c r="A101" s="8" t="str">
        <x:v>Cash-first</x:v>
      </x:c>
      <x:c r="B101" s="8" t="str">
        <x:v>Moderate revenue</x:v>
      </x:c>
      <x:c r="C101" s="8" t="str">
        <x:v>Atlas finance lease</x:v>
      </x:c>
      <x:c r="D101" s="22" t="n">
        <x:v>5</x:v>
      </x:c>
      <x:c r="E101" s="8" t="n">
        <x:v>16</x:v>
      </x:c>
      <x:c r="F101" s="23" t="n">
        <x:v>0.05</x:v>
      </x:c>
      <x:c r="G101" s="8" t="n">
        <x:v>0.8</x:v>
      </x:c>
      <x:c r="H101" s="8" t="n">
        <x:v>16</x:v>
      </x:c>
      <x:c r="I101" s="8" t="n">
        <x:v>16</x:v>
      </x:c>
      <x:c r="J101" s="8" t="n">
        <x:v>0</x:v>
      </x:c>
      <x:c r="K101" s="8" t="n">
        <x:v>0</x:v>
      </x:c>
      <x:c r="L101" s="8" t="n">
        <x:v>0</x:v>
      </x:c>
      <x:c r="M101" s="21" t="n">
        <x:f>E101+K101-I101-J101-L101</x:f>
        <x:v>0</x:v>
      </x:c>
    </x:row>
    <x:row r="102" ht="36" customHeight="1">
      <x:c r="A102" s="8" t="str">
        <x:v>Cash-first</x:v>
      </x:c>
      <x:c r="B102" s="8" t="str">
        <x:v>Moderate revenue</x:v>
      </x:c>
      <x:c r="C102" s="8" t="str">
        <x:v>Beacon notes</x:v>
      </x:c>
      <x:c r="D102" s="22" t="n">
        <x:v>5</x:v>
      </x:c>
      <x:c r="E102" s="8" t="n">
        <x:v>0</x:v>
      </x:c>
      <x:c r="F102" s="23" t="n">
        <x:v>0.0475</x:v>
      </x:c>
      <x:c r="G102" s="8" t="n">
        <x:v>0</x:v>
      </x:c>
      <x:c r="H102" s="8" t="n">
        <x:v>0</x:v>
      </x:c>
      <x:c r="I102" s="8" t="n">
        <x:v>0</x:v>
      </x:c>
      <x:c r="J102" s="8" t="n">
        <x:v>0</x:v>
      </x:c>
      <x:c r="K102" s="8" t="n">
        <x:v>0</x:v>
      </x:c>
      <x:c r="L102" s="8" t="n">
        <x:v>0</x:v>
      </x:c>
      <x:c r="M102" s="21" t="n">
        <x:f>E102+K102-I102-J102-L102</x:f>
        <x:v>0</x:v>
      </x:c>
    </x:row>
    <x:row r="103" ht="36" customHeight="1">
      <x:c r="A103" s="8" t="str">
        <x:v>Cash-first</x:v>
      </x:c>
      <x:c r="B103" s="8" t="str">
        <x:v>Moderate revenue</x:v>
      </x:c>
      <x:c r="C103" s="8" t="str">
        <x:v>Acquisition term</x:v>
      </x:c>
      <x:c r="D103" s="22" t="n">
        <x:v>5</x:v>
      </x:c>
      <x:c r="E103" s="8" t="n">
        <x:v>808.8401188431949</x:v>
      </x:c>
      <x:c r="F103" s="23" t="n">
        <x:v>0.060000000000000005</x:v>
      </x:c>
      <x:c r="G103" s="8" t="n">
        <x:v>48.5304071305917</x:v>
      </x:c>
      <x:c r="H103" s="8" t="n">
        <x:v>808.8401188431949</x:v>
      </x:c>
      <x:c r="I103" s="8" t="n">
        <x:v>808.8401188431949</x:v>
      </x:c>
      <x:c r="J103" s="8" t="n">
        <x:v>0</x:v>
      </x:c>
      <x:c r="K103" s="8" t="n">
        <x:v>0</x:v>
      </x:c>
      <x:c r="L103" s="8" t="n">
        <x:v>0</x:v>
      </x:c>
      <x:c r="M103" s="21" t="n">
        <x:f>E103+K103-I103-J103-L103</x:f>
        <x:v>0</x:v>
      </x:c>
    </x:row>
    <x:row r="104" ht="36" customHeight="1">
      <x:c r="A104" s="8" t="str">
        <x:v>Cash-first</x:v>
      </x:c>
      <x:c r="B104" s="8" t="str">
        <x:v>Moderate revenue</x:v>
      </x:c>
      <x:c r="C104" s="8" t="str">
        <x:v>Committed revolver</x:v>
      </x:c>
      <x:c r="D104" s="22" t="n">
        <x:v>5</x:v>
      </x:c>
      <x:c r="E104" s="8" t="n">
        <x:v>532.9340439422701</x:v>
      </x:c>
      <x:c r="F104" s="23" t="n">
        <x:v>0.0575</x:v>
      </x:c>
      <x:c r="G104" s="8" t="n">
        <x:v>30.643707526680533</x:v>
      </x:c>
      <x:c r="H104" s="8" t="n">
        <x:v>532.9340439422701</x:v>
      </x:c>
      <x:c r="I104" s="8" t="n">
        <x:v>384.7813966894564</x:v>
      </x:c>
      <x:c r="J104" s="8" t="n">
        <x:v>0</x:v>
      </x:c>
      <x:c r="K104" s="8" t="n">
        <x:v>0</x:v>
      </x:c>
      <x:c r="L104" s="8" t="n">
        <x:v>0</x:v>
      </x:c>
      <x:c r="M104" s="21" t="n">
        <x:f>E104+K104-I104-J104-L104</x:f>
        <x:v>148.15264725281372</x:v>
      </x:c>
    </x:row>
    <x:row r="105" ht="36" customHeight="1">
      <x:c r="A105" s="8" t="str">
        <x:v>Liquidity-first</x:v>
      </x:c>
      <x:c r="B105" s="8" t="str">
        <x:v>Moderate revenue</x:v>
      </x:c>
      <x:c r="C105" s="8" t="str">
        <x:v>Atlas notes</x:v>
      </x:c>
      <x:c r="D105" s="22" t="n">
        <x:v>1</x:v>
      </x:c>
      <x:c r="E105" s="8" t="n">
        <x:v>900</x:v>
      </x:c>
      <x:c r="F105" s="23" t="n">
        <x:v>0.038</x:v>
      </x:c>
      <x:c r="G105" s="8" t="n">
        <x:v>34.199999999999996</x:v>
      </x:c>
      <x:c r="H105" s="8" t="n">
        <x:v>0</x:v>
      </x:c>
      <x:c r="I105" s="8" t="n">
        <x:v>0</x:v>
      </x:c>
      <x:c r="J105" s="8" t="n">
        <x:v>0</x:v>
      </x:c>
      <x:c r="K105" s="8" t="n">
        <x:v>0</x:v>
      </x:c>
      <x:c r="L105" s="8" t="n">
        <x:v>0</x:v>
      </x:c>
      <x:c r="M105" s="21" t="n">
        <x:f>E105+K105-I105-J105-L105</x:f>
        <x:v>900</x:v>
      </x:c>
    </x:row>
    <x:row r="106" ht="36" customHeight="1">
      <x:c r="A106" s="8" t="str">
        <x:v>Liquidity-first</x:v>
      </x:c>
      <x:c r="B106" s="8" t="str">
        <x:v>Moderate revenue</x:v>
      </x:c>
      <x:c r="C106" s="8" t="str">
        <x:v>Atlas finance lease</x:v>
      </x:c>
      <x:c r="D106" s="22" t="n">
        <x:v>1</x:v>
      </x:c>
      <x:c r="E106" s="8" t="n">
        <x:v>80</x:v>
      </x:c>
      <x:c r="F106" s="23" t="n">
        <x:v>0.05</x:v>
      </x:c>
      <x:c r="G106" s="8" t="n">
        <x:v>4</x:v>
      </x:c>
      <x:c r="H106" s="8" t="n">
        <x:v>16</x:v>
      </x:c>
      <x:c r="I106" s="8" t="n">
        <x:v>16</x:v>
      </x:c>
      <x:c r="J106" s="8" t="n">
        <x:v>0</x:v>
      </x:c>
      <x:c r="K106" s="8" t="n">
        <x:v>0</x:v>
      </x:c>
      <x:c r="L106" s="8" t="n">
        <x:v>0</x:v>
      </x:c>
      <x:c r="M106" s="21" t="n">
        <x:f>E106+K106-I106-J106-L106</x:f>
        <x:v>64</x:v>
      </x:c>
    </x:row>
    <x:row r="107" ht="36" customHeight="1">
      <x:c r="A107" s="8" t="str">
        <x:v>Liquidity-first</x:v>
      </x:c>
      <x:c r="B107" s="8" t="str">
        <x:v>Moderate revenue</x:v>
      </x:c>
      <x:c r="C107" s="8" t="str">
        <x:v>Beacon notes</x:v>
      </x:c>
      <x:c r="D107" s="22" t="n">
        <x:v>1</x:v>
      </x:c>
      <x:c r="E107" s="8" t="n">
        <x:v>350</x:v>
      </x:c>
      <x:c r="F107" s="23" t="n">
        <x:v>0.0475</x:v>
      </x:c>
      <x:c r="G107" s="8" t="n">
        <x:v>16.625</x:v>
      </x:c>
      <x:c r="H107" s="8" t="n">
        <x:v>0</x:v>
      </x:c>
      <x:c r="I107" s="8" t="n">
        <x:v>0</x:v>
      </x:c>
      <x:c r="J107" s="8" t="n">
        <x:v>0</x:v>
      </x:c>
      <x:c r="K107" s="8" t="n">
        <x:v>0</x:v>
      </x:c>
      <x:c r="L107" s="8" t="n">
        <x:v>0</x:v>
      </x:c>
      <x:c r="M107" s="21" t="n">
        <x:f>E107+K107-I107-J107-L107</x:f>
        <x:v>350</x:v>
      </x:c>
    </x:row>
    <x:row r="108" ht="36" customHeight="1">
      <x:c r="A108" s="8" t="str">
        <x:v>Liquidity-first</x:v>
      </x:c>
      <x:c r="B108" s="8" t="str">
        <x:v>Moderate revenue</x:v>
      </x:c>
      <x:c r="C108" s="8" t="str">
        <x:v>Acquisition term</x:v>
      </x:c>
      <x:c r="D108" s="22" t="n">
        <x:v>1</x:v>
      </x:c>
      <x:c r="E108" s="8" t="n">
        <x:v>2223.3502538071066</x:v>
      </x:c>
      <x:c r="F108" s="23" t="n">
        <x:v>0.065</x:v>
      </x:c>
      <x:c r="G108" s="8" t="n">
        <x:v>144.51776649746193</x:v>
      </x:c>
      <x:c r="H108" s="8" t="n">
        <x:v>44.46700507614213</x:v>
      </x:c>
      <x:c r="I108" s="8" t="n">
        <x:v>44.46700507614213</x:v>
      </x:c>
      <x:c r="J108" s="8" t="n">
        <x:v>1010.1534971055548</x:v>
      </x:c>
      <x:c r="K108" s="8" t="n">
        <x:v>0</x:v>
      </x:c>
      <x:c r="L108" s="8" t="n">
        <x:v>0</x:v>
      </x:c>
      <x:c r="M108" s="21" t="n">
        <x:f>E108+K108-I108-J108-L108</x:f>
        <x:v>1168.7297516254098</x:v>
      </x:c>
    </x:row>
    <x:row r="109" ht="36" customHeight="1">
      <x:c r="A109" s="8" t="str">
        <x:v>Liquidity-first</x:v>
      </x:c>
      <x:c r="B109" s="8" t="str">
        <x:v>Moderate revenue</x:v>
      </x:c>
      <x:c r="C109" s="8" t="str">
        <x:v>Committed revolver</x:v>
      </x:c>
      <x:c r="D109" s="22" t="n">
        <x:v>1</x:v>
      </x:c>
      <x:c r="E109" s="8" t="n">
        <x:v>0</x:v>
      </x:c>
      <x:c r="F109" s="23" t="n">
        <x:v>0.0625</x:v>
      </x:c>
      <x:c r="G109" s="8" t="n">
        <x:v>0</x:v>
      </x:c>
      <x:c r="H109" s="8" t="n">
        <x:v>0</x:v>
      </x:c>
      <x:c r="I109" s="8" t="n">
        <x:v>0</x:v>
      </x:c>
      <x:c r="J109" s="8" t="n">
        <x:v>0</x:v>
      </x:c>
      <x:c r="K109" s="8" t="n">
        <x:v>0</x:v>
      </x:c>
      <x:c r="L109" s="8" t="n">
        <x:v>0</x:v>
      </x:c>
      <x:c r="M109" s="21" t="n">
        <x:f>E109+K109-I109-J109-L109</x:f>
        <x:v>0</x:v>
      </x:c>
    </x:row>
    <x:row r="110" ht="36" customHeight="1">
      <x:c r="A110" s="8" t="str">
        <x:v>Liquidity-first</x:v>
      </x:c>
      <x:c r="B110" s="8" t="str">
        <x:v>Moderate revenue</x:v>
      </x:c>
      <x:c r="C110" s="8" t="str">
        <x:v>Atlas notes</x:v>
      </x:c>
      <x:c r="D110" s="22" t="n">
        <x:v>2</x:v>
      </x:c>
      <x:c r="E110" s="8" t="n">
        <x:v>900</x:v>
      </x:c>
      <x:c r="F110" s="23" t="n">
        <x:v>0.038</x:v>
      </x:c>
      <x:c r="G110" s="8" t="n">
        <x:v>34.199999999999996</x:v>
      </x:c>
      <x:c r="H110" s="8" t="n">
        <x:v>0</x:v>
      </x:c>
      <x:c r="I110" s="8" t="n">
        <x:v>0</x:v>
      </x:c>
      <x:c r="J110" s="8" t="n">
        <x:v>0</x:v>
      </x:c>
      <x:c r="K110" s="8" t="n">
        <x:v>0</x:v>
      </x:c>
      <x:c r="L110" s="8" t="n">
        <x:v>0</x:v>
      </x:c>
      <x:c r="M110" s="21" t="n">
        <x:f>E110+K110-I110-J110-L110</x:f>
        <x:v>900</x:v>
      </x:c>
    </x:row>
    <x:row r="111" ht="36" customHeight="1">
      <x:c r="A111" s="8" t="str">
        <x:v>Liquidity-first</x:v>
      </x:c>
      <x:c r="B111" s="8" t="str">
        <x:v>Moderate revenue</x:v>
      </x:c>
      <x:c r="C111" s="8" t="str">
        <x:v>Atlas finance lease</x:v>
      </x:c>
      <x:c r="D111" s="22" t="n">
        <x:v>2</x:v>
      </x:c>
      <x:c r="E111" s="8" t="n">
        <x:v>64</x:v>
      </x:c>
      <x:c r="F111" s="23" t="n">
        <x:v>0.05</x:v>
      </x:c>
      <x:c r="G111" s="8" t="n">
        <x:v>3.2</x:v>
      </x:c>
      <x:c r="H111" s="8" t="n">
        <x:v>16</x:v>
      </x:c>
      <x:c r="I111" s="8" t="n">
        <x:v>16</x:v>
      </x:c>
      <x:c r="J111" s="8" t="n">
        <x:v>0</x:v>
      </x:c>
      <x:c r="K111" s="8" t="n">
        <x:v>0</x:v>
      </x:c>
      <x:c r="L111" s="8" t="n">
        <x:v>0</x:v>
      </x:c>
      <x:c r="M111" s="21" t="n">
        <x:f>E111+K111-I111-J111-L111</x:f>
        <x:v>48</x:v>
      </x:c>
    </x:row>
    <x:row r="112" ht="36" customHeight="1">
      <x:c r="A112" s="8" t="str">
        <x:v>Liquidity-first</x:v>
      </x:c>
      <x:c r="B112" s="8" t="str">
        <x:v>Moderate revenue</x:v>
      </x:c>
      <x:c r="C112" s="8" t="str">
        <x:v>Beacon notes</x:v>
      </x:c>
      <x:c r="D112" s="22" t="n">
        <x:v>2</x:v>
      </x:c>
      <x:c r="E112" s="8" t="n">
        <x:v>350</x:v>
      </x:c>
      <x:c r="F112" s="23" t="n">
        <x:v>0.0475</x:v>
      </x:c>
      <x:c r="G112" s="8" t="n">
        <x:v>16.625</x:v>
      </x:c>
      <x:c r="H112" s="8" t="n">
        <x:v>0</x:v>
      </x:c>
      <x:c r="I112" s="8" t="n">
        <x:v>0</x:v>
      </x:c>
      <x:c r="J112" s="8" t="n">
        <x:v>0</x:v>
      </x:c>
      <x:c r="K112" s="8" t="n">
        <x:v>0</x:v>
      </x:c>
      <x:c r="L112" s="8" t="n">
        <x:v>0</x:v>
      </x:c>
      <x:c r="M112" s="21" t="n">
        <x:f>E112+K112-I112-J112-L112</x:f>
        <x:v>350</x:v>
      </x:c>
    </x:row>
    <x:row r="113" ht="36" customHeight="1">
      <x:c r="A113" s="8" t="str">
        <x:v>Liquidity-first</x:v>
      </x:c>
      <x:c r="B113" s="8" t="str">
        <x:v>Moderate revenue</x:v>
      </x:c>
      <x:c r="C113" s="8" t="str">
        <x:v>Acquisition term</x:v>
      </x:c>
      <x:c r="D113" s="22" t="n">
        <x:v>2</x:v>
      </x:c>
      <x:c r="E113" s="8" t="n">
        <x:v>1168.7297516254098</x:v>
      </x:c>
      <x:c r="F113" s="23" t="n">
        <x:v>0.0625</x:v>
      </x:c>
      <x:c r="G113" s="8" t="n">
        <x:v>73.04560947658811</x:v>
      </x:c>
      <x:c r="H113" s="8" t="n">
        <x:v>44.46700507614213</x:v>
      </x:c>
      <x:c r="I113" s="8" t="n">
        <x:v>44.46700507614213</x:v>
      </x:c>
      <x:c r="J113" s="8" t="n">
        <x:v>202.87206457155457</x:v>
      </x:c>
      <x:c r="K113" s="8" t="n">
        <x:v>0</x:v>
      </x:c>
      <x:c r="L113" s="8" t="n">
        <x:v>0</x:v>
      </x:c>
      <x:c r="M113" s="21" t="n">
        <x:f>E113+K113-I113-J113-L113</x:f>
        <x:v>921.390681977713</x:v>
      </x:c>
    </x:row>
    <x:row r="114" ht="36" customHeight="1">
      <x:c r="A114" s="8" t="str">
        <x:v>Liquidity-first</x:v>
      </x:c>
      <x:c r="B114" s="8" t="str">
        <x:v>Moderate revenue</x:v>
      </x:c>
      <x:c r="C114" s="8" t="str">
        <x:v>Committed revolver</x:v>
      </x:c>
      <x:c r="D114" s="22" t="n">
        <x:v>2</x:v>
      </x:c>
      <x:c r="E114" s="8" t="n">
        <x:v>0</x:v>
      </x:c>
      <x:c r="F114" s="23" t="n">
        <x:v>0.06</x:v>
      </x:c>
      <x:c r="G114" s="8" t="n">
        <x:v>0</x:v>
      </x:c>
      <x:c r="H114" s="8" t="n">
        <x:v>0</x:v>
      </x:c>
      <x:c r="I114" s="8" t="n">
        <x:v>0</x:v>
      </x:c>
      <x:c r="J114" s="8" t="n">
        <x:v>0</x:v>
      </x:c>
      <x:c r="K114" s="8" t="n">
        <x:v>0</x:v>
      </x:c>
      <x:c r="L114" s="8" t="n">
        <x:v>0</x:v>
      </x:c>
      <x:c r="M114" s="21" t="n">
        <x:f>E114+K114-I114-J114-L114</x:f>
        <x:v>0</x:v>
      </x:c>
    </x:row>
    <x:row r="115" ht="36" customHeight="1">
      <x:c r="A115" s="8" t="str">
        <x:v>Liquidity-first</x:v>
      </x:c>
      <x:c r="B115" s="8" t="str">
        <x:v>Moderate revenue</x:v>
      </x:c>
      <x:c r="C115" s="8" t="str">
        <x:v>Atlas notes</x:v>
      </x:c>
      <x:c r="D115" s="22" t="n">
        <x:v>3</x:v>
      </x:c>
      <x:c r="E115" s="8" t="n">
        <x:v>900</x:v>
      </x:c>
      <x:c r="F115" s="23" t="n">
        <x:v>0.038</x:v>
      </x:c>
      <x:c r="G115" s="8" t="n">
        <x:v>34.199999999999996</x:v>
      </x:c>
      <x:c r="H115" s="8" t="n">
        <x:v>0</x:v>
      </x:c>
      <x:c r="I115" s="8" t="n">
        <x:v>0</x:v>
      </x:c>
      <x:c r="J115" s="8" t="n">
        <x:v>0</x:v>
      </x:c>
      <x:c r="K115" s="8" t="n">
        <x:v>0</x:v>
      </x:c>
      <x:c r="L115" s="8" t="n">
        <x:v>0</x:v>
      </x:c>
      <x:c r="M115" s="21" t="n">
        <x:f>E115+K115-I115-J115-L115</x:f>
        <x:v>900</x:v>
      </x:c>
    </x:row>
    <x:row r="116" ht="36" customHeight="1">
      <x:c r="A116" s="8" t="str">
        <x:v>Liquidity-first</x:v>
      </x:c>
      <x:c r="B116" s="8" t="str">
        <x:v>Moderate revenue</x:v>
      </x:c>
      <x:c r="C116" s="8" t="str">
        <x:v>Atlas finance lease</x:v>
      </x:c>
      <x:c r="D116" s="22" t="n">
        <x:v>3</x:v>
      </x:c>
      <x:c r="E116" s="8" t="n">
        <x:v>48</x:v>
      </x:c>
      <x:c r="F116" s="23" t="n">
        <x:v>0.05</x:v>
      </x:c>
      <x:c r="G116" s="8" t="n">
        <x:v>2.4000000000000004</x:v>
      </x:c>
      <x:c r="H116" s="8" t="n">
        <x:v>16</x:v>
      </x:c>
      <x:c r="I116" s="8" t="n">
        <x:v>16</x:v>
      </x:c>
      <x:c r="J116" s="8" t="n">
        <x:v>0</x:v>
      </x:c>
      <x:c r="K116" s="8" t="n">
        <x:v>0</x:v>
      </x:c>
      <x:c r="L116" s="8" t="n">
        <x:v>0</x:v>
      </x:c>
      <x:c r="M116" s="21" t="n">
        <x:f>E116+K116-I116-J116-L116</x:f>
        <x:v>32</x:v>
      </x:c>
    </x:row>
    <x:row r="117" ht="36" customHeight="1">
      <x:c r="A117" s="8" t="str">
        <x:v>Liquidity-first</x:v>
      </x:c>
      <x:c r="B117" s="8" t="str">
        <x:v>Moderate revenue</x:v>
      </x:c>
      <x:c r="C117" s="8" t="str">
        <x:v>Beacon notes</x:v>
      </x:c>
      <x:c r="D117" s="22" t="n">
        <x:v>3</x:v>
      </x:c>
      <x:c r="E117" s="8" t="n">
        <x:v>350</x:v>
      </x:c>
      <x:c r="F117" s="23" t="n">
        <x:v>0.0475</x:v>
      </x:c>
      <x:c r="G117" s="8" t="n">
        <x:v>16.625</x:v>
      </x:c>
      <x:c r="H117" s="8" t="n">
        <x:v>350</x:v>
      </x:c>
      <x:c r="I117" s="8" t="n">
        <x:v>350</x:v>
      </x:c>
      <x:c r="J117" s="8" t="n">
        <x:v>0</x:v>
      </x:c>
      <x:c r="K117" s="8" t="n">
        <x:v>0</x:v>
      </x:c>
      <x:c r="L117" s="8" t="n">
        <x:v>0</x:v>
      </x:c>
      <x:c r="M117" s="21" t="n">
        <x:f>E117+K117-I117-J117-L117</x:f>
        <x:v>0</x:v>
      </x:c>
    </x:row>
    <x:row r="118" ht="36" customHeight="1">
      <x:c r="A118" s="8" t="str">
        <x:v>Liquidity-first</x:v>
      </x:c>
      <x:c r="B118" s="8" t="str">
        <x:v>Moderate revenue</x:v>
      </x:c>
      <x:c r="C118" s="8" t="str">
        <x:v>Acquisition term</x:v>
      </x:c>
      <x:c r="D118" s="22" t="n">
        <x:v>3</x:v>
      </x:c>
      <x:c r="E118" s="8" t="n">
        <x:v>921.390681977713</x:v>
      </x:c>
      <x:c r="F118" s="23" t="n">
        <x:v>0.060000000000000005</x:v>
      </x:c>
      <x:c r="G118" s="8" t="n">
        <x:v>55.283440918662784</x:v>
      </x:c>
      <x:c r="H118" s="8" t="n">
        <x:v>44.46700507614213</x:v>
      </x:c>
      <x:c r="I118" s="8" t="n">
        <x:v>44.46700507614213</x:v>
      </x:c>
      <x:c r="J118" s="8" t="n">
        <x:v>0</x:v>
      </x:c>
      <x:c r="K118" s="8" t="n">
        <x:v>0</x:v>
      </x:c>
      <x:c r="L118" s="8" t="n">
        <x:v>0</x:v>
      </x:c>
      <x:c r="M118" s="21" t="n">
        <x:f>E118+K118-I118-J118-L118</x:f>
        <x:v>876.9236769015708</x:v>
      </x:c>
    </x:row>
    <x:row r="119" ht="36" customHeight="1">
      <x:c r="A119" s="8" t="str">
        <x:v>Liquidity-first</x:v>
      </x:c>
      <x:c r="B119" s="8" t="str">
        <x:v>Moderate revenue</x:v>
      </x:c>
      <x:c r="C119" s="8" t="str">
        <x:v>Committed revolver</x:v>
      </x:c>
      <x:c r="D119" s="22" t="n">
        <x:v>3</x:v>
      </x:c>
      <x:c r="E119" s="8" t="n">
        <x:v>0</x:v>
      </x:c>
      <x:c r="F119" s="23" t="n">
        <x:v>0.0575</x:v>
      </x:c>
      <x:c r="G119" s="8" t="n">
        <x:v>0</x:v>
      </x:c>
      <x:c r="H119" s="8" t="n">
        <x:v>0</x:v>
      </x:c>
      <x:c r="I119" s="8" t="n">
        <x:v>0</x:v>
      </x:c>
      <x:c r="J119" s="8" t="n">
        <x:v>0</x:v>
      </x:c>
      <x:c r="K119" s="8" t="n">
        <x:v>40.313778341125044</x:v>
      </x:c>
      <x:c r="L119" s="8" t="n">
        <x:v>0</x:v>
      </x:c>
      <x:c r="M119" s="21" t="n">
        <x:f>E119+K119-I119-J119-L119</x:f>
        <x:v>40.313778341125044</x:v>
      </x:c>
    </x:row>
    <x:row r="120" ht="36" customHeight="1">
      <x:c r="A120" s="8" t="str">
        <x:v>Liquidity-first</x:v>
      </x:c>
      <x:c r="B120" s="8" t="str">
        <x:v>Moderate revenue</x:v>
      </x:c>
      <x:c r="C120" s="8" t="str">
        <x:v>Atlas notes</x:v>
      </x:c>
      <x:c r="D120" s="22" t="n">
        <x:v>4</x:v>
      </x:c>
      <x:c r="E120" s="8" t="n">
        <x:v>900</x:v>
      </x:c>
      <x:c r="F120" s="23" t="n">
        <x:v>0.038</x:v>
      </x:c>
      <x:c r="G120" s="8" t="n">
        <x:v>34.199999999999996</x:v>
      </x:c>
      <x:c r="H120" s="8" t="n">
        <x:v>900</x:v>
      </x:c>
      <x:c r="I120" s="8" t="n">
        <x:v>900</x:v>
      </x:c>
      <x:c r="J120" s="8" t="n">
        <x:v>0</x:v>
      </x:c>
      <x:c r="K120" s="8" t="n">
        <x:v>0</x:v>
      </x:c>
      <x:c r="L120" s="8" t="n">
        <x:v>0</x:v>
      </x:c>
      <x:c r="M120" s="21" t="n">
        <x:f>E120+K120-I120-J120-L120</x:f>
        <x:v>0</x:v>
      </x:c>
    </x:row>
    <x:row r="121" ht="36" customHeight="1">
      <x:c r="A121" s="8" t="str">
        <x:v>Liquidity-first</x:v>
      </x:c>
      <x:c r="B121" s="8" t="str">
        <x:v>Moderate revenue</x:v>
      </x:c>
      <x:c r="C121" s="8" t="str">
        <x:v>Atlas finance lease</x:v>
      </x:c>
      <x:c r="D121" s="22" t="n">
        <x:v>4</x:v>
      </x:c>
      <x:c r="E121" s="8" t="n">
        <x:v>32</x:v>
      </x:c>
      <x:c r="F121" s="23" t="n">
        <x:v>0.05</x:v>
      </x:c>
      <x:c r="G121" s="8" t="n">
        <x:v>1.6</x:v>
      </x:c>
      <x:c r="H121" s="8" t="n">
        <x:v>16</x:v>
      </x:c>
      <x:c r="I121" s="8" t="n">
        <x:v>16</x:v>
      </x:c>
      <x:c r="J121" s="8" t="n">
        <x:v>0</x:v>
      </x:c>
      <x:c r="K121" s="8" t="n">
        <x:v>0</x:v>
      </x:c>
      <x:c r="L121" s="8" t="n">
        <x:v>0</x:v>
      </x:c>
      <x:c r="M121" s="21" t="n">
        <x:f>E121+K121-I121-J121-L121</x:f>
        <x:v>16</x:v>
      </x:c>
    </x:row>
    <x:row r="122" ht="36" customHeight="1">
      <x:c r="A122" s="8" t="str">
        <x:v>Liquidity-first</x:v>
      </x:c>
      <x:c r="B122" s="8" t="str">
        <x:v>Moderate revenue</x:v>
      </x:c>
      <x:c r="C122" s="8" t="str">
        <x:v>Beacon notes</x:v>
      </x:c>
      <x:c r="D122" s="22" t="n">
        <x:v>4</x:v>
      </x:c>
      <x:c r="E122" s="8" t="n">
        <x:v>0</x:v>
      </x:c>
      <x:c r="F122" s="23" t="n">
        <x:v>0.0475</x:v>
      </x:c>
      <x:c r="G122" s="8" t="n">
        <x:v>0</x:v>
      </x:c>
      <x:c r="H122" s="8" t="n">
        <x:v>0</x:v>
      </x:c>
      <x:c r="I122" s="8" t="n">
        <x:v>0</x:v>
      </x:c>
      <x:c r="J122" s="8" t="n">
        <x:v>0</x:v>
      </x:c>
      <x:c r="K122" s="8" t="n">
        <x:v>0</x:v>
      </x:c>
      <x:c r="L122" s="8" t="n">
        <x:v>0</x:v>
      </x:c>
      <x:c r="M122" s="21" t="n">
        <x:f>E122+K122-I122-J122-L122</x:f>
        <x:v>0</x:v>
      </x:c>
    </x:row>
    <x:row r="123" ht="36" customHeight="1">
      <x:c r="A123" s="8" t="str">
        <x:v>Liquidity-first</x:v>
      </x:c>
      <x:c r="B123" s="8" t="str">
        <x:v>Moderate revenue</x:v>
      </x:c>
      <x:c r="C123" s="8" t="str">
        <x:v>Acquisition term</x:v>
      </x:c>
      <x:c r="D123" s="22" t="n">
        <x:v>4</x:v>
      </x:c>
      <x:c r="E123" s="8" t="n">
        <x:v>876.9236769015708</x:v>
      </x:c>
      <x:c r="F123" s="23" t="n">
        <x:v>0.060000000000000005</x:v>
      </x:c>
      <x:c r="G123" s="8" t="n">
        <x:v>52.615420614094255</x:v>
      </x:c>
      <x:c r="H123" s="8" t="n">
        <x:v>44.46700507614213</x:v>
      </x:c>
      <x:c r="I123" s="8" t="n">
        <x:v>44.46700507614213</x:v>
      </x:c>
      <x:c r="J123" s="8" t="n">
        <x:v>0</x:v>
      </x:c>
      <x:c r="K123" s="8" t="n">
        <x:v>0</x:v>
      </x:c>
      <x:c r="L123" s="8" t="n">
        <x:v>0</x:v>
      </x:c>
      <x:c r="M123" s="21" t="n">
        <x:f>E123+K123-I123-J123-L123</x:f>
        <x:v>832.4566718254287</x:v>
      </x:c>
    </x:row>
    <x:row r="124" ht="36" customHeight="1">
      <x:c r="A124" s="8" t="str">
        <x:v>Liquidity-first</x:v>
      </x:c>
      <x:c r="B124" s="8" t="str">
        <x:v>Moderate revenue</x:v>
      </x:c>
      <x:c r="C124" s="8" t="str">
        <x:v>Committed revolver</x:v>
      </x:c>
      <x:c r="D124" s="22" t="n">
        <x:v>4</x:v>
      </x:c>
      <x:c r="E124" s="8" t="n">
        <x:v>40.313778341125044</x:v>
      </x:c>
      <x:c r="F124" s="23" t="n">
        <x:v>0.0575</x:v>
      </x:c>
      <x:c r="G124" s="8" t="n">
        <x:v>2.31804225461469</x:v>
      </x:c>
      <x:c r="H124" s="8" t="n">
        <x:v>0</x:v>
      </x:c>
      <x:c r="I124" s="8" t="n">
        <x:v>0</x:v>
      </x:c>
      <x:c r="J124" s="8" t="n">
        <x:v>0</x:v>
      </x:c>
      <x:c r="K124" s="8" t="n">
        <x:v>533.3366712680584</x:v>
      </x:c>
      <x:c r="L124" s="8" t="n">
        <x:v>0</x:v>
      </x:c>
      <x:c r="M124" s="21" t="n">
        <x:f>E124+K124-I124-J124-L124</x:f>
        <x:v>573.6504496091834</x:v>
      </x:c>
    </x:row>
    <x:row r="125" ht="36" customHeight="1">
      <x:c r="A125" s="8" t="str">
        <x:v>Liquidity-first</x:v>
      </x:c>
      <x:c r="B125" s="8" t="str">
        <x:v>Moderate revenue</x:v>
      </x:c>
      <x:c r="C125" s="8" t="str">
        <x:v>Atlas notes</x:v>
      </x:c>
      <x:c r="D125" s="22" t="n">
        <x:v>5</x:v>
      </x:c>
      <x:c r="E125" s="8" t="n">
        <x:v>0</x:v>
      </x:c>
      <x:c r="F125" s="23" t="n">
        <x:v>0.038</x:v>
      </x:c>
      <x:c r="G125" s="8" t="n">
        <x:v>0</x:v>
      </x:c>
      <x:c r="H125" s="8" t="n">
        <x:v>0</x:v>
      </x:c>
      <x:c r="I125" s="8" t="n">
        <x:v>0</x:v>
      </x:c>
      <x:c r="J125" s="8" t="n">
        <x:v>0</x:v>
      </x:c>
      <x:c r="K125" s="8" t="n">
        <x:v>0</x:v>
      </x:c>
      <x:c r="L125" s="8" t="n">
        <x:v>0</x:v>
      </x:c>
      <x:c r="M125" s="21" t="n">
        <x:f>E125+K125-I125-J125-L125</x:f>
        <x:v>0</x:v>
      </x:c>
    </x:row>
    <x:row r="126" ht="36" customHeight="1">
      <x:c r="A126" s="8" t="str">
        <x:v>Liquidity-first</x:v>
      </x:c>
      <x:c r="B126" s="8" t="str">
        <x:v>Moderate revenue</x:v>
      </x:c>
      <x:c r="C126" s="8" t="str">
        <x:v>Atlas finance lease</x:v>
      </x:c>
      <x:c r="D126" s="22" t="n">
        <x:v>5</x:v>
      </x:c>
      <x:c r="E126" s="8" t="n">
        <x:v>16</x:v>
      </x:c>
      <x:c r="F126" s="23" t="n">
        <x:v>0.05</x:v>
      </x:c>
      <x:c r="G126" s="8" t="n">
        <x:v>0.8</x:v>
      </x:c>
      <x:c r="H126" s="8" t="n">
        <x:v>16</x:v>
      </x:c>
      <x:c r="I126" s="8" t="n">
        <x:v>16</x:v>
      </x:c>
      <x:c r="J126" s="8" t="n">
        <x:v>0</x:v>
      </x:c>
      <x:c r="K126" s="8" t="n">
        <x:v>0</x:v>
      </x:c>
      <x:c r="L126" s="8" t="n">
        <x:v>0</x:v>
      </x:c>
      <x:c r="M126" s="21" t="n">
        <x:f>E126+K126-I126-J126-L126</x:f>
        <x:v>0</x:v>
      </x:c>
    </x:row>
    <x:row r="127" ht="36" customHeight="1">
      <x:c r="A127" s="8" t="str">
        <x:v>Liquidity-first</x:v>
      </x:c>
      <x:c r="B127" s="8" t="str">
        <x:v>Moderate revenue</x:v>
      </x:c>
      <x:c r="C127" s="8" t="str">
        <x:v>Beacon notes</x:v>
      </x:c>
      <x:c r="D127" s="22" t="n">
        <x:v>5</x:v>
      </x:c>
      <x:c r="E127" s="8" t="n">
        <x:v>0</x:v>
      </x:c>
      <x:c r="F127" s="23" t="n">
        <x:v>0.0475</x:v>
      </x:c>
      <x:c r="G127" s="8" t="n">
        <x:v>0</x:v>
      </x:c>
      <x:c r="H127" s="8" t="n">
        <x:v>0</x:v>
      </x:c>
      <x:c r="I127" s="8" t="n">
        <x:v>0</x:v>
      </x:c>
      <x:c r="J127" s="8" t="n">
        <x:v>0</x:v>
      </x:c>
      <x:c r="K127" s="8" t="n">
        <x:v>0</x:v>
      </x:c>
      <x:c r="L127" s="8" t="n">
        <x:v>0</x:v>
      </x:c>
      <x:c r="M127" s="21" t="n">
        <x:f>E127+K127-I127-J127-L127</x:f>
        <x:v>0</x:v>
      </x:c>
    </x:row>
    <x:row r="128" ht="36" customHeight="1">
      <x:c r="A128" s="8" t="str">
        <x:v>Liquidity-first</x:v>
      </x:c>
      <x:c r="B128" s="8" t="str">
        <x:v>Moderate revenue</x:v>
      </x:c>
      <x:c r="C128" s="8" t="str">
        <x:v>Acquisition term</x:v>
      </x:c>
      <x:c r="D128" s="22" t="n">
        <x:v>5</x:v>
      </x:c>
      <x:c r="E128" s="8" t="n">
        <x:v>832.4566718254287</x:v>
      </x:c>
      <x:c r="F128" s="23" t="n">
        <x:v>0.060000000000000005</x:v>
      </x:c>
      <x:c r="G128" s="8" t="n">
        <x:v>49.947400309525726</x:v>
      </x:c>
      <x:c r="H128" s="8" t="n">
        <x:v>832.4566718254287</x:v>
      </x:c>
      <x:c r="I128" s="8" t="n">
        <x:v>832.4566718254287</x:v>
      </x:c>
      <x:c r="J128" s="8" t="n">
        <x:v>0</x:v>
      </x:c>
      <x:c r="K128" s="8" t="n">
        <x:v>0</x:v>
      </x:c>
      <x:c r="L128" s="8" t="n">
        <x:v>0</x:v>
      </x:c>
      <x:c r="M128" s="21" t="n">
        <x:f>E128+K128-I128-J128-L128</x:f>
        <x:v>0</x:v>
      </x:c>
    </x:row>
    <x:row r="129" ht="36" customHeight="1">
      <x:c r="A129" s="8" t="str">
        <x:v>Liquidity-first</x:v>
      </x:c>
      <x:c r="B129" s="8" t="str">
        <x:v>Moderate revenue</x:v>
      </x:c>
      <x:c r="C129" s="8" t="str">
        <x:v>Committed revolver</x:v>
      </x:c>
      <x:c r="D129" s="22" t="n">
        <x:v>5</x:v>
      </x:c>
      <x:c r="E129" s="8" t="n">
        <x:v>573.6504496091834</x:v>
      </x:c>
      <x:c r="F129" s="23" t="n">
        <x:v>0.0575</x:v>
      </x:c>
      <x:c r="G129" s="8" t="n">
        <x:v>32.98490085252805</x:v>
      </x:c>
      <x:c r="H129" s="8" t="n">
        <x:v>573.6504496091834</x:v>
      </x:c>
      <x:c r="I129" s="8" t="n">
        <x:v>358.3462038286366</x:v>
      </x:c>
      <x:c r="J129" s="8" t="n">
        <x:v>0</x:v>
      </x:c>
      <x:c r="K129" s="8" t="n">
        <x:v>0</x:v>
      </x:c>
      <x:c r="L129" s="8" t="n">
        <x:v>0</x:v>
      </x:c>
      <x:c r="M129" s="21" t="n">
        <x:f>E129+K129-I129-J129-L129</x:f>
        <x:v>215.3042457805468</x:v>
      </x:c>
    </x:row>
    <x:row r="130" ht="36" customHeight="1">
      <x:c r="A130" s="8" t="str">
        <x:v>Mixed consideration</x:v>
      </x:c>
      <x:c r="B130" s="8" t="str">
        <x:v>Moderate revenue</x:v>
      </x:c>
      <x:c r="C130" s="8" t="str">
        <x:v>Atlas notes</x:v>
      </x:c>
      <x:c r="D130" s="22" t="n">
        <x:v>1</x:v>
      </x:c>
      <x:c r="E130" s="8" t="n">
        <x:v>900</x:v>
      </x:c>
      <x:c r="F130" s="23" t="n">
        <x:v>0.038</x:v>
      </x:c>
      <x:c r="G130" s="8" t="n">
        <x:v>34.199999999999996</x:v>
      </x:c>
      <x:c r="H130" s="8" t="n">
        <x:v>0</x:v>
      </x:c>
      <x:c r="I130" s="8" t="n">
        <x:v>0</x:v>
      </x:c>
      <x:c r="J130" s="8" t="n">
        <x:v>0</x:v>
      </x:c>
      <x:c r="K130" s="8" t="n">
        <x:v>0</x:v>
      </x:c>
      <x:c r="L130" s="8" t="n">
        <x:v>0</x:v>
      </x:c>
      <x:c r="M130" s="21" t="n">
        <x:f>E130+K130-I130-J130-L130</x:f>
        <x:v>900</x:v>
      </x:c>
    </x:row>
    <x:row r="131" ht="36" customHeight="1">
      <x:c r="A131" s="8" t="str">
        <x:v>Mixed consideration</x:v>
      </x:c>
      <x:c r="B131" s="8" t="str">
        <x:v>Moderate revenue</x:v>
      </x:c>
      <x:c r="C131" s="8" t="str">
        <x:v>Atlas finance lease</x:v>
      </x:c>
      <x:c r="D131" s="22" t="n">
        <x:v>1</x:v>
      </x:c>
      <x:c r="E131" s="8" t="n">
        <x:v>80</x:v>
      </x:c>
      <x:c r="F131" s="23" t="n">
        <x:v>0.05</x:v>
      </x:c>
      <x:c r="G131" s="8" t="n">
        <x:v>4</x:v>
      </x:c>
      <x:c r="H131" s="8" t="n">
        <x:v>16</x:v>
      </x:c>
      <x:c r="I131" s="8" t="n">
        <x:v>16</x:v>
      </x:c>
      <x:c r="J131" s="8" t="n">
        <x:v>0</x:v>
      </x:c>
      <x:c r="K131" s="8" t="n">
        <x:v>0</x:v>
      </x:c>
      <x:c r="L131" s="8" t="n">
        <x:v>0</x:v>
      </x:c>
      <x:c r="M131" s="21" t="n">
        <x:f>E131+K131-I131-J131-L131</x:f>
        <x:v>64</x:v>
      </x:c>
    </x:row>
    <x:row r="132" ht="36" customHeight="1">
      <x:c r="A132" s="8" t="str">
        <x:v>Mixed consideration</x:v>
      </x:c>
      <x:c r="B132" s="8" t="str">
        <x:v>Moderate revenue</x:v>
      </x:c>
      <x:c r="C132" s="8" t="str">
        <x:v>Beacon notes</x:v>
      </x:c>
      <x:c r="D132" s="22" t="n">
        <x:v>1</x:v>
      </x:c>
      <x:c r="E132" s="8" t="n">
        <x:v>350</x:v>
      </x:c>
      <x:c r="F132" s="23" t="n">
        <x:v>0.0475</x:v>
      </x:c>
      <x:c r="G132" s="8" t="n">
        <x:v>16.625</x:v>
      </x:c>
      <x:c r="H132" s="8" t="n">
        <x:v>0</x:v>
      </x:c>
      <x:c r="I132" s="8" t="n">
        <x:v>0</x:v>
      </x:c>
      <x:c r="J132" s="8" t="n">
        <x:v>0</x:v>
      </x:c>
      <x:c r="K132" s="8" t="n">
        <x:v>0</x:v>
      </x:c>
      <x:c r="L132" s="8" t="n">
        <x:v>0</x:v>
      </x:c>
      <x:c r="M132" s="21" t="n">
        <x:f>E132+K132-I132-J132-L132</x:f>
        <x:v>350</x:v>
      </x:c>
    </x:row>
    <x:row r="133" ht="36" customHeight="1">
      <x:c r="A133" s="8" t="str">
        <x:v>Mixed consideration</x:v>
      </x:c>
      <x:c r="B133" s="8" t="str">
        <x:v>Moderate revenue</x:v>
      </x:c>
      <x:c r="C133" s="8" t="str">
        <x:v>Acquisition term</x:v>
      </x:c>
      <x:c r="D133" s="22" t="n">
        <x:v>1</x:v>
      </x:c>
      <x:c r="E133" s="8" t="n">
        <x:v>304.56852791878174</x:v>
      </x:c>
      <x:c r="F133" s="23" t="n">
        <x:v>0.065</x:v>
      </x:c>
      <x:c r="G133" s="8" t="n">
        <x:v>19.796954314720814</x:v>
      </x:c>
      <x:c r="H133" s="8" t="n">
        <x:v>6.091370558375635</x:v>
      </x:c>
      <x:c r="I133" s="8" t="n">
        <x:v>6.091370558375635</x:v>
      </x:c>
      <x:c r="J133" s="8" t="n">
        <x:v>272.06974076037716</x:v>
      </x:c>
      <x:c r="K133" s="8" t="n">
        <x:v>0</x:v>
      </x:c>
      <x:c r="L133" s="8" t="n">
        <x:v>0</x:v>
      </x:c>
      <x:c r="M133" s="21" t="n">
        <x:f>E133+K133-I133-J133-L133</x:f>
        <x:v>26.407416600028967</x:v>
      </x:c>
    </x:row>
    <x:row r="134" ht="36" customHeight="1">
      <x:c r="A134" s="8" t="str">
        <x:v>Mixed consideration</x:v>
      </x:c>
      <x:c r="B134" s="8" t="str">
        <x:v>Moderate revenue</x:v>
      </x:c>
      <x:c r="C134" s="8" t="str">
        <x:v>Committed revolver</x:v>
      </x:c>
      <x:c r="D134" s="22" t="n">
        <x:v>1</x:v>
      </x:c>
      <x:c r="E134" s="8" t="n">
        <x:v>0</x:v>
      </x:c>
      <x:c r="F134" s="23" t="n">
        <x:v>0.0625</x:v>
      </x:c>
      <x:c r="G134" s="8" t="n">
        <x:v>0</x:v>
      </x:c>
      <x:c r="H134" s="8" t="n">
        <x:v>0</x:v>
      </x:c>
      <x:c r="I134" s="8" t="n">
        <x:v>0</x:v>
      </x:c>
      <x:c r="J134" s="8" t="n">
        <x:v>0</x:v>
      </x:c>
      <x:c r="K134" s="8" t="n">
        <x:v>0</x:v>
      </x:c>
      <x:c r="L134" s="8" t="n">
        <x:v>0</x:v>
      </x:c>
      <x:c r="M134" s="21" t="n">
        <x:f>E134+K134-I134-J134-L134</x:f>
        <x:v>0</x:v>
      </x:c>
    </x:row>
    <x:row r="135" ht="36" customHeight="1">
      <x:c r="A135" s="8" t="str">
        <x:v>Mixed consideration</x:v>
      </x:c>
      <x:c r="B135" s="8" t="str">
        <x:v>Moderate revenue</x:v>
      </x:c>
      <x:c r="C135" s="8" t="str">
        <x:v>Atlas notes</x:v>
      </x:c>
      <x:c r="D135" s="22" t="n">
        <x:v>2</x:v>
      </x:c>
      <x:c r="E135" s="8" t="n">
        <x:v>900</x:v>
      </x:c>
      <x:c r="F135" s="23" t="n">
        <x:v>0.038</x:v>
      </x:c>
      <x:c r="G135" s="8" t="n">
        <x:v>34.199999999999996</x:v>
      </x:c>
      <x:c r="H135" s="8" t="n">
        <x:v>0</x:v>
      </x:c>
      <x:c r="I135" s="8" t="n">
        <x:v>0</x:v>
      </x:c>
      <x:c r="J135" s="8" t="n">
        <x:v>0</x:v>
      </x:c>
      <x:c r="K135" s="8" t="n">
        <x:v>0</x:v>
      </x:c>
      <x:c r="L135" s="8" t="n">
        <x:v>0</x:v>
      </x:c>
      <x:c r="M135" s="21" t="n">
        <x:f>E135+K135-I135-J135-L135</x:f>
        <x:v>900</x:v>
      </x:c>
    </x:row>
    <x:row r="136" ht="36" customHeight="1">
      <x:c r="A136" s="8" t="str">
        <x:v>Mixed consideration</x:v>
      </x:c>
      <x:c r="B136" s="8" t="str">
        <x:v>Moderate revenue</x:v>
      </x:c>
      <x:c r="C136" s="8" t="str">
        <x:v>Atlas finance lease</x:v>
      </x:c>
      <x:c r="D136" s="22" t="n">
        <x:v>2</x:v>
      </x:c>
      <x:c r="E136" s="8" t="n">
        <x:v>64</x:v>
      </x:c>
      <x:c r="F136" s="23" t="n">
        <x:v>0.05</x:v>
      </x:c>
      <x:c r="G136" s="8" t="n">
        <x:v>3.2</x:v>
      </x:c>
      <x:c r="H136" s="8" t="n">
        <x:v>16</x:v>
      </x:c>
      <x:c r="I136" s="8" t="n">
        <x:v>16</x:v>
      </x:c>
      <x:c r="J136" s="8" t="n">
        <x:v>48</x:v>
      </x:c>
      <x:c r="K136" s="8" t="n">
        <x:v>0</x:v>
      </x:c>
      <x:c r="L136" s="8" t="n">
        <x:v>0</x:v>
      </x:c>
      <x:c r="M136" s="21" t="n">
        <x:f>E136+K136-I136-J136-L136</x:f>
        <x:v>0</x:v>
      </x:c>
    </x:row>
    <x:row r="137" ht="36" customHeight="1">
      <x:c r="A137" s="8" t="str">
        <x:v>Mixed consideration</x:v>
      </x:c>
      <x:c r="B137" s="8" t="str">
        <x:v>Moderate revenue</x:v>
      </x:c>
      <x:c r="C137" s="8" t="str">
        <x:v>Beacon notes</x:v>
      </x:c>
      <x:c r="D137" s="22" t="n">
        <x:v>2</x:v>
      </x:c>
      <x:c r="E137" s="8" t="n">
        <x:v>350</x:v>
      </x:c>
      <x:c r="F137" s="23" t="n">
        <x:v>0.0475</x:v>
      </x:c>
      <x:c r="G137" s="8" t="n">
        <x:v>16.625</x:v>
      </x:c>
      <x:c r="H137" s="8" t="n">
        <x:v>0</x:v>
      </x:c>
      <x:c r="I137" s="8" t="n">
        <x:v>0</x:v>
      </x:c>
      <x:c r="J137" s="8" t="n">
        <x:v>226.4780125019825</x:v>
      </x:c>
      <x:c r="K137" s="8" t="n">
        <x:v>0</x:v>
      </x:c>
      <x:c r="L137" s="8" t="n">
        <x:v>0</x:v>
      </x:c>
      <x:c r="M137" s="21" t="n">
        <x:f>E137+K137-I137-J137-L137</x:f>
        <x:v>123.5219874980175</x:v>
      </x:c>
    </x:row>
    <x:row r="138" ht="36" customHeight="1">
      <x:c r="A138" s="8" t="str">
        <x:v>Mixed consideration</x:v>
      </x:c>
      <x:c r="B138" s="8" t="str">
        <x:v>Moderate revenue</x:v>
      </x:c>
      <x:c r="C138" s="8" t="str">
        <x:v>Acquisition term</x:v>
      </x:c>
      <x:c r="D138" s="22" t="n">
        <x:v>2</x:v>
      </x:c>
      <x:c r="E138" s="8" t="n">
        <x:v>26.407416600028967</x:v>
      </x:c>
      <x:c r="F138" s="23" t="n">
        <x:v>0.0625</x:v>
      </x:c>
      <x:c r="G138" s="8" t="n">
        <x:v>1.6504635375018104</x:v>
      </x:c>
      <x:c r="H138" s="8" t="n">
        <x:v>6.091370558375635</x:v>
      </x:c>
      <x:c r="I138" s="8" t="n">
        <x:v>6.091370558375635</x:v>
      </x:c>
      <x:c r="J138" s="8" t="n">
        <x:v>20.31604604165333</x:v>
      </x:c>
      <x:c r="K138" s="8" t="n">
        <x:v>0</x:v>
      </x:c>
      <x:c r="L138" s="8" t="n">
        <x:v>0</x:v>
      </x:c>
      <x:c r="M138" s="21" t="n">
        <x:f>E138+K138-I138-J138-L138</x:f>
        <x:v>0</x:v>
      </x:c>
    </x:row>
    <x:row r="139" ht="36" customHeight="1">
      <x:c r="A139" s="8" t="str">
        <x:v>Mixed consideration</x:v>
      </x:c>
      <x:c r="B139" s="8" t="str">
        <x:v>Moderate revenue</x:v>
      </x:c>
      <x:c r="C139" s="8" t="str">
        <x:v>Committed revolver</x:v>
      </x:c>
      <x:c r="D139" s="22" t="n">
        <x:v>2</x:v>
      </x:c>
      <x:c r="E139" s="8" t="n">
        <x:v>0</x:v>
      </x:c>
      <x:c r="F139" s="23" t="n">
        <x:v>0.06</x:v>
      </x:c>
      <x:c r="G139" s="8" t="n">
        <x:v>0</x:v>
      </x:c>
      <x:c r="H139" s="8" t="n">
        <x:v>0</x:v>
      </x:c>
      <x:c r="I139" s="8" t="n">
        <x:v>0</x:v>
      </x:c>
      <x:c r="J139" s="8" t="n">
        <x:v>0</x:v>
      </x:c>
      <x:c r="K139" s="8" t="n">
        <x:v>0</x:v>
      </x:c>
      <x:c r="L139" s="8" t="n">
        <x:v>0</x:v>
      </x:c>
      <x:c r="M139" s="21" t="n">
        <x:f>E139+K139-I139-J139-L139</x:f>
        <x:v>0</x:v>
      </x:c>
    </x:row>
    <x:row r="140" ht="36" customHeight="1">
      <x:c r="A140" s="8" t="str">
        <x:v>Mixed consideration</x:v>
      </x:c>
      <x:c r="B140" s="8" t="str">
        <x:v>Moderate revenue</x:v>
      </x:c>
      <x:c r="C140" s="8" t="str">
        <x:v>Atlas notes</x:v>
      </x:c>
      <x:c r="D140" s="22" t="n">
        <x:v>3</x:v>
      </x:c>
      <x:c r="E140" s="8" t="n">
        <x:v>900</x:v>
      </x:c>
      <x:c r="F140" s="23" t="n">
        <x:v>0.038</x:v>
      </x:c>
      <x:c r="G140" s="8" t="n">
        <x:v>34.199999999999996</x:v>
      </x:c>
      <x:c r="H140" s="8" t="n">
        <x:v>0</x:v>
      </x:c>
      <x:c r="I140" s="8" t="n">
        <x:v>0</x:v>
      </x:c>
      <x:c r="J140" s="8" t="n">
        <x:v>297.96209912137965</x:v>
      </x:c>
      <x:c r="K140" s="8" t="n">
        <x:v>0</x:v>
      </x:c>
      <x:c r="L140" s="8" t="n">
        <x:v>0</x:v>
      </x:c>
      <x:c r="M140" s="21" t="n">
        <x:f>E140+K140-I140-J140-L140</x:f>
        <x:v>602.0379008786203</x:v>
      </x:c>
    </x:row>
    <x:row r="141" ht="36" customHeight="1">
      <x:c r="A141" s="8" t="str">
        <x:v>Mixed consideration</x:v>
      </x:c>
      <x:c r="B141" s="8" t="str">
        <x:v>Moderate revenue</x:v>
      </x:c>
      <x:c r="C141" s="8" t="str">
        <x:v>Atlas finance lease</x:v>
      </x:c>
      <x:c r="D141" s="22" t="n">
        <x:v>3</x:v>
      </x:c>
      <x:c r="E141" s="8" t="n">
        <x:v>0</x:v>
      </x:c>
      <x:c r="F141" s="23" t="n">
        <x:v>0.05</x:v>
      </x:c>
      <x:c r="G141" s="8" t="n">
        <x:v>0</x:v>
      </x:c>
      <x:c r="H141" s="8" t="n">
        <x:v>0</x:v>
      </x:c>
      <x:c r="I141" s="8" t="n">
        <x:v>0</x:v>
      </x:c>
      <x:c r="J141" s="8" t="n">
        <x:v>0</x:v>
      </x:c>
      <x:c r="K141" s="8" t="n">
        <x:v>0</x:v>
      </x:c>
      <x:c r="L141" s="8" t="n">
        <x:v>0</x:v>
      </x:c>
      <x:c r="M141" s="21" t="n">
        <x:f>E141+K141-I141-J141-L141</x:f>
        <x:v>0</x:v>
      </x:c>
    </x:row>
    <x:row r="142" ht="36" customHeight="1">
      <x:c r="A142" s="8" t="str">
        <x:v>Mixed consideration</x:v>
      </x:c>
      <x:c r="B142" s="8" t="str">
        <x:v>Moderate revenue</x:v>
      </x:c>
      <x:c r="C142" s="8" t="str">
        <x:v>Beacon notes</x:v>
      </x:c>
      <x:c r="D142" s="22" t="n">
        <x:v>3</x:v>
      </x:c>
      <x:c r="E142" s="8" t="n">
        <x:v>123.5219874980175</x:v>
      </x:c>
      <x:c r="F142" s="23" t="n">
        <x:v>0.0475</x:v>
      </x:c>
      <x:c r="G142" s="8" t="n">
        <x:v>5.867294406155831</x:v>
      </x:c>
      <x:c r="H142" s="8" t="n">
        <x:v>123.5219874980175</x:v>
      </x:c>
      <x:c r="I142" s="8" t="n">
        <x:v>123.5219874980175</x:v>
      </x:c>
      <x:c r="J142" s="8" t="n">
        <x:v>0</x:v>
      </x:c>
      <x:c r="K142" s="8" t="n">
        <x:v>0</x:v>
      </x:c>
      <x:c r="L142" s="8" t="n">
        <x:v>0</x:v>
      </x:c>
      <x:c r="M142" s="21" t="n">
        <x:f>E142+K142-I142-J142-L142</x:f>
        <x:v>0</x:v>
      </x:c>
    </x:row>
    <x:row r="143" ht="36" customHeight="1">
      <x:c r="A143" s="8" t="str">
        <x:v>Mixed consideration</x:v>
      </x:c>
      <x:c r="B143" s="8" t="str">
        <x:v>Moderate revenue</x:v>
      </x:c>
      <x:c r="C143" s="8" t="str">
        <x:v>Acquisition term</x:v>
      </x:c>
      <x:c r="D143" s="22" t="n">
        <x:v>3</x:v>
      </x:c>
      <x:c r="E143" s="8" t="n">
        <x:v>0</x:v>
      </x:c>
      <x:c r="F143" s="23" t="n">
        <x:v>0.060000000000000005</x:v>
      </x:c>
      <x:c r="G143" s="8" t="n">
        <x:v>0</x:v>
      </x:c>
      <x:c r="H143" s="8" t="n">
        <x:v>0</x:v>
      </x:c>
      <x:c r="I143" s="8" t="n">
        <x:v>0</x:v>
      </x:c>
      <x:c r="J143" s="8" t="n">
        <x:v>0</x:v>
      </x:c>
      <x:c r="K143" s="8" t="n">
        <x:v>0</x:v>
      </x:c>
      <x:c r="L143" s="8" t="n">
        <x:v>0</x:v>
      </x:c>
      <x:c r="M143" s="21" t="n">
        <x:f>E143+K143-I143-J143-L143</x:f>
        <x:v>0</x:v>
      </x:c>
    </x:row>
    <x:row r="144" ht="36" customHeight="1">
      <x:c r="A144" s="8" t="str">
        <x:v>Mixed consideration</x:v>
      </x:c>
      <x:c r="B144" s="8" t="str">
        <x:v>Moderate revenue</x:v>
      </x:c>
      <x:c r="C144" s="8" t="str">
        <x:v>Committed revolver</x:v>
      </x:c>
      <x:c r="D144" s="22" t="n">
        <x:v>3</x:v>
      </x:c>
      <x:c r="E144" s="8" t="n">
        <x:v>0</x:v>
      </x:c>
      <x:c r="F144" s="23" t="n">
        <x:v>0.0575</x:v>
      </x:c>
      <x:c r="G144" s="8" t="n">
        <x:v>0</x:v>
      </x:c>
      <x:c r="H144" s="8" t="n">
        <x:v>0</x:v>
      </x:c>
      <x:c r="I144" s="8" t="n">
        <x:v>0</x:v>
      </x:c>
      <x:c r="J144" s="8" t="n">
        <x:v>0</x:v>
      </x:c>
      <x:c r="K144" s="8" t="n">
        <x:v>0</x:v>
      </x:c>
      <x:c r="L144" s="8" t="n">
        <x:v>0</x:v>
      </x:c>
      <x:c r="M144" s="21" t="n">
        <x:f>E144+K144-I144-J144-L144</x:f>
        <x:v>0</x:v>
      </x:c>
    </x:row>
    <x:row r="145" ht="36" customHeight="1">
      <x:c r="A145" s="8" t="str">
        <x:v>Mixed consideration</x:v>
      </x:c>
      <x:c r="B145" s="8" t="str">
        <x:v>Moderate revenue</x:v>
      </x:c>
      <x:c r="C145" s="8" t="str">
        <x:v>Atlas notes</x:v>
      </x:c>
      <x:c r="D145" s="22" t="n">
        <x:v>4</x:v>
      </x:c>
      <x:c r="E145" s="8" t="n">
        <x:v>602.0379008786203</x:v>
      </x:c>
      <x:c r="F145" s="23" t="n">
        <x:v>0.038</x:v>
      </x:c>
      <x:c r="G145" s="8" t="n">
        <x:v>22.877440233387574</x:v>
      </x:c>
      <x:c r="H145" s="8" t="n">
        <x:v>602.0379008786203</x:v>
      </x:c>
      <x:c r="I145" s="8" t="n">
        <x:v>602.0379008786203</x:v>
      </x:c>
      <x:c r="J145" s="8" t="n">
        <x:v>0</x:v>
      </x:c>
      <x:c r="K145" s="8" t="n">
        <x:v>0</x:v>
      </x:c>
      <x:c r="L145" s="8" t="n">
        <x:v>0</x:v>
      </x:c>
      <x:c r="M145" s="21" t="n">
        <x:f>E145+K145-I145-J145-L145</x:f>
        <x:v>0</x:v>
      </x:c>
    </x:row>
    <x:row r="146" ht="36" customHeight="1">
      <x:c r="A146" s="8" t="str">
        <x:v>Mixed consideration</x:v>
      </x:c>
      <x:c r="B146" s="8" t="str">
        <x:v>Moderate revenue</x:v>
      </x:c>
      <x:c r="C146" s="8" t="str">
        <x:v>Atlas finance lease</x:v>
      </x:c>
      <x:c r="D146" s="22" t="n">
        <x:v>4</x:v>
      </x:c>
      <x:c r="E146" s="8" t="n">
        <x:v>0</x:v>
      </x:c>
      <x:c r="F146" s="23" t="n">
        <x:v>0.05</x:v>
      </x:c>
      <x:c r="G146" s="8" t="n">
        <x:v>0</x:v>
      </x:c>
      <x:c r="H146" s="8" t="n">
        <x:v>0</x:v>
      </x:c>
      <x:c r="I146" s="8" t="n">
        <x:v>0</x:v>
      </x:c>
      <x:c r="J146" s="8" t="n">
        <x:v>0</x:v>
      </x:c>
      <x:c r="K146" s="8" t="n">
        <x:v>0</x:v>
      </x:c>
      <x:c r="L146" s="8" t="n">
        <x:v>0</x:v>
      </x:c>
      <x:c r="M146" s="21" t="n">
        <x:f>E146+K146-I146-J146-L146</x:f>
        <x:v>0</x:v>
      </x:c>
    </x:row>
    <x:row r="147" ht="36" customHeight="1">
      <x:c r="A147" s="8" t="str">
        <x:v>Mixed consideration</x:v>
      </x:c>
      <x:c r="B147" s="8" t="str">
        <x:v>Moderate revenue</x:v>
      </x:c>
      <x:c r="C147" s="8" t="str">
        <x:v>Beacon notes</x:v>
      </x:c>
      <x:c r="D147" s="22" t="n">
        <x:v>4</x:v>
      </x:c>
      <x:c r="E147" s="8" t="n">
        <x:v>0</x:v>
      </x:c>
      <x:c r="F147" s="23" t="n">
        <x:v>0.0475</x:v>
      </x:c>
      <x:c r="G147" s="8" t="n">
        <x:v>0</x:v>
      </x:c>
      <x:c r="H147" s="8" t="n">
        <x:v>0</x:v>
      </x:c>
      <x:c r="I147" s="8" t="n">
        <x:v>0</x:v>
      </x:c>
      <x:c r="J147" s="8" t="n">
        <x:v>0</x:v>
      </x:c>
      <x:c r="K147" s="8" t="n">
        <x:v>0</x:v>
      </x:c>
      <x:c r="L147" s="8" t="n">
        <x:v>0</x:v>
      </x:c>
      <x:c r="M147" s="21" t="n">
        <x:f>E147+K147-I147-J147-L147</x:f>
        <x:v>0</x:v>
      </x:c>
    </x:row>
    <x:row r="148" ht="36" customHeight="1">
      <x:c r="A148" s="8" t="str">
        <x:v>Mixed consideration</x:v>
      </x:c>
      <x:c r="B148" s="8" t="str">
        <x:v>Moderate revenue</x:v>
      </x:c>
      <x:c r="C148" s="8" t="str">
        <x:v>Acquisition term</x:v>
      </x:c>
      <x:c r="D148" s="22" t="n">
        <x:v>4</x:v>
      </x:c>
      <x:c r="E148" s="8" t="n">
        <x:v>0</x:v>
      </x:c>
      <x:c r="F148" s="23" t="n">
        <x:v>0.060000000000000005</x:v>
      </x:c>
      <x:c r="G148" s="8" t="n">
        <x:v>0</x:v>
      </x:c>
      <x:c r="H148" s="8" t="n">
        <x:v>0</x:v>
      </x:c>
      <x:c r="I148" s="8" t="n">
        <x:v>0</x:v>
      </x:c>
      <x:c r="J148" s="8" t="n">
        <x:v>0</x:v>
      </x:c>
      <x:c r="K148" s="8" t="n">
        <x:v>0</x:v>
      </x:c>
      <x:c r="L148" s="8" t="n">
        <x:v>0</x:v>
      </x:c>
      <x:c r="M148" s="21" t="n">
        <x:f>E148+K148-I148-J148-L148</x:f>
        <x:v>0</x:v>
      </x:c>
    </x:row>
    <x:row r="149" ht="36" customHeight="1">
      <x:c r="A149" s="8" t="str">
        <x:v>Mixed consideration</x:v>
      </x:c>
      <x:c r="B149" s="8" t="str">
        <x:v>Moderate revenue</x:v>
      </x:c>
      <x:c r="C149" s="8" t="str">
        <x:v>Committed revolver</x:v>
      </x:c>
      <x:c r="D149" s="22" t="n">
        <x:v>4</x:v>
      </x:c>
      <x:c r="E149" s="8" t="n">
        <x:v>0</x:v>
      </x:c>
      <x:c r="F149" s="23" t="n">
        <x:v>0.0575</x:v>
      </x:c>
      <x:c r="G149" s="8" t="n">
        <x:v>0</x:v>
      </x:c>
      <x:c r="H149" s="8" t="n">
        <x:v>0</x:v>
      </x:c>
      <x:c r="I149" s="8" t="n">
        <x:v>0</x:v>
      </x:c>
      <x:c r="J149" s="8" t="n">
        <x:v>0</x:v>
      </x:c>
      <x:c r="K149" s="8" t="n">
        <x:v>124.01555009404547</x:v>
      </x:c>
      <x:c r="L149" s="8" t="n">
        <x:v>0</x:v>
      </x:c>
      <x:c r="M149" s="21" t="n">
        <x:f>E149+K149-I149-J149-L149</x:f>
        <x:v>124.01555009404547</x:v>
      </x:c>
    </x:row>
    <x:row r="150" ht="36" customHeight="1">
      <x:c r="A150" s="8" t="str">
        <x:v>Mixed consideration</x:v>
      </x:c>
      <x:c r="B150" s="8" t="str">
        <x:v>Moderate revenue</x:v>
      </x:c>
      <x:c r="C150" s="8" t="str">
        <x:v>Atlas notes</x:v>
      </x:c>
      <x:c r="D150" s="22" t="n">
        <x:v>5</x:v>
      </x:c>
      <x:c r="E150" s="8" t="n">
        <x:v>0</x:v>
      </x:c>
      <x:c r="F150" s="23" t="n">
        <x:v>0.038</x:v>
      </x:c>
      <x:c r="G150" s="8" t="n">
        <x:v>0</x:v>
      </x:c>
      <x:c r="H150" s="8" t="n">
        <x:v>0</x:v>
      </x:c>
      <x:c r="I150" s="8" t="n">
        <x:v>0</x:v>
      </x:c>
      <x:c r="J150" s="8" t="n">
        <x:v>0</x:v>
      </x:c>
      <x:c r="K150" s="8" t="n">
        <x:v>0</x:v>
      </x:c>
      <x:c r="L150" s="8" t="n">
        <x:v>0</x:v>
      </x:c>
      <x:c r="M150" s="21" t="n">
        <x:f>E150+K150-I150-J150-L150</x:f>
        <x:v>0</x:v>
      </x:c>
    </x:row>
    <x:row r="151" ht="36" customHeight="1">
      <x:c r="A151" s="8" t="str">
        <x:v>Mixed consideration</x:v>
      </x:c>
      <x:c r="B151" s="8" t="str">
        <x:v>Moderate revenue</x:v>
      </x:c>
      <x:c r="C151" s="8" t="str">
        <x:v>Atlas finance lease</x:v>
      </x:c>
      <x:c r="D151" s="22" t="n">
        <x:v>5</x:v>
      </x:c>
      <x:c r="E151" s="8" t="n">
        <x:v>0</x:v>
      </x:c>
      <x:c r="F151" s="23" t="n">
        <x:v>0.05</x:v>
      </x:c>
      <x:c r="G151" s="8" t="n">
        <x:v>0</x:v>
      </x:c>
      <x:c r="H151" s="8" t="n">
        <x:v>0</x:v>
      </x:c>
      <x:c r="I151" s="8" t="n">
        <x:v>0</x:v>
      </x:c>
      <x:c r="J151" s="8" t="n">
        <x:v>0</x:v>
      </x:c>
      <x:c r="K151" s="8" t="n">
        <x:v>0</x:v>
      </x:c>
      <x:c r="L151" s="8" t="n">
        <x:v>0</x:v>
      </x:c>
      <x:c r="M151" s="21" t="n">
        <x:f>E151+K151-I151-J151-L151</x:f>
        <x:v>0</x:v>
      </x:c>
    </x:row>
    <x:row r="152" ht="36" customHeight="1">
      <x:c r="A152" s="8" t="str">
        <x:v>Mixed consideration</x:v>
      </x:c>
      <x:c r="B152" s="8" t="str">
        <x:v>Moderate revenue</x:v>
      </x:c>
      <x:c r="C152" s="8" t="str">
        <x:v>Beacon notes</x:v>
      </x:c>
      <x:c r="D152" s="22" t="n">
        <x:v>5</x:v>
      </x:c>
      <x:c r="E152" s="8" t="n">
        <x:v>0</x:v>
      </x:c>
      <x:c r="F152" s="23" t="n">
        <x:v>0.0475</x:v>
      </x:c>
      <x:c r="G152" s="8" t="n">
        <x:v>0</x:v>
      </x:c>
      <x:c r="H152" s="8" t="n">
        <x:v>0</x:v>
      </x:c>
      <x:c r="I152" s="8" t="n">
        <x:v>0</x:v>
      </x:c>
      <x:c r="J152" s="8" t="n">
        <x:v>0</x:v>
      </x:c>
      <x:c r="K152" s="8" t="n">
        <x:v>0</x:v>
      </x:c>
      <x:c r="L152" s="8" t="n">
        <x:v>0</x:v>
      </x:c>
      <x:c r="M152" s="21" t="n">
        <x:f>E152+K152-I152-J152-L152</x:f>
        <x:v>0</x:v>
      </x:c>
    </x:row>
    <x:row r="153" ht="36" customHeight="1">
      <x:c r="A153" s="8" t="str">
        <x:v>Mixed consideration</x:v>
      </x:c>
      <x:c r="B153" s="8" t="str">
        <x:v>Moderate revenue</x:v>
      </x:c>
      <x:c r="C153" s="8" t="str">
        <x:v>Acquisition term</x:v>
      </x:c>
      <x:c r="D153" s="22" t="n">
        <x:v>5</x:v>
      </x:c>
      <x:c r="E153" s="8" t="n">
        <x:v>0</x:v>
      </x:c>
      <x:c r="F153" s="23" t="n">
        <x:v>0.060000000000000005</x:v>
      </x:c>
      <x:c r="G153" s="8" t="n">
        <x:v>0</x:v>
      </x:c>
      <x:c r="H153" s="8" t="n">
        <x:v>0</x:v>
      </x:c>
      <x:c r="I153" s="8" t="n">
        <x:v>0</x:v>
      </x:c>
      <x:c r="J153" s="8" t="n">
        <x:v>0</x:v>
      </x:c>
      <x:c r="K153" s="8" t="n">
        <x:v>0</x:v>
      </x:c>
      <x:c r="L153" s="8" t="n">
        <x:v>0</x:v>
      </x:c>
      <x:c r="M153" s="21" t="n">
        <x:f>E153+K153-I153-J153-L153</x:f>
        <x:v>0</x:v>
      </x:c>
    </x:row>
    <x:row r="154" ht="36" customHeight="1">
      <x:c r="A154" s="8" t="str">
        <x:v>Mixed consideration</x:v>
      </x:c>
      <x:c r="B154" s="8" t="str">
        <x:v>Moderate revenue</x:v>
      </x:c>
      <x:c r="C154" s="8" t="str">
        <x:v>Committed revolver</x:v>
      </x:c>
      <x:c r="D154" s="22" t="n">
        <x:v>5</x:v>
      </x:c>
      <x:c r="E154" s="8" t="n">
        <x:v>124.01555009404547</x:v>
      </x:c>
      <x:c r="F154" s="23" t="n">
        <x:v>0.0575</x:v>
      </x:c>
      <x:c r="G154" s="8" t="n">
        <x:v>7.130894130407615</x:v>
      </x:c>
      <x:c r="H154" s="8" t="n">
        <x:v>124.01555009404547</x:v>
      </x:c>
      <x:c r="I154" s="8" t="n">
        <x:v>124.01555009404547</x:v>
      </x:c>
      <x:c r="J154" s="8" t="n">
        <x:v>0</x:v>
      </x:c>
      <x:c r="K154" s="8" t="n">
        <x:v>0</x:v>
      </x:c>
      <x:c r="L154" s="8" t="n">
        <x:v>0</x:v>
      </x:c>
      <x:c r="M154" s="21" t="n">
        <x:f>E154+K154-I154-J154-L154</x:f>
        <x:v>0</x:v>
      </x:c>
    </x:row>
    <x:row r="155" ht="36" customHeight="1">
      <x:c r="A155" s="8" t="str">
        <x:v>Cash-first</x:v>
      </x:c>
      <x:c r="B155" s="8" t="str">
        <x:v>Moderate margin</x:v>
      </x:c>
      <x:c r="C155" s="8" t="str">
        <x:v>Atlas notes</x:v>
      </x:c>
      <x:c r="D155" s="22" t="n">
        <x:v>1</x:v>
      </x:c>
      <x:c r="E155" s="8" t="n">
        <x:v>900</x:v>
      </x:c>
      <x:c r="F155" s="23" t="n">
        <x:v>0.038</x:v>
      </x:c>
      <x:c r="G155" s="8" t="n">
        <x:v>34.199999999999996</x:v>
      </x:c>
      <x:c r="H155" s="8" t="n">
        <x:v>0</x:v>
      </x:c>
      <x:c r="I155" s="8" t="n">
        <x:v>0</x:v>
      </x:c>
      <x:c r="J155" s="8" t="n">
        <x:v>0</x:v>
      </x:c>
      <x:c r="K155" s="8" t="n">
        <x:v>0</x:v>
      </x:c>
      <x:c r="L155" s="8" t="n">
        <x:v>0</x:v>
      </x:c>
      <x:c r="M155" s="21" t="n">
        <x:f>E155+K155-I155-J155-L155</x:f>
        <x:v>900</x:v>
      </x:c>
    </x:row>
    <x:row r="156" ht="36" customHeight="1">
      <x:c r="A156" s="8" t="str">
        <x:v>Cash-first</x:v>
      </x:c>
      <x:c r="B156" s="8" t="str">
        <x:v>Moderate margin</x:v>
      </x:c>
      <x:c r="C156" s="8" t="str">
        <x:v>Atlas finance lease</x:v>
      </x:c>
      <x:c r="D156" s="22" t="n">
        <x:v>1</x:v>
      </x:c>
      <x:c r="E156" s="8" t="n">
        <x:v>80</x:v>
      </x:c>
      <x:c r="F156" s="23" t="n">
        <x:v>0.05</x:v>
      </x:c>
      <x:c r="G156" s="8" t="n">
        <x:v>4</x:v>
      </x:c>
      <x:c r="H156" s="8" t="n">
        <x:v>16</x:v>
      </x:c>
      <x:c r="I156" s="8" t="n">
        <x:v>16</x:v>
      </x:c>
      <x:c r="J156" s="8" t="n">
        <x:v>0</x:v>
      </x:c>
      <x:c r="K156" s="8" t="n">
        <x:v>0</x:v>
      </x:c>
      <x:c r="L156" s="8" t="n">
        <x:v>0</x:v>
      </x:c>
      <x:c r="M156" s="21" t="n">
        <x:f>E156+K156-I156-J156-L156</x:f>
        <x:v>64</x:v>
      </x:c>
    </x:row>
    <x:row r="157" ht="36" customHeight="1">
      <x:c r="A157" s="8" t="str">
        <x:v>Cash-first</x:v>
      </x:c>
      <x:c r="B157" s="8" t="str">
        <x:v>Moderate margin</x:v>
      </x:c>
      <x:c r="C157" s="8" t="str">
        <x:v>Beacon notes</x:v>
      </x:c>
      <x:c r="D157" s="22" t="n">
        <x:v>1</x:v>
      </x:c>
      <x:c r="E157" s="8" t="n">
        <x:v>350</x:v>
      </x:c>
      <x:c r="F157" s="23" t="n">
        <x:v>0.0475</x:v>
      </x:c>
      <x:c r="G157" s="8" t="n">
        <x:v>16.625</x:v>
      </x:c>
      <x:c r="H157" s="8" t="n">
        <x:v>0</x:v>
      </x:c>
      <x:c r="I157" s="8" t="n">
        <x:v>0</x:v>
      </x:c>
      <x:c r="J157" s="8" t="n">
        <x:v>0</x:v>
      </x:c>
      <x:c r="K157" s="8" t="n">
        <x:v>0</x:v>
      </x:c>
      <x:c r="L157" s="8" t="n">
        <x:v>0</x:v>
      </x:c>
      <x:c r="M157" s="21" t="n">
        <x:f>E157+K157-I157-J157-L157</x:f>
        <x:v>350</x:v>
      </x:c>
    </x:row>
    <x:row r="158" ht="36" customHeight="1">
      <x:c r="A158" s="8" t="str">
        <x:v>Cash-first</x:v>
      </x:c>
      <x:c r="B158" s="8" t="str">
        <x:v>Moderate margin</x:v>
      </x:c>
      <x:c r="C158" s="8" t="str">
        <x:v>Acquisition term</x:v>
      </x:c>
      <x:c r="D158" s="22" t="n">
        <x:v>1</x:v>
      </x:c>
      <x:c r="E158" s="8" t="n">
        <x:v>1340.1015228426397</x:v>
      </x:c>
      <x:c r="F158" s="23" t="n">
        <x:v>0.065</x:v>
      </x:c>
      <x:c r="G158" s="8" t="n">
        <x:v>87.10659898477158</x:v>
      </x:c>
      <x:c r="H158" s="8" t="n">
        <x:v>26.802030456852794</x:v>
      </x:c>
      <x:c r="I158" s="8" t="n">
        <x:v>26.802030456852794</x:v>
      </x:c>
      <x:c r="J158" s="8" t="n">
        <x:v>116.41930455114277</x:v>
      </x:c>
      <x:c r="K158" s="8" t="n">
        <x:v>0</x:v>
      </x:c>
      <x:c r="L158" s="8" t="n">
        <x:v>0</x:v>
      </x:c>
      <x:c r="M158" s="21" t="n">
        <x:f>E158+K158-I158-J158-L158</x:f>
        <x:v>1196.880187834644</x:v>
      </x:c>
    </x:row>
    <x:row r="159" ht="36" customHeight="1">
      <x:c r="A159" s="8" t="str">
        <x:v>Cash-first</x:v>
      </x:c>
      <x:c r="B159" s="8" t="str">
        <x:v>Moderate margin</x:v>
      </x:c>
      <x:c r="C159" s="8" t="str">
        <x:v>Committed revolver</x:v>
      </x:c>
      <x:c r="D159" s="22" t="n">
        <x:v>1</x:v>
      </x:c>
      <x:c r="E159" s="8" t="n">
        <x:v>0</x:v>
      </x:c>
      <x:c r="F159" s="23" t="n">
        <x:v>0.0625</x:v>
      </x:c>
      <x:c r="G159" s="8" t="n">
        <x:v>0</x:v>
      </x:c>
      <x:c r="H159" s="8" t="n">
        <x:v>0</x:v>
      </x:c>
      <x:c r="I159" s="8" t="n">
        <x:v>0</x:v>
      </x:c>
      <x:c r="J159" s="8" t="n">
        <x:v>0</x:v>
      </x:c>
      <x:c r="K159" s="8" t="n">
        <x:v>0</x:v>
      </x:c>
      <x:c r="L159" s="8" t="n">
        <x:v>0</x:v>
      </x:c>
      <x:c r="M159" s="21" t="n">
        <x:f>E159+K159-I159-J159-L159</x:f>
        <x:v>0</x:v>
      </x:c>
    </x:row>
    <x:row r="160" ht="36" customHeight="1">
      <x:c r="A160" s="8" t="str">
        <x:v>Cash-first</x:v>
      </x:c>
      <x:c r="B160" s="8" t="str">
        <x:v>Moderate margin</x:v>
      </x:c>
      <x:c r="C160" s="8" t="str">
        <x:v>Atlas notes</x:v>
      </x:c>
      <x:c r="D160" s="22" t="n">
        <x:v>2</x:v>
      </x:c>
      <x:c r="E160" s="8" t="n">
        <x:v>900</x:v>
      </x:c>
      <x:c r="F160" s="23" t="n">
        <x:v>0.038</x:v>
      </x:c>
      <x:c r="G160" s="8" t="n">
        <x:v>34.199999999999996</x:v>
      </x:c>
      <x:c r="H160" s="8" t="n">
        <x:v>0</x:v>
      </x:c>
      <x:c r="I160" s="8" t="n">
        <x:v>0</x:v>
      </x:c>
      <x:c r="J160" s="8" t="n">
        <x:v>0</x:v>
      </x:c>
      <x:c r="K160" s="8" t="n">
        <x:v>0</x:v>
      </x:c>
      <x:c r="L160" s="8" t="n">
        <x:v>0</x:v>
      </x:c>
      <x:c r="M160" s="21" t="n">
        <x:f>E160+K160-I160-J160-L160</x:f>
        <x:v>900</x:v>
      </x:c>
    </x:row>
    <x:row r="161" ht="36" customHeight="1">
      <x:c r="A161" s="8" t="str">
        <x:v>Cash-first</x:v>
      </x:c>
      <x:c r="B161" s="8" t="str">
        <x:v>Moderate margin</x:v>
      </x:c>
      <x:c r="C161" s="8" t="str">
        <x:v>Atlas finance lease</x:v>
      </x:c>
      <x:c r="D161" s="22" t="n">
        <x:v>2</x:v>
      </x:c>
      <x:c r="E161" s="8" t="n">
        <x:v>64</x:v>
      </x:c>
      <x:c r="F161" s="23" t="n">
        <x:v>0.05</x:v>
      </x:c>
      <x:c r="G161" s="8" t="n">
        <x:v>3.2</x:v>
      </x:c>
      <x:c r="H161" s="8" t="n">
        <x:v>16</x:v>
      </x:c>
      <x:c r="I161" s="8" t="n">
        <x:v>16</x:v>
      </x:c>
      <x:c r="J161" s="8" t="n">
        <x:v>0</x:v>
      </x:c>
      <x:c r="K161" s="8" t="n">
        <x:v>0</x:v>
      </x:c>
      <x:c r="L161" s="8" t="n">
        <x:v>0</x:v>
      </x:c>
      <x:c r="M161" s="21" t="n">
        <x:f>E161+K161-I161-J161-L161</x:f>
        <x:v>48</x:v>
      </x:c>
    </x:row>
    <x:row r="162" ht="36" customHeight="1">
      <x:c r="A162" s="8" t="str">
        <x:v>Cash-first</x:v>
      </x:c>
      <x:c r="B162" s="8" t="str">
        <x:v>Moderate margin</x:v>
      </x:c>
      <x:c r="C162" s="8" t="str">
        <x:v>Beacon notes</x:v>
      </x:c>
      <x:c r="D162" s="22" t="n">
        <x:v>2</x:v>
      </x:c>
      <x:c r="E162" s="8" t="n">
        <x:v>350</x:v>
      </x:c>
      <x:c r="F162" s="23" t="n">
        <x:v>0.0475</x:v>
      </x:c>
      <x:c r="G162" s="8" t="n">
        <x:v>16.625</x:v>
      </x:c>
      <x:c r="H162" s="8" t="n">
        <x:v>0</x:v>
      </x:c>
      <x:c r="I162" s="8" t="n">
        <x:v>0</x:v>
      </x:c>
      <x:c r="J162" s="8" t="n">
        <x:v>0</x:v>
      </x:c>
      <x:c r="K162" s="8" t="n">
        <x:v>0</x:v>
      </x:c>
      <x:c r="L162" s="8" t="n">
        <x:v>0</x:v>
      </x:c>
      <x:c r="M162" s="21" t="n">
        <x:f>E162+K162-I162-J162-L162</x:f>
        <x:v>350</x:v>
      </x:c>
    </x:row>
    <x:row r="163" ht="36" customHeight="1">
      <x:c r="A163" s="8" t="str">
        <x:v>Cash-first</x:v>
      </x:c>
      <x:c r="B163" s="8" t="str">
        <x:v>Moderate margin</x:v>
      </x:c>
      <x:c r="C163" s="8" t="str">
        <x:v>Acquisition term</x:v>
      </x:c>
      <x:c r="D163" s="22" t="n">
        <x:v>2</x:v>
      </x:c>
      <x:c r="E163" s="8" t="n">
        <x:v>1196.880187834644</x:v>
      </x:c>
      <x:c r="F163" s="23" t="n">
        <x:v>0.0625</x:v>
      </x:c>
      <x:c r="G163" s="8" t="n">
        <x:v>74.80501173966525</x:v>
      </x:c>
      <x:c r="H163" s="8" t="n">
        <x:v>26.802030456852794</x:v>
      </x:c>
      <x:c r="I163" s="8" t="n">
        <x:v>26.802030456852794</x:v>
      </x:c>
      <x:c r="J163" s="8" t="n">
        <x:v>214.00542392332898</x:v>
      </x:c>
      <x:c r="K163" s="8" t="n">
        <x:v>0</x:v>
      </x:c>
      <x:c r="L163" s="8" t="n">
        <x:v>0</x:v>
      </x:c>
      <x:c r="M163" s="21" t="n">
        <x:f>E163+K163-I163-J163-L163</x:f>
        <x:v>956.0727334544621</x:v>
      </x:c>
    </x:row>
    <x:row r="164" ht="36" customHeight="1">
      <x:c r="A164" s="8" t="str">
        <x:v>Cash-first</x:v>
      </x:c>
      <x:c r="B164" s="8" t="str">
        <x:v>Moderate margin</x:v>
      </x:c>
      <x:c r="C164" s="8" t="str">
        <x:v>Committed revolver</x:v>
      </x:c>
      <x:c r="D164" s="22" t="n">
        <x:v>2</x:v>
      </x:c>
      <x:c r="E164" s="8" t="n">
        <x:v>0</x:v>
      </x:c>
      <x:c r="F164" s="23" t="n">
        <x:v>0.06</x:v>
      </x:c>
      <x:c r="G164" s="8" t="n">
        <x:v>0</x:v>
      </x:c>
      <x:c r="H164" s="8" t="n">
        <x:v>0</x:v>
      </x:c>
      <x:c r="I164" s="8" t="n">
        <x:v>0</x:v>
      </x:c>
      <x:c r="J164" s="8" t="n">
        <x:v>0</x:v>
      </x:c>
      <x:c r="K164" s="8" t="n">
        <x:v>0</x:v>
      </x:c>
      <x:c r="L164" s="8" t="n">
        <x:v>0</x:v>
      </x:c>
      <x:c r="M164" s="21" t="n">
        <x:f>E164+K164-I164-J164-L164</x:f>
        <x:v>0</x:v>
      </x:c>
    </x:row>
    <x:row r="165" ht="36" customHeight="1">
      <x:c r="A165" s="8" t="str">
        <x:v>Cash-first</x:v>
      </x:c>
      <x:c r="B165" s="8" t="str">
        <x:v>Moderate margin</x:v>
      </x:c>
      <x:c r="C165" s="8" t="str">
        <x:v>Atlas notes</x:v>
      </x:c>
      <x:c r="D165" s="22" t="n">
        <x:v>3</x:v>
      </x:c>
      <x:c r="E165" s="8" t="n">
        <x:v>900</x:v>
      </x:c>
      <x:c r="F165" s="23" t="n">
        <x:v>0.038</x:v>
      </x:c>
      <x:c r="G165" s="8" t="n">
        <x:v>34.199999999999996</x:v>
      </x:c>
      <x:c r="H165" s="8" t="n">
        <x:v>0</x:v>
      </x:c>
      <x:c r="I165" s="8" t="n">
        <x:v>0</x:v>
      </x:c>
      <x:c r="J165" s="8" t="n">
        <x:v>0</x:v>
      </x:c>
      <x:c r="K165" s="8" t="n">
        <x:v>0</x:v>
      </x:c>
      <x:c r="L165" s="8" t="n">
        <x:v>0</x:v>
      </x:c>
      <x:c r="M165" s="21" t="n">
        <x:f>E165+K165-I165-J165-L165</x:f>
        <x:v>900</x:v>
      </x:c>
    </x:row>
    <x:row r="166" ht="36" customHeight="1">
      <x:c r="A166" s="8" t="str">
        <x:v>Cash-first</x:v>
      </x:c>
      <x:c r="B166" s="8" t="str">
        <x:v>Moderate margin</x:v>
      </x:c>
      <x:c r="C166" s="8" t="str">
        <x:v>Atlas finance lease</x:v>
      </x:c>
      <x:c r="D166" s="22" t="n">
        <x:v>3</x:v>
      </x:c>
      <x:c r="E166" s="8" t="n">
        <x:v>48</x:v>
      </x:c>
      <x:c r="F166" s="23" t="n">
        <x:v>0.05</x:v>
      </x:c>
      <x:c r="G166" s="8" t="n">
        <x:v>2.4000000000000004</x:v>
      </x:c>
      <x:c r="H166" s="8" t="n">
        <x:v>16</x:v>
      </x:c>
      <x:c r="I166" s="8" t="n">
        <x:v>16</x:v>
      </x:c>
      <x:c r="J166" s="8" t="n">
        <x:v>0</x:v>
      </x:c>
      <x:c r="K166" s="8" t="n">
        <x:v>0</x:v>
      </x:c>
      <x:c r="L166" s="8" t="n">
        <x:v>0</x:v>
      </x:c>
      <x:c r="M166" s="21" t="n">
        <x:f>E166+K166-I166-J166-L166</x:f>
        <x:v>32</x:v>
      </x:c>
    </x:row>
    <x:row r="167" ht="36" customHeight="1">
      <x:c r="A167" s="8" t="str">
        <x:v>Cash-first</x:v>
      </x:c>
      <x:c r="B167" s="8" t="str">
        <x:v>Moderate margin</x:v>
      </x:c>
      <x:c r="C167" s="8" t="str">
        <x:v>Beacon notes</x:v>
      </x:c>
      <x:c r="D167" s="22" t="n">
        <x:v>3</x:v>
      </x:c>
      <x:c r="E167" s="8" t="n">
        <x:v>350</x:v>
      </x:c>
      <x:c r="F167" s="23" t="n">
        <x:v>0.0475</x:v>
      </x:c>
      <x:c r="G167" s="8" t="n">
        <x:v>16.625</x:v>
      </x:c>
      <x:c r="H167" s="8" t="n">
        <x:v>350</x:v>
      </x:c>
      <x:c r="I167" s="8" t="n">
        <x:v>350</x:v>
      </x:c>
      <x:c r="J167" s="8" t="n">
        <x:v>0</x:v>
      </x:c>
      <x:c r="K167" s="8" t="n">
        <x:v>0</x:v>
      </x:c>
      <x:c r="L167" s="8" t="n">
        <x:v>0</x:v>
      </x:c>
      <x:c r="M167" s="21" t="n">
        <x:f>E167+K167-I167-J167-L167</x:f>
        <x:v>0</x:v>
      </x:c>
    </x:row>
    <x:row r="168" ht="36" customHeight="1">
      <x:c r="A168" s="8" t="str">
        <x:v>Cash-first</x:v>
      </x:c>
      <x:c r="B168" s="8" t="str">
        <x:v>Moderate margin</x:v>
      </x:c>
      <x:c r="C168" s="8" t="str">
        <x:v>Acquisition term</x:v>
      </x:c>
      <x:c r="D168" s="22" t="n">
        <x:v>3</x:v>
      </x:c>
      <x:c r="E168" s="8" t="n">
        <x:v>956.0727334544621</x:v>
      </x:c>
      <x:c r="F168" s="23" t="n">
        <x:v>0.060000000000000005</x:v>
      </x:c>
      <x:c r="G168" s="8" t="n">
        <x:v>57.36436400726773</x:v>
      </x:c>
      <x:c r="H168" s="8" t="n">
        <x:v>26.802030456852794</x:v>
      </x:c>
      <x:c r="I168" s="8" t="n">
        <x:v>26.802030456852794</x:v>
      </x:c>
      <x:c r="J168" s="8" t="n">
        <x:v>0</x:v>
      </x:c>
      <x:c r="K168" s="8" t="n">
        <x:v>0</x:v>
      </x:c>
      <x:c r="L168" s="8" t="n">
        <x:v>0</x:v>
      </x:c>
      <x:c r="M168" s="21" t="n">
        <x:f>E168+K168-I168-J168-L168</x:f>
        <x:v>929.2707029976093</x:v>
      </x:c>
    </x:row>
    <x:row r="169" ht="36" customHeight="1">
      <x:c r="A169" s="8" t="str">
        <x:v>Cash-first</x:v>
      </x:c>
      <x:c r="B169" s="8" t="str">
        <x:v>Moderate margin</x:v>
      </x:c>
      <x:c r="C169" s="8" t="str">
        <x:v>Committed revolver</x:v>
      </x:c>
      <x:c r="D169" s="22" t="n">
        <x:v>3</x:v>
      </x:c>
      <x:c r="E169" s="8" t="n">
        <x:v>0</x:v>
      </x:c>
      <x:c r="F169" s="23" t="n">
        <x:v>0.0575</x:v>
      </x:c>
      <x:c r="G169" s="8" t="n">
        <x:v>0</x:v>
      </x:c>
      <x:c r="H169" s="8" t="n">
        <x:v>0</x:v>
      </x:c>
      <x:c r="I169" s="8" t="n">
        <x:v>0</x:v>
      </x:c>
      <x:c r="J169" s="8" t="n">
        <x:v>0</x:v>
      </x:c>
      <x:c r="K169" s="8" t="n">
        <x:v>29.551861197749986</x:v>
      </x:c>
      <x:c r="L169" s="8" t="n">
        <x:v>0</x:v>
      </x:c>
      <x:c r="M169" s="21" t="n">
        <x:f>E169+K169-I169-J169-L169</x:f>
        <x:v>29.551861197749986</x:v>
      </x:c>
    </x:row>
    <x:row r="170" ht="36" customHeight="1">
      <x:c r="A170" s="8" t="str">
        <x:v>Cash-first</x:v>
      </x:c>
      <x:c r="B170" s="8" t="str">
        <x:v>Moderate margin</x:v>
      </x:c>
      <x:c r="C170" s="8" t="str">
        <x:v>Atlas notes</x:v>
      </x:c>
      <x:c r="D170" s="22" t="n">
        <x:v>4</x:v>
      </x:c>
      <x:c r="E170" s="8" t="n">
        <x:v>900</x:v>
      </x:c>
      <x:c r="F170" s="23" t="n">
        <x:v>0.038</x:v>
      </x:c>
      <x:c r="G170" s="8" t="n">
        <x:v>34.199999999999996</x:v>
      </x:c>
      <x:c r="H170" s="8" t="n">
        <x:v>900</x:v>
      </x:c>
      <x:c r="I170" s="8" t="n">
        <x:v>900</x:v>
      </x:c>
      <x:c r="J170" s="8" t="n">
        <x:v>0</x:v>
      </x:c>
      <x:c r="K170" s="8" t="n">
        <x:v>0</x:v>
      </x:c>
      <x:c r="L170" s="8" t="n">
        <x:v>0</x:v>
      </x:c>
      <x:c r="M170" s="21" t="n">
        <x:f>E170+K170-I170-J170-L170</x:f>
        <x:v>0</x:v>
      </x:c>
    </x:row>
    <x:row r="171" ht="36" customHeight="1">
      <x:c r="A171" s="8" t="str">
        <x:v>Cash-first</x:v>
      </x:c>
      <x:c r="B171" s="8" t="str">
        <x:v>Moderate margin</x:v>
      </x:c>
      <x:c r="C171" s="8" t="str">
        <x:v>Atlas finance lease</x:v>
      </x:c>
      <x:c r="D171" s="22" t="n">
        <x:v>4</x:v>
      </x:c>
      <x:c r="E171" s="8" t="n">
        <x:v>32</x:v>
      </x:c>
      <x:c r="F171" s="23" t="n">
        <x:v>0.05</x:v>
      </x:c>
      <x:c r="G171" s="8" t="n">
        <x:v>1.6</x:v>
      </x:c>
      <x:c r="H171" s="8" t="n">
        <x:v>16</x:v>
      </x:c>
      <x:c r="I171" s="8" t="n">
        <x:v>16</x:v>
      </x:c>
      <x:c r="J171" s="8" t="n">
        <x:v>0</x:v>
      </x:c>
      <x:c r="K171" s="8" t="n">
        <x:v>0</x:v>
      </x:c>
      <x:c r="L171" s="8" t="n">
        <x:v>0</x:v>
      </x:c>
      <x:c r="M171" s="21" t="n">
        <x:f>E171+K171-I171-J171-L171</x:f>
        <x:v>16</x:v>
      </x:c>
    </x:row>
    <x:row r="172" ht="36" customHeight="1">
      <x:c r="A172" s="8" t="str">
        <x:v>Cash-first</x:v>
      </x:c>
      <x:c r="B172" s="8" t="str">
        <x:v>Moderate margin</x:v>
      </x:c>
      <x:c r="C172" s="8" t="str">
        <x:v>Beacon notes</x:v>
      </x:c>
      <x:c r="D172" s="22" t="n">
        <x:v>4</x:v>
      </x:c>
      <x:c r="E172" s="8" t="n">
        <x:v>0</x:v>
      </x:c>
      <x:c r="F172" s="23" t="n">
        <x:v>0.0475</x:v>
      </x:c>
      <x:c r="G172" s="8" t="n">
        <x:v>0</x:v>
      </x:c>
      <x:c r="H172" s="8" t="n">
        <x:v>0</x:v>
      </x:c>
      <x:c r="I172" s="8" t="n">
        <x:v>0</x:v>
      </x:c>
      <x:c r="J172" s="8" t="n">
        <x:v>0</x:v>
      </x:c>
      <x:c r="K172" s="8" t="n">
        <x:v>0</x:v>
      </x:c>
      <x:c r="L172" s="8" t="n">
        <x:v>0</x:v>
      </x:c>
      <x:c r="M172" s="21" t="n">
        <x:f>E172+K172-I172-J172-L172</x:f>
        <x:v>0</x:v>
      </x:c>
    </x:row>
    <x:row r="173" ht="36" customHeight="1">
      <x:c r="A173" s="8" t="str">
        <x:v>Cash-first</x:v>
      </x:c>
      <x:c r="B173" s="8" t="str">
        <x:v>Moderate margin</x:v>
      </x:c>
      <x:c r="C173" s="8" t="str">
        <x:v>Acquisition term</x:v>
      </x:c>
      <x:c r="D173" s="22" t="n">
        <x:v>4</x:v>
      </x:c>
      <x:c r="E173" s="8" t="n">
        <x:v>929.2707029976093</x:v>
      </x:c>
      <x:c r="F173" s="23" t="n">
        <x:v>0.060000000000000005</x:v>
      </x:c>
      <x:c r="G173" s="8" t="n">
        <x:v>55.756242179856564</x:v>
      </x:c>
      <x:c r="H173" s="8" t="n">
        <x:v>26.802030456852794</x:v>
      </x:c>
      <x:c r="I173" s="8" t="n">
        <x:v>26.802030456852794</x:v>
      </x:c>
      <x:c r="J173" s="8" t="n">
        <x:v>0</x:v>
      </x:c>
      <x:c r="K173" s="8" t="n">
        <x:v>0</x:v>
      </x:c>
      <x:c r="L173" s="8" t="n">
        <x:v>0</x:v>
      </x:c>
      <x:c r="M173" s="21" t="n">
        <x:f>E173+K173-I173-J173-L173</x:f>
        <x:v>902.4686725407565</x:v>
      </x:c>
    </x:row>
    <x:row r="174" ht="36" customHeight="1">
      <x:c r="A174" s="8" t="str">
        <x:v>Cash-first</x:v>
      </x:c>
      <x:c r="B174" s="8" t="str">
        <x:v>Moderate margin</x:v>
      </x:c>
      <x:c r="C174" s="8" t="str">
        <x:v>Committed revolver</x:v>
      </x:c>
      <x:c r="D174" s="22" t="n">
        <x:v>4</x:v>
      </x:c>
      <x:c r="E174" s="8" t="n">
        <x:v>29.551861197749986</x:v>
      </x:c>
      <x:c r="F174" s="23" t="n">
        <x:v>0.0575</x:v>
      </x:c>
      <x:c r="G174" s="8" t="n">
        <x:v>1.6992320188706243</x:v>
      </x:c>
      <x:c r="H174" s="8" t="n">
        <x:v>0</x:v>
      </x:c>
      <x:c r="I174" s="8" t="n">
        <x:v>0</x:v>
      </x:c>
      <x:c r="J174" s="8" t="n">
        <x:v>0</x:v>
      </x:c>
      <x:c r="K174" s="8" t="n">
        <x:v>523.0391294347312</x:v>
      </x:c>
      <x:c r="L174" s="8" t="n">
        <x:v>0</x:v>
      </x:c>
      <x:c r="M174" s="21" t="n">
        <x:f>E174+K174-I174-J174-L174</x:f>
        <x:v>552.5909906324812</x:v>
      </x:c>
    </x:row>
    <x:row r="175" ht="36" customHeight="1">
      <x:c r="A175" s="8" t="str">
        <x:v>Cash-first</x:v>
      </x:c>
      <x:c r="B175" s="8" t="str">
        <x:v>Moderate margin</x:v>
      </x:c>
      <x:c r="C175" s="8" t="str">
        <x:v>Atlas notes</x:v>
      </x:c>
      <x:c r="D175" s="22" t="n">
        <x:v>5</x:v>
      </x:c>
      <x:c r="E175" s="8" t="n">
        <x:v>0</x:v>
      </x:c>
      <x:c r="F175" s="23" t="n">
        <x:v>0.038</x:v>
      </x:c>
      <x:c r="G175" s="8" t="n">
        <x:v>0</x:v>
      </x:c>
      <x:c r="H175" s="8" t="n">
        <x:v>0</x:v>
      </x:c>
      <x:c r="I175" s="8" t="n">
        <x:v>0</x:v>
      </x:c>
      <x:c r="J175" s="8" t="n">
        <x:v>0</x:v>
      </x:c>
      <x:c r="K175" s="8" t="n">
        <x:v>0</x:v>
      </x:c>
      <x:c r="L175" s="8" t="n">
        <x:v>0</x:v>
      </x:c>
      <x:c r="M175" s="21" t="n">
        <x:f>E175+K175-I175-J175-L175</x:f>
        <x:v>0</x:v>
      </x:c>
    </x:row>
    <x:row r="176" ht="36" customHeight="1">
      <x:c r="A176" s="8" t="str">
        <x:v>Cash-first</x:v>
      </x:c>
      <x:c r="B176" s="8" t="str">
        <x:v>Moderate margin</x:v>
      </x:c>
      <x:c r="C176" s="8" t="str">
        <x:v>Atlas finance lease</x:v>
      </x:c>
      <x:c r="D176" s="22" t="n">
        <x:v>5</x:v>
      </x:c>
      <x:c r="E176" s="8" t="n">
        <x:v>16</x:v>
      </x:c>
      <x:c r="F176" s="23" t="n">
        <x:v>0.05</x:v>
      </x:c>
      <x:c r="G176" s="8" t="n">
        <x:v>0.8</x:v>
      </x:c>
      <x:c r="H176" s="8" t="n">
        <x:v>16</x:v>
      </x:c>
      <x:c r="I176" s="8" t="n">
        <x:v>16</x:v>
      </x:c>
      <x:c r="J176" s="8" t="n">
        <x:v>0</x:v>
      </x:c>
      <x:c r="K176" s="8" t="n">
        <x:v>0</x:v>
      </x:c>
      <x:c r="L176" s="8" t="n">
        <x:v>0</x:v>
      </x:c>
      <x:c r="M176" s="21" t="n">
        <x:f>E176+K176-I176-J176-L176</x:f>
        <x:v>0</x:v>
      </x:c>
    </x:row>
    <x:row r="177" ht="36" customHeight="1">
      <x:c r="A177" s="8" t="str">
        <x:v>Cash-first</x:v>
      </x:c>
      <x:c r="B177" s="8" t="str">
        <x:v>Moderate margin</x:v>
      </x:c>
      <x:c r="C177" s="8" t="str">
        <x:v>Beacon notes</x:v>
      </x:c>
      <x:c r="D177" s="22" t="n">
        <x:v>5</x:v>
      </x:c>
      <x:c r="E177" s="8" t="n">
        <x:v>0</x:v>
      </x:c>
      <x:c r="F177" s="23" t="n">
        <x:v>0.0475</x:v>
      </x:c>
      <x:c r="G177" s="8" t="n">
        <x:v>0</x:v>
      </x:c>
      <x:c r="H177" s="8" t="n">
        <x:v>0</x:v>
      </x:c>
      <x:c r="I177" s="8" t="n">
        <x:v>0</x:v>
      </x:c>
      <x:c r="J177" s="8" t="n">
        <x:v>0</x:v>
      </x:c>
      <x:c r="K177" s="8" t="n">
        <x:v>0</x:v>
      </x:c>
      <x:c r="L177" s="8" t="n">
        <x:v>0</x:v>
      </x:c>
      <x:c r="M177" s="21" t="n">
        <x:f>E177+K177-I177-J177-L177</x:f>
        <x:v>0</x:v>
      </x:c>
    </x:row>
    <x:row r="178" ht="36" customHeight="1">
      <x:c r="A178" s="8" t="str">
        <x:v>Cash-first</x:v>
      </x:c>
      <x:c r="B178" s="8" t="str">
        <x:v>Moderate margin</x:v>
      </x:c>
      <x:c r="C178" s="8" t="str">
        <x:v>Acquisition term</x:v>
      </x:c>
      <x:c r="D178" s="22" t="n">
        <x:v>5</x:v>
      </x:c>
      <x:c r="E178" s="8" t="n">
        <x:v>902.4686725407565</x:v>
      </x:c>
      <x:c r="F178" s="23" t="n">
        <x:v>0.060000000000000005</x:v>
      </x:c>
      <x:c r="G178" s="8" t="n">
        <x:v>54.148120352445396</x:v>
      </x:c>
      <x:c r="H178" s="8" t="n">
        <x:v>902.4686725407565</x:v>
      </x:c>
      <x:c r="I178" s="8" t="n">
        <x:v>902.4686725407565</x:v>
      </x:c>
      <x:c r="J178" s="8" t="n">
        <x:v>0</x:v>
      </x:c>
      <x:c r="K178" s="8" t="n">
        <x:v>0</x:v>
      </x:c>
      <x:c r="L178" s="8" t="n">
        <x:v>0</x:v>
      </x:c>
      <x:c r="M178" s="21" t="n">
        <x:f>E178+K178-I178-J178-L178</x:f>
        <x:v>0</x:v>
      </x:c>
    </x:row>
    <x:row r="179" ht="36" customHeight="1">
      <x:c r="A179" s="8" t="str">
        <x:v>Cash-first</x:v>
      </x:c>
      <x:c r="B179" s="8" t="str">
        <x:v>Moderate margin</x:v>
      </x:c>
      <x:c r="C179" s="8" t="str">
        <x:v>Committed revolver</x:v>
      </x:c>
      <x:c r="D179" s="22" t="n">
        <x:v>5</x:v>
      </x:c>
      <x:c r="E179" s="8" t="n">
        <x:v>552.5909906324812</x:v>
      </x:c>
      <x:c r="F179" s="23" t="n">
        <x:v>0.0575</x:v>
      </x:c>
      <x:c r="G179" s="8" t="n">
        <x:v>31.77398196136767</x:v>
      </x:c>
      <x:c r="H179" s="8" t="n">
        <x:v>552.5909906324812</x:v>
      </x:c>
      <x:c r="I179" s="8" t="n">
        <x:v>280.47902985382905</x:v>
      </x:c>
      <x:c r="J179" s="8" t="n">
        <x:v>0</x:v>
      </x:c>
      <x:c r="K179" s="8" t="n">
        <x:v>0</x:v>
      </x:c>
      <x:c r="L179" s="8" t="n">
        <x:v>0</x:v>
      </x:c>
      <x:c r="M179" s="21" t="n">
        <x:f>E179+K179-I179-J179-L179</x:f>
        <x:v>272.11196077865213</x:v>
      </x:c>
    </x:row>
    <x:row r="180" ht="36" customHeight="1">
      <x:c r="A180" s="8" t="str">
        <x:v>Liquidity-first</x:v>
      </x:c>
      <x:c r="B180" s="8" t="str">
        <x:v>Moderate margin</x:v>
      </x:c>
      <x:c r="C180" s="8" t="str">
        <x:v>Atlas notes</x:v>
      </x:c>
      <x:c r="D180" s="22" t="n">
        <x:v>1</x:v>
      </x:c>
      <x:c r="E180" s="8" t="n">
        <x:v>900</x:v>
      </x:c>
      <x:c r="F180" s="23" t="n">
        <x:v>0.038</x:v>
      </x:c>
      <x:c r="G180" s="8" t="n">
        <x:v>34.199999999999996</x:v>
      </x:c>
      <x:c r="H180" s="8" t="n">
        <x:v>0</x:v>
      </x:c>
      <x:c r="I180" s="8" t="n">
        <x:v>0</x:v>
      </x:c>
      <x:c r="J180" s="8" t="n">
        <x:v>0</x:v>
      </x:c>
      <x:c r="K180" s="8" t="n">
        <x:v>0</x:v>
      </x:c>
      <x:c r="L180" s="8" t="n">
        <x:v>0</x:v>
      </x:c>
      <x:c r="M180" s="21" t="n">
        <x:f>E180+K180-I180-J180-L180</x:f>
        <x:v>900</x:v>
      </x:c>
    </x:row>
    <x:row r="181" ht="36" customHeight="1">
      <x:c r="A181" s="8" t="str">
        <x:v>Liquidity-first</x:v>
      </x:c>
      <x:c r="B181" s="8" t="str">
        <x:v>Moderate margin</x:v>
      </x:c>
      <x:c r="C181" s="8" t="str">
        <x:v>Atlas finance lease</x:v>
      </x:c>
      <x:c r="D181" s="22" t="n">
        <x:v>1</x:v>
      </x:c>
      <x:c r="E181" s="8" t="n">
        <x:v>80</x:v>
      </x:c>
      <x:c r="F181" s="23" t="n">
        <x:v>0.05</x:v>
      </x:c>
      <x:c r="G181" s="8" t="n">
        <x:v>4</x:v>
      </x:c>
      <x:c r="H181" s="8" t="n">
        <x:v>16</x:v>
      </x:c>
      <x:c r="I181" s="8" t="n">
        <x:v>16</x:v>
      </x:c>
      <x:c r="J181" s="8" t="n">
        <x:v>0</x:v>
      </x:c>
      <x:c r="K181" s="8" t="n">
        <x:v>0</x:v>
      </x:c>
      <x:c r="L181" s="8" t="n">
        <x:v>0</x:v>
      </x:c>
      <x:c r="M181" s="21" t="n">
        <x:f>E181+K181-I181-J181-L181</x:f>
        <x:v>64</x:v>
      </x:c>
    </x:row>
    <x:row r="182" ht="36" customHeight="1">
      <x:c r="A182" s="8" t="str">
        <x:v>Liquidity-first</x:v>
      </x:c>
      <x:c r="B182" s="8" t="str">
        <x:v>Moderate margin</x:v>
      </x:c>
      <x:c r="C182" s="8" t="str">
        <x:v>Beacon notes</x:v>
      </x:c>
      <x:c r="D182" s="22" t="n">
        <x:v>1</x:v>
      </x:c>
      <x:c r="E182" s="8" t="n">
        <x:v>350</x:v>
      </x:c>
      <x:c r="F182" s="23" t="n">
        <x:v>0.0475</x:v>
      </x:c>
      <x:c r="G182" s="8" t="n">
        <x:v>16.625</x:v>
      </x:c>
      <x:c r="H182" s="8" t="n">
        <x:v>0</x:v>
      </x:c>
      <x:c r="I182" s="8" t="n">
        <x:v>0</x:v>
      </x:c>
      <x:c r="J182" s="8" t="n">
        <x:v>0</x:v>
      </x:c>
      <x:c r="K182" s="8" t="n">
        <x:v>0</x:v>
      </x:c>
      <x:c r="L182" s="8" t="n">
        <x:v>0</x:v>
      </x:c>
      <x:c r="M182" s="21" t="n">
        <x:f>E182+K182-I182-J182-L182</x:f>
        <x:v>350</x:v>
      </x:c>
    </x:row>
    <x:row r="183" ht="36" customHeight="1">
      <x:c r="A183" s="8" t="str">
        <x:v>Liquidity-first</x:v>
      </x:c>
      <x:c r="B183" s="8" t="str">
        <x:v>Moderate margin</x:v>
      </x:c>
      <x:c r="C183" s="8" t="str">
        <x:v>Acquisition term</x:v>
      </x:c>
      <x:c r="D183" s="22" t="n">
        <x:v>1</x:v>
      </x:c>
      <x:c r="E183" s="8" t="n">
        <x:v>2223.3502538071066</x:v>
      </x:c>
      <x:c r="F183" s="23" t="n">
        <x:v>0.065</x:v>
      </x:c>
      <x:c r="G183" s="8" t="n">
        <x:v>144.51776649746193</x:v>
      </x:c>
      <x:c r="H183" s="8" t="n">
        <x:v>44.46700507614213</x:v>
      </x:c>
      <x:c r="I183" s="8" t="n">
        <x:v>44.46700507614213</x:v>
      </x:c>
      <x:c r="J183" s="8" t="n">
        <x:v>925.6959542973357</x:v>
      </x:c>
      <x:c r="K183" s="8" t="n">
        <x:v>0</x:v>
      </x:c>
      <x:c r="L183" s="8" t="n">
        <x:v>0</x:v>
      </x:c>
      <x:c r="M183" s="21" t="n">
        <x:f>E183+K183-I183-J183-L183</x:f>
        <x:v>1253.187294433629</x:v>
      </x:c>
    </x:row>
    <x:row r="184" ht="36" customHeight="1">
      <x:c r="A184" s="8" t="str">
        <x:v>Liquidity-first</x:v>
      </x:c>
      <x:c r="B184" s="8" t="str">
        <x:v>Moderate margin</x:v>
      </x:c>
      <x:c r="C184" s="8" t="str">
        <x:v>Committed revolver</x:v>
      </x:c>
      <x:c r="D184" s="22" t="n">
        <x:v>1</x:v>
      </x:c>
      <x:c r="E184" s="8" t="n">
        <x:v>0</x:v>
      </x:c>
      <x:c r="F184" s="23" t="n">
        <x:v>0.0625</x:v>
      </x:c>
      <x:c r="G184" s="8" t="n">
        <x:v>0</x:v>
      </x:c>
      <x:c r="H184" s="8" t="n">
        <x:v>0</x:v>
      </x:c>
      <x:c r="I184" s="8" t="n">
        <x:v>0</x:v>
      </x:c>
      <x:c r="J184" s="8" t="n">
        <x:v>0</x:v>
      </x:c>
      <x:c r="K184" s="8" t="n">
        <x:v>0</x:v>
      </x:c>
      <x:c r="L184" s="8" t="n">
        <x:v>0</x:v>
      </x:c>
      <x:c r="M184" s="21" t="n">
        <x:f>E184+K184-I184-J184-L184</x:f>
        <x:v>0</x:v>
      </x:c>
    </x:row>
    <x:row r="185" ht="36" customHeight="1">
      <x:c r="A185" s="8" t="str">
        <x:v>Liquidity-first</x:v>
      </x:c>
      <x:c r="B185" s="8" t="str">
        <x:v>Moderate margin</x:v>
      </x:c>
      <x:c r="C185" s="8" t="str">
        <x:v>Atlas notes</x:v>
      </x:c>
      <x:c r="D185" s="22" t="n">
        <x:v>2</x:v>
      </x:c>
      <x:c r="E185" s="8" t="n">
        <x:v>900</x:v>
      </x:c>
      <x:c r="F185" s="23" t="n">
        <x:v>0.038</x:v>
      </x:c>
      <x:c r="G185" s="8" t="n">
        <x:v>34.199999999999996</x:v>
      </x:c>
      <x:c r="H185" s="8" t="n">
        <x:v>0</x:v>
      </x:c>
      <x:c r="I185" s="8" t="n">
        <x:v>0</x:v>
      </x:c>
      <x:c r="J185" s="8" t="n">
        <x:v>0</x:v>
      </x:c>
      <x:c r="K185" s="8" t="n">
        <x:v>0</x:v>
      </x:c>
      <x:c r="L185" s="8" t="n">
        <x:v>0</x:v>
      </x:c>
      <x:c r="M185" s="21" t="n">
        <x:f>E185+K185-I185-J185-L185</x:f>
        <x:v>900</x:v>
      </x:c>
    </x:row>
    <x:row r="186" ht="36" customHeight="1">
      <x:c r="A186" s="8" t="str">
        <x:v>Liquidity-first</x:v>
      </x:c>
      <x:c r="B186" s="8" t="str">
        <x:v>Moderate margin</x:v>
      </x:c>
      <x:c r="C186" s="8" t="str">
        <x:v>Atlas finance lease</x:v>
      </x:c>
      <x:c r="D186" s="22" t="n">
        <x:v>2</x:v>
      </x:c>
      <x:c r="E186" s="8" t="n">
        <x:v>64</x:v>
      </x:c>
      <x:c r="F186" s="23" t="n">
        <x:v>0.05</x:v>
      </x:c>
      <x:c r="G186" s="8" t="n">
        <x:v>3.2</x:v>
      </x:c>
      <x:c r="H186" s="8" t="n">
        <x:v>16</x:v>
      </x:c>
      <x:c r="I186" s="8" t="n">
        <x:v>16</x:v>
      </x:c>
      <x:c r="J186" s="8" t="n">
        <x:v>0</x:v>
      </x:c>
      <x:c r="K186" s="8" t="n">
        <x:v>0</x:v>
      </x:c>
      <x:c r="L186" s="8" t="n">
        <x:v>0</x:v>
      </x:c>
      <x:c r="M186" s="21" t="n">
        <x:f>E186+K186-I186-J186-L186</x:f>
        <x:v>48</x:v>
      </x:c>
    </x:row>
    <x:row r="187" ht="36" customHeight="1">
      <x:c r="A187" s="8" t="str">
        <x:v>Liquidity-first</x:v>
      </x:c>
      <x:c r="B187" s="8" t="str">
        <x:v>Moderate margin</x:v>
      </x:c>
      <x:c r="C187" s="8" t="str">
        <x:v>Beacon notes</x:v>
      </x:c>
      <x:c r="D187" s="22" t="n">
        <x:v>2</x:v>
      </x:c>
      <x:c r="E187" s="8" t="n">
        <x:v>350</x:v>
      </x:c>
      <x:c r="F187" s="23" t="n">
        <x:v>0.0475</x:v>
      </x:c>
      <x:c r="G187" s="8" t="n">
        <x:v>16.625</x:v>
      </x:c>
      <x:c r="H187" s="8" t="n">
        <x:v>0</x:v>
      </x:c>
      <x:c r="I187" s="8" t="n">
        <x:v>0</x:v>
      </x:c>
      <x:c r="J187" s="8" t="n">
        <x:v>0</x:v>
      </x:c>
      <x:c r="K187" s="8" t="n">
        <x:v>0</x:v>
      </x:c>
      <x:c r="L187" s="8" t="n">
        <x:v>0</x:v>
      </x:c>
      <x:c r="M187" s="21" t="n">
        <x:f>E187+K187-I187-J187-L187</x:f>
        <x:v>350</x:v>
      </x:c>
    </x:row>
    <x:row r="188" ht="36" customHeight="1">
      <x:c r="A188" s="8" t="str">
        <x:v>Liquidity-first</x:v>
      </x:c>
      <x:c r="B188" s="8" t="str">
        <x:v>Moderate margin</x:v>
      </x:c>
      <x:c r="C188" s="8" t="str">
        <x:v>Acquisition term</x:v>
      </x:c>
      <x:c r="D188" s="22" t="n">
        <x:v>2</x:v>
      </x:c>
      <x:c r="E188" s="8" t="n">
        <x:v>1253.187294433629</x:v>
      </x:c>
      <x:c r="F188" s="23" t="n">
        <x:v>0.0625</x:v>
      </x:c>
      <x:c r="G188" s="8" t="n">
        <x:v>78.32420590210181</x:v>
      </x:c>
      <x:c r="H188" s="8" t="n">
        <x:v>44.46700507614213</x:v>
      </x:c>
      <x:c r="I188" s="8" t="n">
        <x:v>44.46700507614213</x:v>
      </x:c>
      <x:c r="J188" s="8" t="n">
        <x:v>193.7010536822122</x:v>
      </x:c>
      <x:c r="K188" s="8" t="n">
        <x:v>0</x:v>
      </x:c>
      <x:c r="L188" s="8" t="n">
        <x:v>0</x:v>
      </x:c>
      <x:c r="M188" s="21" t="n">
        <x:f>E188+K188-I188-J188-L188</x:f>
        <x:v>1015.0192356752746</x:v>
      </x:c>
    </x:row>
    <x:row r="189" ht="36" customHeight="1">
      <x:c r="A189" s="8" t="str">
        <x:v>Liquidity-first</x:v>
      </x:c>
      <x:c r="B189" s="8" t="str">
        <x:v>Moderate margin</x:v>
      </x:c>
      <x:c r="C189" s="8" t="str">
        <x:v>Committed revolver</x:v>
      </x:c>
      <x:c r="D189" s="22" t="n">
        <x:v>2</x:v>
      </x:c>
      <x:c r="E189" s="8" t="n">
        <x:v>0</x:v>
      </x:c>
      <x:c r="F189" s="23" t="n">
        <x:v>0.06</x:v>
      </x:c>
      <x:c r="G189" s="8" t="n">
        <x:v>0</x:v>
      </x:c>
      <x:c r="H189" s="8" t="n">
        <x:v>0</x:v>
      </x:c>
      <x:c r="I189" s="8" t="n">
        <x:v>0</x:v>
      </x:c>
      <x:c r="J189" s="8" t="n">
        <x:v>0</x:v>
      </x:c>
      <x:c r="K189" s="8" t="n">
        <x:v>0</x:v>
      </x:c>
      <x:c r="L189" s="8" t="n">
        <x:v>0</x:v>
      </x:c>
      <x:c r="M189" s="21" t="n">
        <x:f>E189+K189-I189-J189-L189</x:f>
        <x:v>0</x:v>
      </x:c>
    </x:row>
    <x:row r="190" ht="36" customHeight="1">
      <x:c r="A190" s="8" t="str">
        <x:v>Liquidity-first</x:v>
      </x:c>
      <x:c r="B190" s="8" t="str">
        <x:v>Moderate margin</x:v>
      </x:c>
      <x:c r="C190" s="8" t="str">
        <x:v>Atlas notes</x:v>
      </x:c>
      <x:c r="D190" s="22" t="n">
        <x:v>3</x:v>
      </x:c>
      <x:c r="E190" s="8" t="n">
        <x:v>900</x:v>
      </x:c>
      <x:c r="F190" s="23" t="n">
        <x:v>0.038</x:v>
      </x:c>
      <x:c r="G190" s="8" t="n">
        <x:v>34.199999999999996</x:v>
      </x:c>
      <x:c r="H190" s="8" t="n">
        <x:v>0</x:v>
      </x:c>
      <x:c r="I190" s="8" t="n">
        <x:v>0</x:v>
      </x:c>
      <x:c r="J190" s="8" t="n">
        <x:v>0</x:v>
      </x:c>
      <x:c r="K190" s="8" t="n">
        <x:v>0</x:v>
      </x:c>
      <x:c r="L190" s="8" t="n">
        <x:v>0</x:v>
      </x:c>
      <x:c r="M190" s="21" t="n">
        <x:f>E190+K190-I190-J190-L190</x:f>
        <x:v>900</x:v>
      </x:c>
    </x:row>
    <x:row r="191" ht="36" customHeight="1">
      <x:c r="A191" s="8" t="str">
        <x:v>Liquidity-first</x:v>
      </x:c>
      <x:c r="B191" s="8" t="str">
        <x:v>Moderate margin</x:v>
      </x:c>
      <x:c r="C191" s="8" t="str">
        <x:v>Atlas finance lease</x:v>
      </x:c>
      <x:c r="D191" s="22" t="n">
        <x:v>3</x:v>
      </x:c>
      <x:c r="E191" s="8" t="n">
        <x:v>48</x:v>
      </x:c>
      <x:c r="F191" s="23" t="n">
        <x:v>0.05</x:v>
      </x:c>
      <x:c r="G191" s="8" t="n">
        <x:v>2.4000000000000004</x:v>
      </x:c>
      <x:c r="H191" s="8" t="n">
        <x:v>16</x:v>
      </x:c>
      <x:c r="I191" s="8" t="n">
        <x:v>16</x:v>
      </x:c>
      <x:c r="J191" s="8" t="n">
        <x:v>0</x:v>
      </x:c>
      <x:c r="K191" s="8" t="n">
        <x:v>0</x:v>
      </x:c>
      <x:c r="L191" s="8" t="n">
        <x:v>0</x:v>
      </x:c>
      <x:c r="M191" s="21" t="n">
        <x:f>E191+K191-I191-J191-L191</x:f>
        <x:v>32</x:v>
      </x:c>
    </x:row>
    <x:row r="192" ht="36" customHeight="1">
      <x:c r="A192" s="8" t="str">
        <x:v>Liquidity-first</x:v>
      </x:c>
      <x:c r="B192" s="8" t="str">
        <x:v>Moderate margin</x:v>
      </x:c>
      <x:c r="C192" s="8" t="str">
        <x:v>Beacon notes</x:v>
      </x:c>
      <x:c r="D192" s="22" t="n">
        <x:v>3</x:v>
      </x:c>
      <x:c r="E192" s="8" t="n">
        <x:v>350</x:v>
      </x:c>
      <x:c r="F192" s="23" t="n">
        <x:v>0.0475</x:v>
      </x:c>
      <x:c r="G192" s="8" t="n">
        <x:v>16.625</x:v>
      </x:c>
      <x:c r="H192" s="8" t="n">
        <x:v>350</x:v>
      </x:c>
      <x:c r="I192" s="8" t="n">
        <x:v>350</x:v>
      </x:c>
      <x:c r="J192" s="8" t="n">
        <x:v>0</x:v>
      </x:c>
      <x:c r="K192" s="8" t="n">
        <x:v>0</x:v>
      </x:c>
      <x:c r="L192" s="8" t="n">
        <x:v>0</x:v>
      </x:c>
      <x:c r="M192" s="21" t="n">
        <x:f>E192+K192-I192-J192-L192</x:f>
        <x:v>0</x:v>
      </x:c>
    </x:row>
    <x:row r="193" ht="36" customHeight="1">
      <x:c r="A193" s="8" t="str">
        <x:v>Liquidity-first</x:v>
      </x:c>
      <x:c r="B193" s="8" t="str">
        <x:v>Moderate margin</x:v>
      </x:c>
      <x:c r="C193" s="8" t="str">
        <x:v>Acquisition term</x:v>
      </x:c>
      <x:c r="D193" s="22" t="n">
        <x:v>3</x:v>
      </x:c>
      <x:c r="E193" s="8" t="n">
        <x:v>1015.0192356752746</x:v>
      </x:c>
      <x:c r="F193" s="23" t="n">
        <x:v>0.060000000000000005</x:v>
      </x:c>
      <x:c r="G193" s="8" t="n">
        <x:v>60.901154140516475</x:v>
      </x:c>
      <x:c r="H193" s="8" t="n">
        <x:v>44.46700507614213</x:v>
      </x:c>
      <x:c r="I193" s="8" t="n">
        <x:v>44.46700507614213</x:v>
      </x:c>
      <x:c r="J193" s="8" t="n">
        <x:v>0</x:v>
      </x:c>
      <x:c r="K193" s="8" t="n">
        <x:v>0</x:v>
      </x:c>
      <x:c r="L193" s="8" t="n">
        <x:v>0</x:v>
      </x:c>
      <x:c r="M193" s="21" t="n">
        <x:f>E193+K193-I193-J193-L193</x:f>
        <x:v>970.5522305991324</x:v>
      </x:c>
    </x:row>
    <x:row r="194" ht="36" customHeight="1">
      <x:c r="A194" s="8" t="str">
        <x:v>Liquidity-first</x:v>
      </x:c>
      <x:c r="B194" s="8" t="str">
        <x:v>Moderate margin</x:v>
      </x:c>
      <x:c r="C194" s="8" t="str">
        <x:v>Committed revolver</x:v>
      </x:c>
      <x:c r="D194" s="22" t="n">
        <x:v>3</x:v>
      </x:c>
      <x:c r="E194" s="8" t="n">
        <x:v>0</x:v>
      </x:c>
      <x:c r="F194" s="23" t="n">
        <x:v>0.0575</x:v>
      </x:c>
      <x:c r="G194" s="8" t="n">
        <x:v>0</x:v>
      </x:c>
      <x:c r="H194" s="8" t="n">
        <x:v>0</x:v>
      </x:c>
      <x:c r="I194" s="8" t="n">
        <x:v>0</x:v>
      </x:c>
      <x:c r="J194" s="8" t="n">
        <x:v>0</x:v>
      </x:c>
      <x:c r="K194" s="8" t="n">
        <x:v>49.869428416976234</x:v>
      </x:c>
      <x:c r="L194" s="8" t="n">
        <x:v>0</x:v>
      </x:c>
      <x:c r="M194" s="21" t="n">
        <x:f>E194+K194-I194-J194-L194</x:f>
        <x:v>49.869428416976234</x:v>
      </x:c>
    </x:row>
    <x:row r="195" ht="36" customHeight="1">
      <x:c r="A195" s="8" t="str">
        <x:v>Liquidity-first</x:v>
      </x:c>
      <x:c r="B195" s="8" t="str">
        <x:v>Moderate margin</x:v>
      </x:c>
      <x:c r="C195" s="8" t="str">
        <x:v>Atlas notes</x:v>
      </x:c>
      <x:c r="D195" s="22" t="n">
        <x:v>4</x:v>
      </x:c>
      <x:c r="E195" s="8" t="n">
        <x:v>900</x:v>
      </x:c>
      <x:c r="F195" s="23" t="n">
        <x:v>0.038</x:v>
      </x:c>
      <x:c r="G195" s="8" t="n">
        <x:v>34.199999999999996</x:v>
      </x:c>
      <x:c r="H195" s="8" t="n">
        <x:v>900</x:v>
      </x:c>
      <x:c r="I195" s="8" t="n">
        <x:v>900</x:v>
      </x:c>
      <x:c r="J195" s="8" t="n">
        <x:v>0</x:v>
      </x:c>
      <x:c r="K195" s="8" t="n">
        <x:v>0</x:v>
      </x:c>
      <x:c r="L195" s="8" t="n">
        <x:v>0</x:v>
      </x:c>
      <x:c r="M195" s="21" t="n">
        <x:f>E195+K195-I195-J195-L195</x:f>
        <x:v>0</x:v>
      </x:c>
    </x:row>
    <x:row r="196" ht="36" customHeight="1">
      <x:c r="A196" s="8" t="str">
        <x:v>Liquidity-first</x:v>
      </x:c>
      <x:c r="B196" s="8" t="str">
        <x:v>Moderate margin</x:v>
      </x:c>
      <x:c r="C196" s="8" t="str">
        <x:v>Atlas finance lease</x:v>
      </x:c>
      <x:c r="D196" s="22" t="n">
        <x:v>4</x:v>
      </x:c>
      <x:c r="E196" s="8" t="n">
        <x:v>32</x:v>
      </x:c>
      <x:c r="F196" s="23" t="n">
        <x:v>0.05</x:v>
      </x:c>
      <x:c r="G196" s="8" t="n">
        <x:v>1.6</x:v>
      </x:c>
      <x:c r="H196" s="8" t="n">
        <x:v>16</x:v>
      </x:c>
      <x:c r="I196" s="8" t="n">
        <x:v>16</x:v>
      </x:c>
      <x:c r="J196" s="8" t="n">
        <x:v>0</x:v>
      </x:c>
      <x:c r="K196" s="8" t="n">
        <x:v>0</x:v>
      </x:c>
      <x:c r="L196" s="8" t="n">
        <x:v>0</x:v>
      </x:c>
      <x:c r="M196" s="21" t="n">
        <x:f>E196+K196-I196-J196-L196</x:f>
        <x:v>16</x:v>
      </x:c>
    </x:row>
    <x:row r="197" ht="36" customHeight="1">
      <x:c r="A197" s="8" t="str">
        <x:v>Liquidity-first</x:v>
      </x:c>
      <x:c r="B197" s="8" t="str">
        <x:v>Moderate margin</x:v>
      </x:c>
      <x:c r="C197" s="8" t="str">
        <x:v>Beacon notes</x:v>
      </x:c>
      <x:c r="D197" s="22" t="n">
        <x:v>4</x:v>
      </x:c>
      <x:c r="E197" s="8" t="n">
        <x:v>0</x:v>
      </x:c>
      <x:c r="F197" s="23" t="n">
        <x:v>0.0475</x:v>
      </x:c>
      <x:c r="G197" s="8" t="n">
        <x:v>0</x:v>
      </x:c>
      <x:c r="H197" s="8" t="n">
        <x:v>0</x:v>
      </x:c>
      <x:c r="I197" s="8" t="n">
        <x:v>0</x:v>
      </x:c>
      <x:c r="J197" s="8" t="n">
        <x:v>0</x:v>
      </x:c>
      <x:c r="K197" s="8" t="n">
        <x:v>0</x:v>
      </x:c>
      <x:c r="L197" s="8" t="n">
        <x:v>0</x:v>
      </x:c>
      <x:c r="M197" s="21" t="n">
        <x:f>E197+K197-I197-J197-L197</x:f>
        <x:v>0</x:v>
      </x:c>
    </x:row>
    <x:row r="198" ht="36" customHeight="1">
      <x:c r="A198" s="8" t="str">
        <x:v>Liquidity-first</x:v>
      </x:c>
      <x:c r="B198" s="8" t="str">
        <x:v>Moderate margin</x:v>
      </x:c>
      <x:c r="C198" s="8" t="str">
        <x:v>Acquisition term</x:v>
      </x:c>
      <x:c r="D198" s="22" t="n">
        <x:v>4</x:v>
      </x:c>
      <x:c r="E198" s="8" t="n">
        <x:v>970.5522305991324</x:v>
      </x:c>
      <x:c r="F198" s="23" t="n">
        <x:v>0.060000000000000005</x:v>
      </x:c>
      <x:c r="G198" s="8" t="n">
        <x:v>58.233133835947946</x:v>
      </x:c>
      <x:c r="H198" s="8" t="n">
        <x:v>44.46700507614213</x:v>
      </x:c>
      <x:c r="I198" s="8" t="n">
        <x:v>44.46700507614213</x:v>
      </x:c>
      <x:c r="J198" s="8" t="n">
        <x:v>0</x:v>
      </x:c>
      <x:c r="K198" s="8" t="n">
        <x:v>0</x:v>
      </x:c>
      <x:c r="L198" s="8" t="n">
        <x:v>0</x:v>
      </x:c>
      <x:c r="M198" s="21" t="n">
        <x:f>E198+K198-I198-J198-L198</x:f>
        <x:v>926.0852255229902</x:v>
      </x:c>
    </x:row>
    <x:row r="199" ht="36" customHeight="1">
      <x:c r="A199" s="8" t="str">
        <x:v>Liquidity-first</x:v>
      </x:c>
      <x:c r="B199" s="8" t="str">
        <x:v>Moderate margin</x:v>
      </x:c>
      <x:c r="C199" s="8" t="str">
        <x:v>Committed revolver</x:v>
      </x:c>
      <x:c r="D199" s="22" t="n">
        <x:v>4</x:v>
      </x:c>
      <x:c r="E199" s="8" t="n">
        <x:v>49.869428416976234</x:v>
      </x:c>
      <x:c r="F199" s="23" t="n">
        <x:v>0.0575</x:v>
      </x:c>
      <x:c r="G199" s="8" t="n">
        <x:v>2.8674921339761337</x:v>
      </x:c>
      <x:c r="H199" s="8" t="n">
        <x:v>0</x:v>
      </x:c>
      <x:c r="I199" s="8" t="n">
        <x:v>0</x:v>
      </x:c>
      <x:c r="J199" s="8" t="n">
        <x:v>0</x:v>
      </x:c>
      <x:c r="K199" s="8" t="n">
        <x:v>543.4379678824184</x:v>
      </x:c>
      <x:c r="L199" s="8" t="n">
        <x:v>0</x:v>
      </x:c>
      <x:c r="M199" s="21" t="n">
        <x:f>E199+K199-I199-J199-L199</x:f>
        <x:v>593.3073962993947</x:v>
      </x:c>
    </x:row>
    <x:row r="200" ht="36" customHeight="1">
      <x:c r="A200" s="8" t="str">
        <x:v>Liquidity-first</x:v>
      </x:c>
      <x:c r="B200" s="8" t="str">
        <x:v>Moderate margin</x:v>
      </x:c>
      <x:c r="C200" s="8" t="str">
        <x:v>Atlas notes</x:v>
      </x:c>
      <x:c r="D200" s="22" t="n">
        <x:v>5</x:v>
      </x:c>
      <x:c r="E200" s="8" t="n">
        <x:v>0</x:v>
      </x:c>
      <x:c r="F200" s="23" t="n">
        <x:v>0.038</x:v>
      </x:c>
      <x:c r="G200" s="8" t="n">
        <x:v>0</x:v>
      </x:c>
      <x:c r="H200" s="8" t="n">
        <x:v>0</x:v>
      </x:c>
      <x:c r="I200" s="8" t="n">
        <x:v>0</x:v>
      </x:c>
      <x:c r="J200" s="8" t="n">
        <x:v>0</x:v>
      </x:c>
      <x:c r="K200" s="8" t="n">
        <x:v>0</x:v>
      </x:c>
      <x:c r="L200" s="8" t="n">
        <x:v>0</x:v>
      </x:c>
      <x:c r="M200" s="21" t="n">
        <x:f>E200+K200-I200-J200-L200</x:f>
        <x:v>0</x:v>
      </x:c>
    </x:row>
    <x:row r="201" ht="36" customHeight="1">
      <x:c r="A201" s="8" t="str">
        <x:v>Liquidity-first</x:v>
      </x:c>
      <x:c r="B201" s="8" t="str">
        <x:v>Moderate margin</x:v>
      </x:c>
      <x:c r="C201" s="8" t="str">
        <x:v>Atlas finance lease</x:v>
      </x:c>
      <x:c r="D201" s="22" t="n">
        <x:v>5</x:v>
      </x:c>
      <x:c r="E201" s="8" t="n">
        <x:v>16</x:v>
      </x:c>
      <x:c r="F201" s="23" t="n">
        <x:v>0.05</x:v>
      </x:c>
      <x:c r="G201" s="8" t="n">
        <x:v>0.8</x:v>
      </x:c>
      <x:c r="H201" s="8" t="n">
        <x:v>16</x:v>
      </x:c>
      <x:c r="I201" s="8" t="n">
        <x:v>16</x:v>
      </x:c>
      <x:c r="J201" s="8" t="n">
        <x:v>0</x:v>
      </x:c>
      <x:c r="K201" s="8" t="n">
        <x:v>0</x:v>
      </x:c>
      <x:c r="L201" s="8" t="n">
        <x:v>0</x:v>
      </x:c>
      <x:c r="M201" s="21" t="n">
        <x:f>E201+K201-I201-J201-L201</x:f>
        <x:v>0</x:v>
      </x:c>
    </x:row>
    <x:row r="202" ht="36" customHeight="1">
      <x:c r="A202" s="8" t="str">
        <x:v>Liquidity-first</x:v>
      </x:c>
      <x:c r="B202" s="8" t="str">
        <x:v>Moderate margin</x:v>
      </x:c>
      <x:c r="C202" s="8" t="str">
        <x:v>Beacon notes</x:v>
      </x:c>
      <x:c r="D202" s="22" t="n">
        <x:v>5</x:v>
      </x:c>
      <x:c r="E202" s="8" t="n">
        <x:v>0</x:v>
      </x:c>
      <x:c r="F202" s="23" t="n">
        <x:v>0.0475</x:v>
      </x:c>
      <x:c r="G202" s="8" t="n">
        <x:v>0</x:v>
      </x:c>
      <x:c r="H202" s="8" t="n">
        <x:v>0</x:v>
      </x:c>
      <x:c r="I202" s="8" t="n">
        <x:v>0</x:v>
      </x:c>
      <x:c r="J202" s="8" t="n">
        <x:v>0</x:v>
      </x:c>
      <x:c r="K202" s="8" t="n">
        <x:v>0</x:v>
      </x:c>
      <x:c r="L202" s="8" t="n">
        <x:v>0</x:v>
      </x:c>
      <x:c r="M202" s="21" t="n">
        <x:f>E202+K202-I202-J202-L202</x:f>
        <x:v>0</x:v>
      </x:c>
    </x:row>
    <x:row r="203" ht="36" customHeight="1">
      <x:c r="A203" s="8" t="str">
        <x:v>Liquidity-first</x:v>
      </x:c>
      <x:c r="B203" s="8" t="str">
        <x:v>Moderate margin</x:v>
      </x:c>
      <x:c r="C203" s="8" t="str">
        <x:v>Acquisition term</x:v>
      </x:c>
      <x:c r="D203" s="22" t="n">
        <x:v>5</x:v>
      </x:c>
      <x:c r="E203" s="8" t="n">
        <x:v>926.0852255229902</x:v>
      </x:c>
      <x:c r="F203" s="23" t="n">
        <x:v>0.060000000000000005</x:v>
      </x:c>
      <x:c r="G203" s="8" t="n">
        <x:v>55.56511353137942</x:v>
      </x:c>
      <x:c r="H203" s="8" t="n">
        <x:v>926.0852255229902</x:v>
      </x:c>
      <x:c r="I203" s="8" t="n">
        <x:v>926.0852255229902</x:v>
      </x:c>
      <x:c r="J203" s="8" t="n">
        <x:v>0</x:v>
      </x:c>
      <x:c r="K203" s="8" t="n">
        <x:v>0</x:v>
      </x:c>
      <x:c r="L203" s="8" t="n">
        <x:v>0</x:v>
      </x:c>
      <x:c r="M203" s="21" t="n">
        <x:f>E203+K203-I203-J203-L203</x:f>
        <x:v>0</x:v>
      </x:c>
    </x:row>
    <x:row r="204" ht="36" customHeight="1">
      <x:c r="A204" s="8" t="str">
        <x:v>Liquidity-first</x:v>
      </x:c>
      <x:c r="B204" s="8" t="str">
        <x:v>Moderate margin</x:v>
      </x:c>
      <x:c r="C204" s="8" t="str">
        <x:v>Committed revolver</x:v>
      </x:c>
      <x:c r="D204" s="22" t="n">
        <x:v>5</x:v>
      </x:c>
      <x:c r="E204" s="8" t="n">
        <x:v>593.3073962993947</x:v>
      </x:c>
      <x:c r="F204" s="23" t="n">
        <x:v>0.0575</x:v>
      </x:c>
      <x:c r="G204" s="8" t="n">
        <x:v>34.115175287215195</x:v>
      </x:c>
      <x:c r="H204" s="8" t="n">
        <x:v>593.3073962993947</x:v>
      </x:c>
      <x:c r="I204" s="8" t="n">
        <x:v>254.04383699300934</x:v>
      </x:c>
      <x:c r="J204" s="8" t="n">
        <x:v>0</x:v>
      </x:c>
      <x:c r="K204" s="8" t="n">
        <x:v>0</x:v>
      </x:c>
      <x:c r="L204" s="8" t="n">
        <x:v>0</x:v>
      </x:c>
      <x:c r="M204" s="21" t="n">
        <x:f>E204+K204-I204-J204-L204</x:f>
        <x:v>339.26355930638533</x:v>
      </x:c>
    </x:row>
    <x:row r="205" ht="36" customHeight="1">
      <x:c r="A205" s="8" t="str">
        <x:v>Mixed consideration</x:v>
      </x:c>
      <x:c r="B205" s="8" t="str">
        <x:v>Moderate margin</x:v>
      </x:c>
      <x:c r="C205" s="8" t="str">
        <x:v>Atlas notes</x:v>
      </x:c>
      <x:c r="D205" s="22" t="n">
        <x:v>1</x:v>
      </x:c>
      <x:c r="E205" s="8" t="n">
        <x:v>900</x:v>
      </x:c>
      <x:c r="F205" s="23" t="n">
        <x:v>0.038</x:v>
      </x:c>
      <x:c r="G205" s="8" t="n">
        <x:v>34.199999999999996</x:v>
      </x:c>
      <x:c r="H205" s="8" t="n">
        <x:v>0</x:v>
      </x:c>
      <x:c r="I205" s="8" t="n">
        <x:v>0</x:v>
      </x:c>
      <x:c r="J205" s="8" t="n">
        <x:v>0</x:v>
      </x:c>
      <x:c r="K205" s="8" t="n">
        <x:v>0</x:v>
      </x:c>
      <x:c r="L205" s="8" t="n">
        <x:v>0</x:v>
      </x:c>
      <x:c r="M205" s="21" t="n">
        <x:f>E205+K205-I205-J205-L205</x:f>
        <x:v>900</x:v>
      </x:c>
    </x:row>
    <x:row r="206" ht="36" customHeight="1">
      <x:c r="A206" s="8" t="str">
        <x:v>Mixed consideration</x:v>
      </x:c>
      <x:c r="B206" s="8" t="str">
        <x:v>Moderate margin</x:v>
      </x:c>
      <x:c r="C206" s="8" t="str">
        <x:v>Atlas finance lease</x:v>
      </x:c>
      <x:c r="D206" s="22" t="n">
        <x:v>1</x:v>
      </x:c>
      <x:c r="E206" s="8" t="n">
        <x:v>80</x:v>
      </x:c>
      <x:c r="F206" s="23" t="n">
        <x:v>0.05</x:v>
      </x:c>
      <x:c r="G206" s="8" t="n">
        <x:v>4</x:v>
      </x:c>
      <x:c r="H206" s="8" t="n">
        <x:v>16</x:v>
      </x:c>
      <x:c r="I206" s="8" t="n">
        <x:v>16</x:v>
      </x:c>
      <x:c r="J206" s="8" t="n">
        <x:v>0</x:v>
      </x:c>
      <x:c r="K206" s="8" t="n">
        <x:v>0</x:v>
      </x:c>
      <x:c r="L206" s="8" t="n">
        <x:v>0</x:v>
      </x:c>
      <x:c r="M206" s="21" t="n">
        <x:f>E206+K206-I206-J206-L206</x:f>
        <x:v>64</x:v>
      </x:c>
    </x:row>
    <x:row r="207" ht="36" customHeight="1">
      <x:c r="A207" s="8" t="str">
        <x:v>Mixed consideration</x:v>
      </x:c>
      <x:c r="B207" s="8" t="str">
        <x:v>Moderate margin</x:v>
      </x:c>
      <x:c r="C207" s="8" t="str">
        <x:v>Beacon notes</x:v>
      </x:c>
      <x:c r="D207" s="22" t="n">
        <x:v>1</x:v>
      </x:c>
      <x:c r="E207" s="8" t="n">
        <x:v>350</x:v>
      </x:c>
      <x:c r="F207" s="23" t="n">
        <x:v>0.0475</x:v>
      </x:c>
      <x:c r="G207" s="8" t="n">
        <x:v>16.625</x:v>
      </x:c>
      <x:c r="H207" s="8" t="n">
        <x:v>0</x:v>
      </x:c>
      <x:c r="I207" s="8" t="n">
        <x:v>0</x:v>
      </x:c>
      <x:c r="J207" s="8" t="n">
        <x:v>0</x:v>
      </x:c>
      <x:c r="K207" s="8" t="n">
        <x:v>0</x:v>
      </x:c>
      <x:c r="L207" s="8" t="n">
        <x:v>0</x:v>
      </x:c>
      <x:c r="M207" s="21" t="n">
        <x:f>E207+K207-I207-J207-L207</x:f>
        <x:v>350</x:v>
      </x:c>
    </x:row>
    <x:row r="208" ht="36" customHeight="1">
      <x:c r="A208" s="8" t="str">
        <x:v>Mixed consideration</x:v>
      </x:c>
      <x:c r="B208" s="8" t="str">
        <x:v>Moderate margin</x:v>
      </x:c>
      <x:c r="C208" s="8" t="str">
        <x:v>Acquisition term</x:v>
      </x:c>
      <x:c r="D208" s="22" t="n">
        <x:v>1</x:v>
      </x:c>
      <x:c r="E208" s="8" t="n">
        <x:v>304.56852791878174</x:v>
      </x:c>
      <x:c r="F208" s="23" t="n">
        <x:v>0.065</x:v>
      </x:c>
      <x:c r="G208" s="8" t="n">
        <x:v>19.796954314720814</x:v>
      </x:c>
      <x:c r="H208" s="8" t="n">
        <x:v>6.091370558375635</x:v>
      </x:c>
      <x:c r="I208" s="8" t="n">
        <x:v>6.091370558375635</x:v>
      </x:c>
      <x:c r="J208" s="8" t="n">
        <x:v>187.6121979521581</x:v>
      </x:c>
      <x:c r="K208" s="8" t="n">
        <x:v>0</x:v>
      </x:c>
      <x:c r="L208" s="8" t="n">
        <x:v>0</x:v>
      </x:c>
      <x:c r="M208" s="21" t="n">
        <x:f>E208+K208-I208-J208-L208</x:f>
        <x:v>110.86495940824801</x:v>
      </x:c>
    </x:row>
    <x:row r="209" ht="36" customHeight="1">
      <x:c r="A209" s="8" t="str">
        <x:v>Mixed consideration</x:v>
      </x:c>
      <x:c r="B209" s="8" t="str">
        <x:v>Moderate margin</x:v>
      </x:c>
      <x:c r="C209" s="8" t="str">
        <x:v>Committed revolver</x:v>
      </x:c>
      <x:c r="D209" s="22" t="n">
        <x:v>1</x:v>
      </x:c>
      <x:c r="E209" s="8" t="n">
        <x:v>0</x:v>
      </x:c>
      <x:c r="F209" s="23" t="n">
        <x:v>0.0625</x:v>
      </x:c>
      <x:c r="G209" s="8" t="n">
        <x:v>0</x:v>
      </x:c>
      <x:c r="H209" s="8" t="n">
        <x:v>0</x:v>
      </x:c>
      <x:c r="I209" s="8" t="n">
        <x:v>0</x:v>
      </x:c>
      <x:c r="J209" s="8" t="n">
        <x:v>0</x:v>
      </x:c>
      <x:c r="K209" s="8" t="n">
        <x:v>0</x:v>
      </x:c>
      <x:c r="L209" s="8" t="n">
        <x:v>0</x:v>
      </x:c>
      <x:c r="M209" s="21" t="n">
        <x:f>E209+K209-I209-J209-L209</x:f>
        <x:v>0</x:v>
      </x:c>
    </x:row>
    <x:row r="210" ht="36" customHeight="1">
      <x:c r="A210" s="8" t="str">
        <x:v>Mixed consideration</x:v>
      </x:c>
      <x:c r="B210" s="8" t="str">
        <x:v>Moderate margin</x:v>
      </x:c>
      <x:c r="C210" s="8" t="str">
        <x:v>Atlas notes</x:v>
      </x:c>
      <x:c r="D210" s="22" t="n">
        <x:v>2</x:v>
      </x:c>
      <x:c r="E210" s="8" t="n">
        <x:v>900</x:v>
      </x:c>
      <x:c r="F210" s="23" t="n">
        <x:v>0.038</x:v>
      </x:c>
      <x:c r="G210" s="8" t="n">
        <x:v>34.199999999999996</x:v>
      </x:c>
      <x:c r="H210" s="8" t="n">
        <x:v>0</x:v>
      </x:c>
      <x:c r="I210" s="8" t="n">
        <x:v>0</x:v>
      </x:c>
      <x:c r="J210" s="8" t="n">
        <x:v>0</x:v>
      </x:c>
      <x:c r="K210" s="8" t="n">
        <x:v>0</x:v>
      </x:c>
      <x:c r="L210" s="8" t="n">
        <x:v>0</x:v>
      </x:c>
      <x:c r="M210" s="21" t="n">
        <x:f>E210+K210-I210-J210-L210</x:f>
        <x:v>900</x:v>
      </x:c>
    </x:row>
    <x:row r="211" ht="36" customHeight="1">
      <x:c r="A211" s="8" t="str">
        <x:v>Mixed consideration</x:v>
      </x:c>
      <x:c r="B211" s="8" t="str">
        <x:v>Moderate margin</x:v>
      </x:c>
      <x:c r="C211" s="8" t="str">
        <x:v>Atlas finance lease</x:v>
      </x:c>
      <x:c r="D211" s="22" t="n">
        <x:v>2</x:v>
      </x:c>
      <x:c r="E211" s="8" t="n">
        <x:v>64</x:v>
      </x:c>
      <x:c r="F211" s="23" t="n">
        <x:v>0.05</x:v>
      </x:c>
      <x:c r="G211" s="8" t="n">
        <x:v>3.2</x:v>
      </x:c>
      <x:c r="H211" s="8" t="n">
        <x:v>16</x:v>
      </x:c>
      <x:c r="I211" s="8" t="n">
        <x:v>16</x:v>
      </x:c>
      <x:c r="J211" s="8" t="n">
        <x:v>48</x:v>
      </x:c>
      <x:c r="K211" s="8" t="n">
        <x:v>0</x:v>
      </x:c>
      <x:c r="L211" s="8" t="n">
        <x:v>0</x:v>
      </x:c>
      <x:c r="M211" s="21" t="n">
        <x:f>E211+K211-I211-J211-L211</x:f>
        <x:v>0</x:v>
      </x:c>
    </x:row>
    <x:row r="212" ht="36" customHeight="1">
      <x:c r="A212" s="8" t="str">
        <x:v>Mixed consideration</x:v>
      </x:c>
      <x:c r="B212" s="8" t="str">
        <x:v>Moderate margin</x:v>
      </x:c>
      <x:c r="C212" s="8" t="str">
        <x:v>Beacon notes</x:v>
      </x:c>
      <x:c r="D212" s="22" t="n">
        <x:v>2</x:v>
      </x:c>
      <x:c r="E212" s="8" t="n">
        <x:v>350</x:v>
      </x:c>
      <x:c r="F212" s="23" t="n">
        <x:v>0.0475</x:v>
      </x:c>
      <x:c r="G212" s="8" t="n">
        <x:v>16.625</x:v>
      </x:c>
      <x:c r="H212" s="8" t="n">
        <x:v>0</x:v>
      </x:c>
      <x:c r="I212" s="8" t="n">
        <x:v>0</x:v>
      </x:c>
      <x:c r="J212" s="8" t="n">
        <x:v>132.8494588044211</x:v>
      </x:c>
      <x:c r="K212" s="8" t="n">
        <x:v>0</x:v>
      </x:c>
      <x:c r="L212" s="8" t="n">
        <x:v>0</x:v>
      </x:c>
      <x:c r="M212" s="21" t="n">
        <x:f>E212+K212-I212-J212-L212</x:f>
        <x:v>217.1505411955789</x:v>
      </x:c>
    </x:row>
    <x:row r="213" ht="36" customHeight="1">
      <x:c r="A213" s="8" t="str">
        <x:v>Mixed consideration</x:v>
      </x:c>
      <x:c r="B213" s="8" t="str">
        <x:v>Moderate margin</x:v>
      </x:c>
      <x:c r="C213" s="8" t="str">
        <x:v>Acquisition term</x:v>
      </x:c>
      <x:c r="D213" s="22" t="n">
        <x:v>2</x:v>
      </x:c>
      <x:c r="E213" s="8" t="n">
        <x:v>110.86495940824801</x:v>
      </x:c>
      <x:c r="F213" s="23" t="n">
        <x:v>0.0625</x:v>
      </x:c>
      <x:c r="G213" s="8" t="n">
        <x:v>6.929059963015501</x:v>
      </x:c>
      <x:c r="H213" s="8" t="n">
        <x:v>6.091370558375635</x:v>
      </x:c>
      <x:c r="I213" s="8" t="n">
        <x:v>6.091370558375635</x:v>
      </x:c>
      <x:c r="J213" s="8" t="n">
        <x:v>104.77358884987238</x:v>
      </x:c>
      <x:c r="K213" s="8" t="n">
        <x:v>0</x:v>
      </x:c>
      <x:c r="L213" s="8" t="n">
        <x:v>0</x:v>
      </x:c>
      <x:c r="M213" s="21" t="n">
        <x:f>E213+K213-I213-J213-L213</x:f>
        <x:v>0</x:v>
      </x:c>
    </x:row>
    <x:row r="214" ht="36" customHeight="1">
      <x:c r="A214" s="8" t="str">
        <x:v>Mixed consideration</x:v>
      </x:c>
      <x:c r="B214" s="8" t="str">
        <x:v>Moderate margin</x:v>
      </x:c>
      <x:c r="C214" s="8" t="str">
        <x:v>Committed revolver</x:v>
      </x:c>
      <x:c r="D214" s="22" t="n">
        <x:v>2</x:v>
      </x:c>
      <x:c r="E214" s="8" t="n">
        <x:v>0</x:v>
      </x:c>
      <x:c r="F214" s="23" t="n">
        <x:v>0.06</x:v>
      </x:c>
      <x:c r="G214" s="8" t="n">
        <x:v>0</x:v>
      </x:c>
      <x:c r="H214" s="8" t="n">
        <x:v>0</x:v>
      </x:c>
      <x:c r="I214" s="8" t="n">
        <x:v>0</x:v>
      </x:c>
      <x:c r="J214" s="8" t="n">
        <x:v>0</x:v>
      </x:c>
      <x:c r="K214" s="8" t="n">
        <x:v>0</x:v>
      </x:c>
      <x:c r="L214" s="8" t="n">
        <x:v>0</x:v>
      </x:c>
      <x:c r="M214" s="21" t="n">
        <x:f>E214+K214-I214-J214-L214</x:f>
        <x:v>0</x:v>
      </x:c>
    </x:row>
    <x:row r="215" ht="36" customHeight="1">
      <x:c r="A215" s="8" t="str">
        <x:v>Mixed consideration</x:v>
      </x:c>
      <x:c r="B215" s="8" t="str">
        <x:v>Moderate margin</x:v>
      </x:c>
      <x:c r="C215" s="8" t="str">
        <x:v>Atlas notes</x:v>
      </x:c>
      <x:c r="D215" s="22" t="n">
        <x:v>3</x:v>
      </x:c>
      <x:c r="E215" s="8" t="n">
        <x:v>900</x:v>
      </x:c>
      <x:c r="F215" s="23" t="n">
        <x:v>0.038</x:v>
      </x:c>
      <x:c r="G215" s="8" t="n">
        <x:v>34.199999999999996</x:v>
      </x:c>
      <x:c r="H215" s="8" t="n">
        <x:v>0</x:v>
      </x:c>
      <x:c r="I215" s="8" t="n">
        <x:v>0</x:v>
      </x:c>
      <x:c r="J215" s="8" t="n">
        <x:v>195.65566303888204</x:v>
      </x:c>
      <x:c r="K215" s="8" t="n">
        <x:v>0</x:v>
      </x:c>
      <x:c r="L215" s="8" t="n">
        <x:v>0</x:v>
      </x:c>
      <x:c r="M215" s="21" t="n">
        <x:f>E215+K215-I215-J215-L215</x:f>
        <x:v>704.344336961118</x:v>
      </x:c>
    </x:row>
    <x:row r="216" ht="36" customHeight="1">
      <x:c r="A216" s="8" t="str">
        <x:v>Mixed consideration</x:v>
      </x:c>
      <x:c r="B216" s="8" t="str">
        <x:v>Moderate margin</x:v>
      </x:c>
      <x:c r="C216" s="8" t="str">
        <x:v>Atlas finance lease</x:v>
      </x:c>
      <x:c r="D216" s="22" t="n">
        <x:v>3</x:v>
      </x:c>
      <x:c r="E216" s="8" t="n">
        <x:v>0</x:v>
      </x:c>
      <x:c r="F216" s="23" t="n">
        <x:v>0.05</x:v>
      </x:c>
      <x:c r="G216" s="8" t="n">
        <x:v>0</x:v>
      </x:c>
      <x:c r="H216" s="8" t="n">
        <x:v>0</x:v>
      </x:c>
      <x:c r="I216" s="8" t="n">
        <x:v>0</x:v>
      </x:c>
      <x:c r="J216" s="8" t="n">
        <x:v>0</x:v>
      </x:c>
      <x:c r="K216" s="8" t="n">
        <x:v>0</x:v>
      </x:c>
      <x:c r="L216" s="8" t="n">
        <x:v>0</x:v>
      </x:c>
      <x:c r="M216" s="21" t="n">
        <x:f>E216+K216-I216-J216-L216</x:f>
        <x:v>0</x:v>
      </x:c>
    </x:row>
    <x:row r="217" ht="36" customHeight="1">
      <x:c r="A217" s="8" t="str">
        <x:v>Mixed consideration</x:v>
      </x:c>
      <x:c r="B217" s="8" t="str">
        <x:v>Moderate margin</x:v>
      </x:c>
      <x:c r="C217" s="8" t="str">
        <x:v>Beacon notes</x:v>
      </x:c>
      <x:c r="D217" s="22" t="n">
        <x:v>3</x:v>
      </x:c>
      <x:c r="E217" s="8" t="n">
        <x:v>217.1505411955789</x:v>
      </x:c>
      <x:c r="F217" s="23" t="n">
        <x:v>0.0475</x:v>
      </x:c>
      <x:c r="G217" s="8" t="n">
        <x:v>10.314650706789998</x:v>
      </x:c>
      <x:c r="H217" s="8" t="n">
        <x:v>217.1505411955789</x:v>
      </x:c>
      <x:c r="I217" s="8" t="n">
        <x:v>217.1505411955789</x:v>
      </x:c>
      <x:c r="J217" s="8" t="n">
        <x:v>0</x:v>
      </x:c>
      <x:c r="K217" s="8" t="n">
        <x:v>0</x:v>
      </x:c>
      <x:c r="L217" s="8" t="n">
        <x:v>0</x:v>
      </x:c>
      <x:c r="M217" s="21" t="n">
        <x:f>E217+K217-I217-J217-L217</x:f>
        <x:v>0</x:v>
      </x:c>
    </x:row>
    <x:row r="218" ht="36" customHeight="1">
      <x:c r="A218" s="8" t="str">
        <x:v>Mixed consideration</x:v>
      </x:c>
      <x:c r="B218" s="8" t="str">
        <x:v>Moderate margin</x:v>
      </x:c>
      <x:c r="C218" s="8" t="str">
        <x:v>Acquisition term</x:v>
      </x:c>
      <x:c r="D218" s="22" t="n">
        <x:v>3</x:v>
      </x:c>
      <x:c r="E218" s="8" t="n">
        <x:v>0</x:v>
      </x:c>
      <x:c r="F218" s="23" t="n">
        <x:v>0.060000000000000005</x:v>
      </x:c>
      <x:c r="G218" s="8" t="n">
        <x:v>0</x:v>
      </x:c>
      <x:c r="H218" s="8" t="n">
        <x:v>0</x:v>
      </x:c>
      <x:c r="I218" s="8" t="n">
        <x:v>0</x:v>
      </x:c>
      <x:c r="J218" s="8" t="n">
        <x:v>0</x:v>
      </x:c>
      <x:c r="K218" s="8" t="n">
        <x:v>0</x:v>
      </x:c>
      <x:c r="L218" s="8" t="n">
        <x:v>0</x:v>
      </x:c>
      <x:c r="M218" s="21" t="n">
        <x:f>E218+K218-I218-J218-L218</x:f>
        <x:v>0</x:v>
      </x:c>
    </x:row>
    <x:row r="219" ht="36" customHeight="1">
      <x:c r="A219" s="8" t="str">
        <x:v>Mixed consideration</x:v>
      </x:c>
      <x:c r="B219" s="8" t="str">
        <x:v>Moderate margin</x:v>
      </x:c>
      <x:c r="C219" s="8" t="str">
        <x:v>Committed revolver</x:v>
      </x:c>
      <x:c r="D219" s="22" t="n">
        <x:v>3</x:v>
      </x:c>
      <x:c r="E219" s="8" t="n">
        <x:v>0</x:v>
      </x:c>
      <x:c r="F219" s="23" t="n">
        <x:v>0.0575</x:v>
      </x:c>
      <x:c r="G219" s="8" t="n">
        <x:v>0</x:v>
      </x:c>
      <x:c r="H219" s="8" t="n">
        <x:v>0</x:v>
      </x:c>
      <x:c r="I219" s="8" t="n">
        <x:v>0</x:v>
      </x:c>
      <x:c r="J219" s="8" t="n">
        <x:v>0</x:v>
      </x:c>
      <x:c r="K219" s="8" t="n">
        <x:v>0</x:v>
      </x:c>
      <x:c r="L219" s="8" t="n">
        <x:v>0</x:v>
      </x:c>
      <x:c r="M219" s="21" t="n">
        <x:f>E219+K219-I219-J219-L219</x:f>
        <x:v>0</x:v>
      </x:c>
    </x:row>
    <x:row r="220" ht="36" customHeight="1">
      <x:c r="A220" s="8" t="str">
        <x:v>Mixed consideration</x:v>
      </x:c>
      <x:c r="B220" s="8" t="str">
        <x:v>Moderate margin</x:v>
      </x:c>
      <x:c r="C220" s="8" t="str">
        <x:v>Atlas notes</x:v>
      </x:c>
      <x:c r="D220" s="22" t="n">
        <x:v>4</x:v>
      </x:c>
      <x:c r="E220" s="8" t="n">
        <x:v>704.344336961118</x:v>
      </x:c>
      <x:c r="F220" s="23" t="n">
        <x:v>0.038</x:v>
      </x:c>
      <x:c r="G220" s="8" t="n">
        <x:v>26.76508480452248</x:v>
      </x:c>
      <x:c r="H220" s="8" t="n">
        <x:v>704.344336961118</x:v>
      </x:c>
      <x:c r="I220" s="8" t="n">
        <x:v>704.344336961118</x:v>
      </x:c>
      <x:c r="J220" s="8" t="n">
        <x:v>0</x:v>
      </x:c>
      <x:c r="K220" s="8" t="n">
        <x:v>0</x:v>
      </x:c>
      <x:c r="L220" s="8" t="n">
        <x:v>0</x:v>
      </x:c>
      <x:c r="M220" s="21" t="n">
        <x:f>E220+K220-I220-J220-L220</x:f>
        <x:v>0</x:v>
      </x:c>
    </x:row>
    <x:row r="221" ht="36" customHeight="1">
      <x:c r="A221" s="8" t="str">
        <x:v>Mixed consideration</x:v>
      </x:c>
      <x:c r="B221" s="8" t="str">
        <x:v>Moderate margin</x:v>
      </x:c>
      <x:c r="C221" s="8" t="str">
        <x:v>Atlas finance lease</x:v>
      </x:c>
      <x:c r="D221" s="22" t="n">
        <x:v>4</x:v>
      </x:c>
      <x:c r="E221" s="8" t="n">
        <x:v>0</x:v>
      </x:c>
      <x:c r="F221" s="23" t="n">
        <x:v>0.05</x:v>
      </x:c>
      <x:c r="G221" s="8" t="n">
        <x:v>0</x:v>
      </x:c>
      <x:c r="H221" s="8" t="n">
        <x:v>0</x:v>
      </x:c>
      <x:c r="I221" s="8" t="n">
        <x:v>0</x:v>
      </x:c>
      <x:c r="J221" s="8" t="n">
        <x:v>0</x:v>
      </x:c>
      <x:c r="K221" s="8" t="n">
        <x:v>0</x:v>
      </x:c>
      <x:c r="L221" s="8" t="n">
        <x:v>0</x:v>
      </x:c>
      <x:c r="M221" s="21" t="n">
        <x:f>E221+K221-I221-J221-L221</x:f>
        <x:v>0</x:v>
      </x:c>
    </x:row>
    <x:row r="222" ht="36" customHeight="1">
      <x:c r="A222" s="8" t="str">
        <x:v>Mixed consideration</x:v>
      </x:c>
      <x:c r="B222" s="8" t="str">
        <x:v>Moderate margin</x:v>
      </x:c>
      <x:c r="C222" s="8" t="str">
        <x:v>Beacon notes</x:v>
      </x:c>
      <x:c r="D222" s="22" t="n">
        <x:v>4</x:v>
      </x:c>
      <x:c r="E222" s="8" t="n">
        <x:v>0</x:v>
      </x:c>
      <x:c r="F222" s="23" t="n">
        <x:v>0.0475</x:v>
      </x:c>
      <x:c r="G222" s="8" t="n">
        <x:v>0</x:v>
      </x:c>
      <x:c r="H222" s="8" t="n">
        <x:v>0</x:v>
      </x:c>
      <x:c r="I222" s="8" t="n">
        <x:v>0</x:v>
      </x:c>
      <x:c r="J222" s="8" t="n">
        <x:v>0</x:v>
      </x:c>
      <x:c r="K222" s="8" t="n">
        <x:v>0</x:v>
      </x:c>
      <x:c r="L222" s="8" t="n">
        <x:v>0</x:v>
      </x:c>
      <x:c r="M222" s="21" t="n">
        <x:f>E222+K222-I222-J222-L222</x:f>
        <x:v>0</x:v>
      </x:c>
    </x:row>
    <x:row r="223" ht="36" customHeight="1">
      <x:c r="A223" s="8" t="str">
        <x:v>Mixed consideration</x:v>
      </x:c>
      <x:c r="B223" s="8" t="str">
        <x:v>Moderate margin</x:v>
      </x:c>
      <x:c r="C223" s="8" t="str">
        <x:v>Acquisition term</x:v>
      </x:c>
      <x:c r="D223" s="22" t="n">
        <x:v>4</x:v>
      </x:c>
      <x:c r="E223" s="8" t="n">
        <x:v>0</x:v>
      </x:c>
      <x:c r="F223" s="23" t="n">
        <x:v>0.060000000000000005</x:v>
      </x:c>
      <x:c r="G223" s="8" t="n">
        <x:v>0</x:v>
      </x:c>
      <x:c r="H223" s="8" t="n">
        <x:v>0</x:v>
      </x:c>
      <x:c r="I223" s="8" t="n">
        <x:v>0</x:v>
      </x:c>
      <x:c r="J223" s="8" t="n">
        <x:v>0</x:v>
      </x:c>
      <x:c r="K223" s="8" t="n">
        <x:v>0</x:v>
      </x:c>
      <x:c r="L223" s="8" t="n">
        <x:v>0</x:v>
      </x:c>
      <x:c r="M223" s="21" t="n">
        <x:f>E223+K223-I223-J223-L223</x:f>
        <x:v>0</x:v>
      </x:c>
    </x:row>
    <x:row r="224" ht="36" customHeight="1">
      <x:c r="A224" s="8" t="str">
        <x:v>Mixed consideration</x:v>
      </x:c>
      <x:c r="B224" s="8" t="str">
        <x:v>Moderate margin</x:v>
      </x:c>
      <x:c r="C224" s="8" t="str">
        <x:v>Committed revolver</x:v>
      </x:c>
      <x:c r="D224" s="22" t="n">
        <x:v>4</x:v>
      </x:c>
      <x:c r="E224" s="8" t="n">
        <x:v>0</x:v>
      </x:c>
      <x:c r="F224" s="23" t="n">
        <x:v>0.0575</x:v>
      </x:c>
      <x:c r="G224" s="8" t="n">
        <x:v>0</x:v>
      </x:c>
      <x:c r="H224" s="8" t="n">
        <x:v>0</x:v>
      </x:c>
      <x:c r="I224" s="8" t="n">
        <x:v>0</x:v>
      </x:c>
      <x:c r="J224" s="8" t="n">
        <x:v>0</x:v>
      </x:c>
      <x:c r="K224" s="8" t="n">
        <x:v>234.7136438933428</x:v>
      </x:c>
      <x:c r="L224" s="8" t="n">
        <x:v>0</x:v>
      </x:c>
      <x:c r="M224" s="21" t="n">
        <x:f>E224+K224-I224-J224-L224</x:f>
        <x:v>234.7136438933428</x:v>
      </x:c>
    </x:row>
    <x:row r="225" ht="36" customHeight="1">
      <x:c r="A225" s="8" t="str">
        <x:v>Mixed consideration</x:v>
      </x:c>
      <x:c r="B225" s="8" t="str">
        <x:v>Moderate margin</x:v>
      </x:c>
      <x:c r="C225" s="8" t="str">
        <x:v>Atlas notes</x:v>
      </x:c>
      <x:c r="D225" s="22" t="n">
        <x:v>5</x:v>
      </x:c>
      <x:c r="E225" s="8" t="n">
        <x:v>0</x:v>
      </x:c>
      <x:c r="F225" s="23" t="n">
        <x:v>0.038</x:v>
      </x:c>
      <x:c r="G225" s="8" t="n">
        <x:v>0</x:v>
      </x:c>
      <x:c r="H225" s="8" t="n">
        <x:v>0</x:v>
      </x:c>
      <x:c r="I225" s="8" t="n">
        <x:v>0</x:v>
      </x:c>
      <x:c r="J225" s="8" t="n">
        <x:v>0</x:v>
      </x:c>
      <x:c r="K225" s="8" t="n">
        <x:v>0</x:v>
      </x:c>
      <x:c r="L225" s="8" t="n">
        <x:v>0</x:v>
      </x:c>
      <x:c r="M225" s="21" t="n">
        <x:f>E225+K225-I225-J225-L225</x:f>
        <x:v>0</x:v>
      </x:c>
    </x:row>
    <x:row r="226" ht="36" customHeight="1">
      <x:c r="A226" s="8" t="str">
        <x:v>Mixed consideration</x:v>
      </x:c>
      <x:c r="B226" s="8" t="str">
        <x:v>Moderate margin</x:v>
      </x:c>
      <x:c r="C226" s="8" t="str">
        <x:v>Atlas finance lease</x:v>
      </x:c>
      <x:c r="D226" s="22" t="n">
        <x:v>5</x:v>
      </x:c>
      <x:c r="E226" s="8" t="n">
        <x:v>0</x:v>
      </x:c>
      <x:c r="F226" s="23" t="n">
        <x:v>0.05</x:v>
      </x:c>
      <x:c r="G226" s="8" t="n">
        <x:v>0</x:v>
      </x:c>
      <x:c r="H226" s="8" t="n">
        <x:v>0</x:v>
      </x:c>
      <x:c r="I226" s="8" t="n">
        <x:v>0</x:v>
      </x:c>
      <x:c r="J226" s="8" t="n">
        <x:v>0</x:v>
      </x:c>
      <x:c r="K226" s="8" t="n">
        <x:v>0</x:v>
      </x:c>
      <x:c r="L226" s="8" t="n">
        <x:v>0</x:v>
      </x:c>
      <x:c r="M226" s="21" t="n">
        <x:f>E226+K226-I226-J226-L226</x:f>
        <x:v>0</x:v>
      </x:c>
    </x:row>
    <x:row r="227" ht="36" customHeight="1">
      <x:c r="A227" s="8" t="str">
        <x:v>Mixed consideration</x:v>
      </x:c>
      <x:c r="B227" s="8" t="str">
        <x:v>Moderate margin</x:v>
      </x:c>
      <x:c r="C227" s="8" t="str">
        <x:v>Beacon notes</x:v>
      </x:c>
      <x:c r="D227" s="22" t="n">
        <x:v>5</x:v>
      </x:c>
      <x:c r="E227" s="8" t="n">
        <x:v>0</x:v>
      </x:c>
      <x:c r="F227" s="23" t="n">
        <x:v>0.0475</x:v>
      </x:c>
      <x:c r="G227" s="8" t="n">
        <x:v>0</x:v>
      </x:c>
      <x:c r="H227" s="8" t="n">
        <x:v>0</x:v>
      </x:c>
      <x:c r="I227" s="8" t="n">
        <x:v>0</x:v>
      </x:c>
      <x:c r="J227" s="8" t="n">
        <x:v>0</x:v>
      </x:c>
      <x:c r="K227" s="8" t="n">
        <x:v>0</x:v>
      </x:c>
      <x:c r="L227" s="8" t="n">
        <x:v>0</x:v>
      </x:c>
      <x:c r="M227" s="21" t="n">
        <x:f>E227+K227-I227-J227-L227</x:f>
        <x:v>0</x:v>
      </x:c>
    </x:row>
    <x:row r="228" ht="36" customHeight="1">
      <x:c r="A228" s="8" t="str">
        <x:v>Mixed consideration</x:v>
      </x:c>
      <x:c r="B228" s="8" t="str">
        <x:v>Moderate margin</x:v>
      </x:c>
      <x:c r="C228" s="8" t="str">
        <x:v>Acquisition term</x:v>
      </x:c>
      <x:c r="D228" s="22" t="n">
        <x:v>5</x:v>
      </x:c>
      <x:c r="E228" s="8" t="n">
        <x:v>0</x:v>
      </x:c>
      <x:c r="F228" s="23" t="n">
        <x:v>0.060000000000000005</x:v>
      </x:c>
      <x:c r="G228" s="8" t="n">
        <x:v>0</x:v>
      </x:c>
      <x:c r="H228" s="8" t="n">
        <x:v>0</x:v>
      </x:c>
      <x:c r="I228" s="8" t="n">
        <x:v>0</x:v>
      </x:c>
      <x:c r="J228" s="8" t="n">
        <x:v>0</x:v>
      </x:c>
      <x:c r="K228" s="8" t="n">
        <x:v>0</x:v>
      </x:c>
      <x:c r="L228" s="8" t="n">
        <x:v>0</x:v>
      </x:c>
      <x:c r="M228" s="21" t="n">
        <x:f>E228+K228-I228-J228-L228</x:f>
        <x:v>0</x:v>
      </x:c>
    </x:row>
    <x:row r="229" ht="36" customHeight="1">
      <x:c r="A229" s="8" t="str">
        <x:v>Mixed consideration</x:v>
      </x:c>
      <x:c r="B229" s="8" t="str">
        <x:v>Moderate margin</x:v>
      </x:c>
      <x:c r="C229" s="8" t="str">
        <x:v>Committed revolver</x:v>
      </x:c>
      <x:c r="D229" s="22" t="n">
        <x:v>5</x:v>
      </x:c>
      <x:c r="E229" s="8" t="n">
        <x:v>234.7136438933428</x:v>
      </x:c>
      <x:c r="F229" s="23" t="n">
        <x:v>0.0575</x:v>
      </x:c>
      <x:c r="G229" s="8" t="n">
        <x:v>13.496034523867213</x:v>
      </x:c>
      <x:c r="H229" s="8" t="n">
        <x:v>234.7136438933428</x:v>
      </x:c>
      <x:c r="I229" s="8" t="n">
        <x:v>234.7136438933428</x:v>
      </x:c>
      <x:c r="J229" s="8" t="n">
        <x:v>0</x:v>
      </x:c>
      <x:c r="K229" s="8" t="n">
        <x:v>0</x:v>
      </x:c>
      <x:c r="L229" s="8" t="n">
        <x:v>0</x:v>
      </x:c>
      <x:c r="M229" s="21" t="n">
        <x:f>E229+K229-I229-J229-L229</x:f>
        <x:v>0</x:v>
      </x:c>
    </x:row>
    <x:row r="230" ht="36" customHeight="1">
      <x:c r="A230" s="8" t="str">
        <x:v>Cash-first</x:v>
      </x:c>
      <x:c r="B230" s="8" t="str">
        <x:v>Moderate inventory</x:v>
      </x:c>
      <x:c r="C230" s="8" t="str">
        <x:v>Atlas notes</x:v>
      </x:c>
      <x:c r="D230" s="22" t="n">
        <x:v>1</x:v>
      </x:c>
      <x:c r="E230" s="8" t="n">
        <x:v>900</x:v>
      </x:c>
      <x:c r="F230" s="23" t="n">
        <x:v>0.038</x:v>
      </x:c>
      <x:c r="G230" s="8" t="n">
        <x:v>34.199999999999996</x:v>
      </x:c>
      <x:c r="H230" s="8" t="n">
        <x:v>0</x:v>
      </x:c>
      <x:c r="I230" s="8" t="n">
        <x:v>0</x:v>
      </x:c>
      <x:c r="J230" s="8" t="n">
        <x:v>0</x:v>
      </x:c>
      <x:c r="K230" s="8" t="n">
        <x:v>0</x:v>
      </x:c>
      <x:c r="L230" s="8" t="n">
        <x:v>0</x:v>
      </x:c>
      <x:c r="M230" s="21" t="n">
        <x:f>E230+K230-I230-J230-L230</x:f>
        <x:v>900</x:v>
      </x:c>
    </x:row>
    <x:row r="231" ht="36" customHeight="1">
      <x:c r="A231" s="8" t="str">
        <x:v>Cash-first</x:v>
      </x:c>
      <x:c r="B231" s="8" t="str">
        <x:v>Moderate inventory</x:v>
      </x:c>
      <x:c r="C231" s="8" t="str">
        <x:v>Atlas finance lease</x:v>
      </x:c>
      <x:c r="D231" s="22" t="n">
        <x:v>1</x:v>
      </x:c>
      <x:c r="E231" s="8" t="n">
        <x:v>80</x:v>
      </x:c>
      <x:c r="F231" s="23" t="n">
        <x:v>0.05</x:v>
      </x:c>
      <x:c r="G231" s="8" t="n">
        <x:v>4</x:v>
      </x:c>
      <x:c r="H231" s="8" t="n">
        <x:v>16</x:v>
      </x:c>
      <x:c r="I231" s="8" t="n">
        <x:v>16</x:v>
      </x:c>
      <x:c r="J231" s="8" t="n">
        <x:v>0</x:v>
      </x:c>
      <x:c r="K231" s="8" t="n">
        <x:v>0</x:v>
      </x:c>
      <x:c r="L231" s="8" t="n">
        <x:v>0</x:v>
      </x:c>
      <x:c r="M231" s="21" t="n">
        <x:f>E231+K231-I231-J231-L231</x:f>
        <x:v>64</x:v>
      </x:c>
    </x:row>
    <x:row r="232" ht="36" customHeight="1">
      <x:c r="A232" s="8" t="str">
        <x:v>Cash-first</x:v>
      </x:c>
      <x:c r="B232" s="8" t="str">
        <x:v>Moderate inventory</x:v>
      </x:c>
      <x:c r="C232" s="8" t="str">
        <x:v>Beacon notes</x:v>
      </x:c>
      <x:c r="D232" s="22" t="n">
        <x:v>1</x:v>
      </x:c>
      <x:c r="E232" s="8" t="n">
        <x:v>350</x:v>
      </x:c>
      <x:c r="F232" s="23" t="n">
        <x:v>0.0475</x:v>
      </x:c>
      <x:c r="G232" s="8" t="n">
        <x:v>16.625</x:v>
      </x:c>
      <x:c r="H232" s="8" t="n">
        <x:v>0</x:v>
      </x:c>
      <x:c r="I232" s="8" t="n">
        <x:v>0</x:v>
      </x:c>
      <x:c r="J232" s="8" t="n">
        <x:v>0</x:v>
      </x:c>
      <x:c r="K232" s="8" t="n">
        <x:v>0</x:v>
      </x:c>
      <x:c r="L232" s="8" t="n">
        <x:v>0</x:v>
      </x:c>
      <x:c r="M232" s="21" t="n">
        <x:f>E232+K232-I232-J232-L232</x:f>
        <x:v>350</x:v>
      </x:c>
    </x:row>
    <x:row r="233" ht="36" customHeight="1">
      <x:c r="A233" s="8" t="str">
        <x:v>Cash-first</x:v>
      </x:c>
      <x:c r="B233" s="8" t="str">
        <x:v>Moderate inventory</x:v>
      </x:c>
      <x:c r="C233" s="8" t="str">
        <x:v>Acquisition term</x:v>
      </x:c>
      <x:c r="D233" s="22" t="n">
        <x:v>1</x:v>
      </x:c>
      <x:c r="E233" s="8" t="n">
        <x:v>1340.1015228426397</x:v>
      </x:c>
      <x:c r="F233" s="23" t="n">
        <x:v>0.065</x:v>
      </x:c>
      <x:c r="G233" s="8" t="n">
        <x:v>87.10659898477158</x:v>
      </x:c>
      <x:c r="H233" s="8" t="n">
        <x:v>26.802030456852794</x:v>
      </x:c>
      <x:c r="I233" s="8" t="n">
        <x:v>26.802030456852794</x:v>
      </x:c>
      <x:c r="J233" s="8" t="n">
        <x:v>0</x:v>
      </x:c>
      <x:c r="K233" s="8" t="n">
        <x:v>0</x:v>
      </x:c>
      <x:c r="L233" s="8" t="n">
        <x:v>0</x:v>
      </x:c>
      <x:c r="M233" s="21" t="n">
        <x:f>E233+K233-I233-J233-L233</x:f>
        <x:v>1313.2994923857868</x:v>
      </x:c>
    </x:row>
    <x:row r="234" ht="36" customHeight="1">
      <x:c r="A234" s="8" t="str">
        <x:v>Cash-first</x:v>
      </x:c>
      <x:c r="B234" s="8" t="str">
        <x:v>Moderate inventory</x:v>
      </x:c>
      <x:c r="C234" s="8" t="str">
        <x:v>Committed revolver</x:v>
      </x:c>
      <x:c r="D234" s="22" t="n">
        <x:v>1</x:v>
      </x:c>
      <x:c r="E234" s="8" t="n">
        <x:v>0</x:v>
      </x:c>
      <x:c r="F234" s="23" t="n">
        <x:v>0.0625</x:v>
      </x:c>
      <x:c r="G234" s="8" t="n">
        <x:v>0</x:v>
      </x:c>
      <x:c r="H234" s="8" t="n">
        <x:v>0</x:v>
      </x:c>
      <x:c r="I234" s="8" t="n">
        <x:v>0</x:v>
      </x:c>
      <x:c r="J234" s="8" t="n">
        <x:v>0</x:v>
      </x:c>
      <x:c r="K234" s="8" t="n">
        <x:v>48.38103791460992</x:v>
      </x:c>
      <x:c r="L234" s="8" t="n">
        <x:v>0</x:v>
      </x:c>
      <x:c r="M234" s="21" t="n">
        <x:f>E234+K234-I234-J234-L234</x:f>
        <x:v>48.38103791460992</x:v>
      </x:c>
    </x:row>
    <x:row r="235" ht="36" customHeight="1">
      <x:c r="A235" s="8" t="str">
        <x:v>Cash-first</x:v>
      </x:c>
      <x:c r="B235" s="8" t="str">
        <x:v>Moderate inventory</x:v>
      </x:c>
      <x:c r="C235" s="8" t="str">
        <x:v>Atlas notes</x:v>
      </x:c>
      <x:c r="D235" s="22" t="n">
        <x:v>2</x:v>
      </x:c>
      <x:c r="E235" s="8" t="n">
        <x:v>900</x:v>
      </x:c>
      <x:c r="F235" s="23" t="n">
        <x:v>0.038</x:v>
      </x:c>
      <x:c r="G235" s="8" t="n">
        <x:v>34.199999999999996</x:v>
      </x:c>
      <x:c r="H235" s="8" t="n">
        <x:v>0</x:v>
      </x:c>
      <x:c r="I235" s="8" t="n">
        <x:v>0</x:v>
      </x:c>
      <x:c r="J235" s="8" t="n">
        <x:v>0</x:v>
      </x:c>
      <x:c r="K235" s="8" t="n">
        <x:v>0</x:v>
      </x:c>
      <x:c r="L235" s="8" t="n">
        <x:v>0</x:v>
      </x:c>
      <x:c r="M235" s="21" t="n">
        <x:f>E235+K235-I235-J235-L235</x:f>
        <x:v>900</x:v>
      </x:c>
    </x:row>
    <x:row r="236" ht="36" customHeight="1">
      <x:c r="A236" s="8" t="str">
        <x:v>Cash-first</x:v>
      </x:c>
      <x:c r="B236" s="8" t="str">
        <x:v>Moderate inventory</x:v>
      </x:c>
      <x:c r="C236" s="8" t="str">
        <x:v>Atlas finance lease</x:v>
      </x:c>
      <x:c r="D236" s="22" t="n">
        <x:v>2</x:v>
      </x:c>
      <x:c r="E236" s="8" t="n">
        <x:v>64</x:v>
      </x:c>
      <x:c r="F236" s="23" t="n">
        <x:v>0.05</x:v>
      </x:c>
      <x:c r="G236" s="8" t="n">
        <x:v>3.2</x:v>
      </x:c>
      <x:c r="H236" s="8" t="n">
        <x:v>16</x:v>
      </x:c>
      <x:c r="I236" s="8" t="n">
        <x:v>16</x:v>
      </x:c>
      <x:c r="J236" s="8" t="n">
        <x:v>0</x:v>
      </x:c>
      <x:c r="K236" s="8" t="n">
        <x:v>0</x:v>
      </x:c>
      <x:c r="L236" s="8" t="n">
        <x:v>0</x:v>
      </x:c>
      <x:c r="M236" s="21" t="n">
        <x:f>E236+K236-I236-J236-L236</x:f>
        <x:v>48</x:v>
      </x:c>
    </x:row>
    <x:row r="237" ht="36" customHeight="1">
      <x:c r="A237" s="8" t="str">
        <x:v>Cash-first</x:v>
      </x:c>
      <x:c r="B237" s="8" t="str">
        <x:v>Moderate inventory</x:v>
      </x:c>
      <x:c r="C237" s="8" t="str">
        <x:v>Beacon notes</x:v>
      </x:c>
      <x:c r="D237" s="22" t="n">
        <x:v>2</x:v>
      </x:c>
      <x:c r="E237" s="8" t="n">
        <x:v>350</x:v>
      </x:c>
      <x:c r="F237" s="23" t="n">
        <x:v>0.0475</x:v>
      </x:c>
      <x:c r="G237" s="8" t="n">
        <x:v>16.625</x:v>
      </x:c>
      <x:c r="H237" s="8" t="n">
        <x:v>0</x:v>
      </x:c>
      <x:c r="I237" s="8" t="n">
        <x:v>0</x:v>
      </x:c>
      <x:c r="J237" s="8" t="n">
        <x:v>0</x:v>
      </x:c>
      <x:c r="K237" s="8" t="n">
        <x:v>0</x:v>
      </x:c>
      <x:c r="L237" s="8" t="n">
        <x:v>0</x:v>
      </x:c>
      <x:c r="M237" s="21" t="n">
        <x:f>E237+K237-I237-J237-L237</x:f>
        <x:v>350</x:v>
      </x:c>
    </x:row>
    <x:row r="238" ht="36" customHeight="1">
      <x:c r="A238" s="8" t="str">
        <x:v>Cash-first</x:v>
      </x:c>
      <x:c r="B238" s="8" t="str">
        <x:v>Moderate inventory</x:v>
      </x:c>
      <x:c r="C238" s="8" t="str">
        <x:v>Acquisition term</x:v>
      </x:c>
      <x:c r="D238" s="22" t="n">
        <x:v>2</x:v>
      </x:c>
      <x:c r="E238" s="8" t="n">
        <x:v>1313.2994923857868</x:v>
      </x:c>
      <x:c r="F238" s="23" t="n">
        <x:v>0.0625</x:v>
      </x:c>
      <x:c r="G238" s="8" t="n">
        <x:v>82.08121827411168</x:v>
      </x:c>
      <x:c r="H238" s="8" t="n">
        <x:v>26.802030456852794</x:v>
      </x:c>
      <x:c r="I238" s="8" t="n">
        <x:v>26.802030456852794</x:v>
      </x:c>
      <x:c r="J238" s="8" t="n">
        <x:v>279.9450758400818</x:v>
      </x:c>
      <x:c r="K238" s="8" t="n">
        <x:v>0</x:v>
      </x:c>
      <x:c r="L238" s="8" t="n">
        <x:v>0</x:v>
      </x:c>
      <x:c r="M238" s="21" t="n">
        <x:f>E238+K238-I238-J238-L238</x:f>
        <x:v>1006.5523860888521</x:v>
      </x:c>
    </x:row>
    <x:row r="239" ht="36" customHeight="1">
      <x:c r="A239" s="8" t="str">
        <x:v>Cash-first</x:v>
      </x:c>
      <x:c r="B239" s="8" t="str">
        <x:v>Moderate inventory</x:v>
      </x:c>
      <x:c r="C239" s="8" t="str">
        <x:v>Committed revolver</x:v>
      </x:c>
      <x:c r="D239" s="22" t="n">
        <x:v>2</x:v>
      </x:c>
      <x:c r="E239" s="8" t="n">
        <x:v>48.38103791460992</x:v>
      </x:c>
      <x:c r="F239" s="23" t="n">
        <x:v>0.06</x:v>
      </x:c>
      <x:c r="G239" s="8" t="n">
        <x:v>2.902862274876595</x:v>
      </x:c>
      <x:c r="H239" s="8" t="n">
        <x:v>0</x:v>
      </x:c>
      <x:c r="I239" s="8" t="n">
        <x:v>0</x:v>
      </x:c>
      <x:c r="J239" s="8" t="n">
        <x:v>48.38103791460992</x:v>
      </x:c>
      <x:c r="K239" s="8" t="n">
        <x:v>0</x:v>
      </x:c>
      <x:c r="L239" s="8" t="n">
        <x:v>0</x:v>
      </x:c>
      <x:c r="M239" s="21" t="n">
        <x:f>E239+K239-I239-J239-L239</x:f>
        <x:v>0</x:v>
      </x:c>
    </x:row>
    <x:row r="240" ht="36" customHeight="1">
      <x:c r="A240" s="8" t="str">
        <x:v>Cash-first</x:v>
      </x:c>
      <x:c r="B240" s="8" t="str">
        <x:v>Moderate inventory</x:v>
      </x:c>
      <x:c r="C240" s="8" t="str">
        <x:v>Atlas notes</x:v>
      </x:c>
      <x:c r="D240" s="22" t="n">
        <x:v>3</x:v>
      </x:c>
      <x:c r="E240" s="8" t="n">
        <x:v>900</x:v>
      </x:c>
      <x:c r="F240" s="23" t="n">
        <x:v>0.038</x:v>
      </x:c>
      <x:c r="G240" s="8" t="n">
        <x:v>34.199999999999996</x:v>
      </x:c>
      <x:c r="H240" s="8" t="n">
        <x:v>0</x:v>
      </x:c>
      <x:c r="I240" s="8" t="n">
        <x:v>0</x:v>
      </x:c>
      <x:c r="J240" s="8" t="n">
        <x:v>0</x:v>
      </x:c>
      <x:c r="K240" s="8" t="n">
        <x:v>0</x:v>
      </x:c>
      <x:c r="L240" s="8" t="n">
        <x:v>0</x:v>
      </x:c>
      <x:c r="M240" s="21" t="n">
        <x:f>E240+K240-I240-J240-L240</x:f>
        <x:v>900</x:v>
      </x:c>
    </x:row>
    <x:row r="241" ht="36" customHeight="1">
      <x:c r="A241" s="8" t="str">
        <x:v>Cash-first</x:v>
      </x:c>
      <x:c r="B241" s="8" t="str">
        <x:v>Moderate inventory</x:v>
      </x:c>
      <x:c r="C241" s="8" t="str">
        <x:v>Atlas finance lease</x:v>
      </x:c>
      <x:c r="D241" s="22" t="n">
        <x:v>3</x:v>
      </x:c>
      <x:c r="E241" s="8" t="n">
        <x:v>48</x:v>
      </x:c>
      <x:c r="F241" s="23" t="n">
        <x:v>0.05</x:v>
      </x:c>
      <x:c r="G241" s="8" t="n">
        <x:v>2.4000000000000004</x:v>
      </x:c>
      <x:c r="H241" s="8" t="n">
        <x:v>16</x:v>
      </x:c>
      <x:c r="I241" s="8" t="n">
        <x:v>16</x:v>
      </x:c>
      <x:c r="J241" s="8" t="n">
        <x:v>0</x:v>
      </x:c>
      <x:c r="K241" s="8" t="n">
        <x:v>0</x:v>
      </x:c>
      <x:c r="L241" s="8" t="n">
        <x:v>0</x:v>
      </x:c>
      <x:c r="M241" s="21" t="n">
        <x:f>E241+K241-I241-J241-L241</x:f>
        <x:v>32</x:v>
      </x:c>
    </x:row>
    <x:row r="242" ht="36" customHeight="1">
      <x:c r="A242" s="8" t="str">
        <x:v>Cash-first</x:v>
      </x:c>
      <x:c r="B242" s="8" t="str">
        <x:v>Moderate inventory</x:v>
      </x:c>
      <x:c r="C242" s="8" t="str">
        <x:v>Beacon notes</x:v>
      </x:c>
      <x:c r="D242" s="22" t="n">
        <x:v>3</x:v>
      </x:c>
      <x:c r="E242" s="8" t="n">
        <x:v>350</x:v>
      </x:c>
      <x:c r="F242" s="23" t="n">
        <x:v>0.0475</x:v>
      </x:c>
      <x:c r="G242" s="8" t="n">
        <x:v>16.625</x:v>
      </x:c>
      <x:c r="H242" s="8" t="n">
        <x:v>350</x:v>
      </x:c>
      <x:c r="I242" s="8" t="n">
        <x:v>350</x:v>
      </x:c>
      <x:c r="J242" s="8" t="n">
        <x:v>0</x:v>
      </x:c>
      <x:c r="K242" s="8" t="n">
        <x:v>0</x:v>
      </x:c>
      <x:c r="L242" s="8" t="n">
        <x:v>0</x:v>
      </x:c>
      <x:c r="M242" s="21" t="n">
        <x:f>E242+K242-I242-J242-L242</x:f>
        <x:v>0</x:v>
      </x:c>
    </x:row>
    <x:row r="243" ht="36" customHeight="1">
      <x:c r="A243" s="8" t="str">
        <x:v>Cash-first</x:v>
      </x:c>
      <x:c r="B243" s="8" t="str">
        <x:v>Moderate inventory</x:v>
      </x:c>
      <x:c r="C243" s="8" t="str">
        <x:v>Acquisition term</x:v>
      </x:c>
      <x:c r="D243" s="22" t="n">
        <x:v>3</x:v>
      </x:c>
      <x:c r="E243" s="8" t="n">
        <x:v>1006.5523860888521</x:v>
      </x:c>
      <x:c r="F243" s="23" t="n">
        <x:v>0.060000000000000005</x:v>
      </x:c>
      <x:c r="G243" s="8" t="n">
        <x:v>60.39314316533113</x:v>
      </x:c>
      <x:c r="H243" s="8" t="n">
        <x:v>26.802030456852794</x:v>
      </x:c>
      <x:c r="I243" s="8" t="n">
        <x:v>26.802030456852794</x:v>
      </x:c>
      <x:c r="J243" s="8" t="n">
        <x:v>93.18042065801762</x:v>
      </x:c>
      <x:c r="K243" s="8" t="n">
        <x:v>0</x:v>
      </x:c>
      <x:c r="L243" s="8" t="n">
        <x:v>0</x:v>
      </x:c>
      <x:c r="M243" s="21" t="n">
        <x:f>E243+K243-I243-J243-L243</x:f>
        <x:v>886.5699349739817</x:v>
      </x:c>
    </x:row>
    <x:row r="244" ht="36" customHeight="1">
      <x:c r="A244" s="8" t="str">
        <x:v>Cash-first</x:v>
      </x:c>
      <x:c r="B244" s="8" t="str">
        <x:v>Moderate inventory</x:v>
      </x:c>
      <x:c r="C244" s="8" t="str">
        <x:v>Committed revolver</x:v>
      </x:c>
      <x:c r="D244" s="22" t="n">
        <x:v>3</x:v>
      </x:c>
      <x:c r="E244" s="8" t="n">
        <x:v>0</x:v>
      </x:c>
      <x:c r="F244" s="23" t="n">
        <x:v>0.0575</x:v>
      </x:c>
      <x:c r="G244" s="8" t="n">
        <x:v>0</x:v>
      </x:c>
      <x:c r="H244" s="8" t="n">
        <x:v>0</x:v>
      </x:c>
      <x:c r="I244" s="8" t="n">
        <x:v>0</x:v>
      </x:c>
      <x:c r="J244" s="8" t="n">
        <x:v>0</x:v>
      </x:c>
      <x:c r="K244" s="8" t="n">
        <x:v>0</x:v>
      </x:c>
      <x:c r="L244" s="8" t="n">
        <x:v>0</x:v>
      </x:c>
      <x:c r="M244" s="21" t="n">
        <x:f>E244+K244-I244-J244-L244</x:f>
        <x:v>0</x:v>
      </x:c>
    </x:row>
    <x:row r="245" ht="36" customHeight="1">
      <x:c r="A245" s="8" t="str">
        <x:v>Cash-first</x:v>
      </x:c>
      <x:c r="B245" s="8" t="str">
        <x:v>Moderate inventory</x:v>
      </x:c>
      <x:c r="C245" s="8" t="str">
        <x:v>Atlas notes</x:v>
      </x:c>
      <x:c r="D245" s="22" t="n">
        <x:v>4</x:v>
      </x:c>
      <x:c r="E245" s="8" t="n">
        <x:v>900</x:v>
      </x:c>
      <x:c r="F245" s="23" t="n">
        <x:v>0.038</x:v>
      </x:c>
      <x:c r="G245" s="8" t="n">
        <x:v>34.199999999999996</x:v>
      </x:c>
      <x:c r="H245" s="8" t="n">
        <x:v>900</x:v>
      </x:c>
      <x:c r="I245" s="8" t="n">
        <x:v>900</x:v>
      </x:c>
      <x:c r="J245" s="8" t="n">
        <x:v>0</x:v>
      </x:c>
      <x:c r="K245" s="8" t="n">
        <x:v>0</x:v>
      </x:c>
      <x:c r="L245" s="8" t="n">
        <x:v>0</x:v>
      </x:c>
      <x:c r="M245" s="21" t="n">
        <x:f>E245+K245-I245-J245-L245</x:f>
        <x:v>0</x:v>
      </x:c>
    </x:row>
    <x:row r="246" ht="36" customHeight="1">
      <x:c r="A246" s="8" t="str">
        <x:v>Cash-first</x:v>
      </x:c>
      <x:c r="B246" s="8" t="str">
        <x:v>Moderate inventory</x:v>
      </x:c>
      <x:c r="C246" s="8" t="str">
        <x:v>Atlas finance lease</x:v>
      </x:c>
      <x:c r="D246" s="22" t="n">
        <x:v>4</x:v>
      </x:c>
      <x:c r="E246" s="8" t="n">
        <x:v>32</x:v>
      </x:c>
      <x:c r="F246" s="23" t="n">
        <x:v>0.05</x:v>
      </x:c>
      <x:c r="G246" s="8" t="n">
        <x:v>1.6</x:v>
      </x:c>
      <x:c r="H246" s="8" t="n">
        <x:v>16</x:v>
      </x:c>
      <x:c r="I246" s="8" t="n">
        <x:v>16</x:v>
      </x:c>
      <x:c r="J246" s="8" t="n">
        <x:v>0</x:v>
      </x:c>
      <x:c r="K246" s="8" t="n">
        <x:v>0</x:v>
      </x:c>
      <x:c r="L246" s="8" t="n">
        <x:v>0</x:v>
      </x:c>
      <x:c r="M246" s="21" t="n">
        <x:f>E246+K246-I246-J246-L246</x:f>
        <x:v>16</x:v>
      </x:c>
    </x:row>
    <x:row r="247" ht="36" customHeight="1">
      <x:c r="A247" s="8" t="str">
        <x:v>Cash-first</x:v>
      </x:c>
      <x:c r="B247" s="8" t="str">
        <x:v>Moderate inventory</x:v>
      </x:c>
      <x:c r="C247" s="8" t="str">
        <x:v>Beacon notes</x:v>
      </x:c>
      <x:c r="D247" s="22" t="n">
        <x:v>4</x:v>
      </x:c>
      <x:c r="E247" s="8" t="n">
        <x:v>0</x:v>
      </x:c>
      <x:c r="F247" s="23" t="n">
        <x:v>0.0475</x:v>
      </x:c>
      <x:c r="G247" s="8" t="n">
        <x:v>0</x:v>
      </x:c>
      <x:c r="H247" s="8" t="n">
        <x:v>0</x:v>
      </x:c>
      <x:c r="I247" s="8" t="n">
        <x:v>0</x:v>
      </x:c>
      <x:c r="J247" s="8" t="n">
        <x:v>0</x:v>
      </x:c>
      <x:c r="K247" s="8" t="n">
        <x:v>0</x:v>
      </x:c>
      <x:c r="L247" s="8" t="n">
        <x:v>0</x:v>
      </x:c>
      <x:c r="M247" s="21" t="n">
        <x:f>E247+K247-I247-J247-L247</x:f>
        <x:v>0</x:v>
      </x:c>
    </x:row>
    <x:row r="248" ht="36" customHeight="1">
      <x:c r="A248" s="8" t="str">
        <x:v>Cash-first</x:v>
      </x:c>
      <x:c r="B248" s="8" t="str">
        <x:v>Moderate inventory</x:v>
      </x:c>
      <x:c r="C248" s="8" t="str">
        <x:v>Acquisition term</x:v>
      </x:c>
      <x:c r="D248" s="22" t="n">
        <x:v>4</x:v>
      </x:c>
      <x:c r="E248" s="8" t="n">
        <x:v>886.5699349739817</x:v>
      </x:c>
      <x:c r="F248" s="23" t="n">
        <x:v>0.060000000000000005</x:v>
      </x:c>
      <x:c r="G248" s="8" t="n">
        <x:v>53.19419609843891</x:v>
      </x:c>
      <x:c r="H248" s="8" t="n">
        <x:v>26.802030456852794</x:v>
      </x:c>
      <x:c r="I248" s="8" t="n">
        <x:v>26.802030456852794</x:v>
      </x:c>
      <x:c r="J248" s="8" t="n">
        <x:v>0</x:v>
      </x:c>
      <x:c r="K248" s="8" t="n">
        <x:v>0</x:v>
      </x:c>
      <x:c r="L248" s="8" t="n">
        <x:v>0</x:v>
      </x:c>
      <x:c r="M248" s="21" t="n">
        <x:f>E248+K248-I248-J248-L248</x:f>
        <x:v>859.767904517129</x:v>
      </x:c>
    </x:row>
    <x:row r="249" ht="36" customHeight="1">
      <x:c r="A249" s="8" t="str">
        <x:v>Cash-first</x:v>
      </x:c>
      <x:c r="B249" s="8" t="str">
        <x:v>Moderate inventory</x:v>
      </x:c>
      <x:c r="C249" s="8" t="str">
        <x:v>Committed revolver</x:v>
      </x:c>
      <x:c r="D249" s="22" t="n">
        <x:v>4</x:v>
      </x:c>
      <x:c r="E249" s="8" t="n">
        <x:v>0</x:v>
      </x:c>
      <x:c r="F249" s="23" t="n">
        <x:v>0.0575</x:v>
      </x:c>
      <x:c r="G249" s="8" t="n">
        <x:v>0</x:v>
      </x:c>
      <x:c r="H249" s="8" t="n">
        <x:v>0</x:v>
      </x:c>
      <x:c r="I249" s="8" t="n">
        <x:v>0</x:v>
      </x:c>
      <x:c r="J249" s="8" t="n">
        <x:v>0</x:v>
      </x:c>
      <x:c r="K249" s="8" t="n">
        <x:v>391.71420797959195</x:v>
      </x:c>
      <x:c r="L249" s="8" t="n">
        <x:v>0</x:v>
      </x:c>
      <x:c r="M249" s="21" t="n">
        <x:f>E249+K249-I249-J249-L249</x:f>
        <x:v>391.71420797959195</x:v>
      </x:c>
    </x:row>
    <x:row r="250" ht="36" customHeight="1">
      <x:c r="A250" s="8" t="str">
        <x:v>Cash-first</x:v>
      </x:c>
      <x:c r="B250" s="8" t="str">
        <x:v>Moderate inventory</x:v>
      </x:c>
      <x:c r="C250" s="8" t="str">
        <x:v>Atlas notes</x:v>
      </x:c>
      <x:c r="D250" s="22" t="n">
        <x:v>5</x:v>
      </x:c>
      <x:c r="E250" s="8" t="n">
        <x:v>0</x:v>
      </x:c>
      <x:c r="F250" s="23" t="n">
        <x:v>0.038</x:v>
      </x:c>
      <x:c r="G250" s="8" t="n">
        <x:v>0</x:v>
      </x:c>
      <x:c r="H250" s="8" t="n">
        <x:v>0</x:v>
      </x:c>
      <x:c r="I250" s="8" t="n">
        <x:v>0</x:v>
      </x:c>
      <x:c r="J250" s="8" t="n">
        <x:v>0</x:v>
      </x:c>
      <x:c r="K250" s="8" t="n">
        <x:v>0</x:v>
      </x:c>
      <x:c r="L250" s="8" t="n">
        <x:v>0</x:v>
      </x:c>
      <x:c r="M250" s="21" t="n">
        <x:f>E250+K250-I250-J250-L250</x:f>
        <x:v>0</x:v>
      </x:c>
    </x:row>
    <x:row r="251" ht="36" customHeight="1">
      <x:c r="A251" s="8" t="str">
        <x:v>Cash-first</x:v>
      </x:c>
      <x:c r="B251" s="8" t="str">
        <x:v>Moderate inventory</x:v>
      </x:c>
      <x:c r="C251" s="8" t="str">
        <x:v>Atlas finance lease</x:v>
      </x:c>
      <x:c r="D251" s="22" t="n">
        <x:v>5</x:v>
      </x:c>
      <x:c r="E251" s="8" t="n">
        <x:v>16</x:v>
      </x:c>
      <x:c r="F251" s="23" t="n">
        <x:v>0.05</x:v>
      </x:c>
      <x:c r="G251" s="8" t="n">
        <x:v>0.8</x:v>
      </x:c>
      <x:c r="H251" s="8" t="n">
        <x:v>16</x:v>
      </x:c>
      <x:c r="I251" s="8" t="n">
        <x:v>16</x:v>
      </x:c>
      <x:c r="J251" s="8" t="n">
        <x:v>0</x:v>
      </x:c>
      <x:c r="K251" s="8" t="n">
        <x:v>0</x:v>
      </x:c>
      <x:c r="L251" s="8" t="n">
        <x:v>0</x:v>
      </x:c>
      <x:c r="M251" s="21" t="n">
        <x:f>E251+K251-I251-J251-L251</x:f>
        <x:v>0</x:v>
      </x:c>
    </x:row>
    <x:row r="252" ht="36" customHeight="1">
      <x:c r="A252" s="8" t="str">
        <x:v>Cash-first</x:v>
      </x:c>
      <x:c r="B252" s="8" t="str">
        <x:v>Moderate inventory</x:v>
      </x:c>
      <x:c r="C252" s="8" t="str">
        <x:v>Beacon notes</x:v>
      </x:c>
      <x:c r="D252" s="22" t="n">
        <x:v>5</x:v>
      </x:c>
      <x:c r="E252" s="8" t="n">
        <x:v>0</x:v>
      </x:c>
      <x:c r="F252" s="23" t="n">
        <x:v>0.0475</x:v>
      </x:c>
      <x:c r="G252" s="8" t="n">
        <x:v>0</x:v>
      </x:c>
      <x:c r="H252" s="8" t="n">
        <x:v>0</x:v>
      </x:c>
      <x:c r="I252" s="8" t="n">
        <x:v>0</x:v>
      </x:c>
      <x:c r="J252" s="8" t="n">
        <x:v>0</x:v>
      </x:c>
      <x:c r="K252" s="8" t="n">
        <x:v>0</x:v>
      </x:c>
      <x:c r="L252" s="8" t="n">
        <x:v>0</x:v>
      </x:c>
      <x:c r="M252" s="21" t="n">
        <x:f>E252+K252-I252-J252-L252</x:f>
        <x:v>0</x:v>
      </x:c>
    </x:row>
    <x:row r="253" ht="36" customHeight="1">
      <x:c r="A253" s="8" t="str">
        <x:v>Cash-first</x:v>
      </x:c>
      <x:c r="B253" s="8" t="str">
        <x:v>Moderate inventory</x:v>
      </x:c>
      <x:c r="C253" s="8" t="str">
        <x:v>Acquisition term</x:v>
      </x:c>
      <x:c r="D253" s="22" t="n">
        <x:v>5</x:v>
      </x:c>
      <x:c r="E253" s="8" t="n">
        <x:v>859.767904517129</x:v>
      </x:c>
      <x:c r="F253" s="23" t="n">
        <x:v>0.060000000000000005</x:v>
      </x:c>
      <x:c r="G253" s="8" t="n">
        <x:v>51.58607427102774</x:v>
      </x:c>
      <x:c r="H253" s="8" t="n">
        <x:v>859.767904517129</x:v>
      </x:c>
      <x:c r="I253" s="8" t="n">
        <x:v>859.767904517129</x:v>
      </x:c>
      <x:c r="J253" s="8" t="n">
        <x:v>0</x:v>
      </x:c>
      <x:c r="K253" s="8" t="n">
        <x:v>0</x:v>
      </x:c>
      <x:c r="L253" s="8" t="n">
        <x:v>0</x:v>
      </x:c>
      <x:c r="M253" s="21" t="n">
        <x:f>E253+K253-I253-J253-L253</x:f>
        <x:v>0</x:v>
      </x:c>
    </x:row>
    <x:row r="254" ht="36" customHeight="1">
      <x:c r="A254" s="8" t="str">
        <x:v>Cash-first</x:v>
      </x:c>
      <x:c r="B254" s="8" t="str">
        <x:v>Moderate inventory</x:v>
      </x:c>
      <x:c r="C254" s="8" t="str">
        <x:v>Committed revolver</x:v>
      </x:c>
      <x:c r="D254" s="22" t="n">
        <x:v>5</x:v>
      </x:c>
      <x:c r="E254" s="8" t="n">
        <x:v>391.71420797959195</x:v>
      </x:c>
      <x:c r="F254" s="23" t="n">
        <x:v>0.0575</x:v>
      </x:c>
      <x:c r="G254" s="8" t="n">
        <x:v>22.52356695882654</x:v>
      </x:c>
      <x:c r="H254" s="8" t="n">
        <x:v>391.71420797959195</x:v>
      </x:c>
      <x:c r="I254" s="8" t="n">
        <x:v>391.71420797959195</x:v>
      </x:c>
      <x:c r="J254" s="8" t="n">
        <x:v>0</x:v>
      </x:c>
      <x:c r="K254" s="8" t="n">
        <x:v>0</x:v>
      </x:c>
      <x:c r="L254" s="8" t="n">
        <x:v>0</x:v>
      </x:c>
      <x:c r="M254" s="21" t="n">
        <x:f>E254+K254-I254-J254-L254</x:f>
        <x:v>0</x:v>
      </x:c>
    </x:row>
    <x:row r="255" ht="36" customHeight="1">
      <x:c r="A255" s="8" t="str">
        <x:v>Liquidity-first</x:v>
      </x:c>
      <x:c r="B255" s="8" t="str">
        <x:v>Moderate inventory</x:v>
      </x:c>
      <x:c r="C255" s="8" t="str">
        <x:v>Atlas notes</x:v>
      </x:c>
      <x:c r="D255" s="22" t="n">
        <x:v>1</x:v>
      </x:c>
      <x:c r="E255" s="8" t="n">
        <x:v>900</x:v>
      </x:c>
      <x:c r="F255" s="23" t="n">
        <x:v>0.038</x:v>
      </x:c>
      <x:c r="G255" s="8" t="n">
        <x:v>34.199999999999996</x:v>
      </x:c>
      <x:c r="H255" s="8" t="n">
        <x:v>0</x:v>
      </x:c>
      <x:c r="I255" s="8" t="n">
        <x:v>0</x:v>
      </x:c>
      <x:c r="J255" s="8" t="n">
        <x:v>0</x:v>
      </x:c>
      <x:c r="K255" s="8" t="n">
        <x:v>0</x:v>
      </x:c>
      <x:c r="L255" s="8" t="n">
        <x:v>0</x:v>
      </x:c>
      <x:c r="M255" s="21" t="n">
        <x:f>E255+K255-I255-J255-L255</x:f>
        <x:v>900</x:v>
      </x:c>
    </x:row>
    <x:row r="256" ht="36" customHeight="1">
      <x:c r="A256" s="8" t="str">
        <x:v>Liquidity-first</x:v>
      </x:c>
      <x:c r="B256" s="8" t="str">
        <x:v>Moderate inventory</x:v>
      </x:c>
      <x:c r="C256" s="8" t="str">
        <x:v>Atlas finance lease</x:v>
      </x:c>
      <x:c r="D256" s="22" t="n">
        <x:v>1</x:v>
      </x:c>
      <x:c r="E256" s="8" t="n">
        <x:v>80</x:v>
      </x:c>
      <x:c r="F256" s="23" t="n">
        <x:v>0.05</x:v>
      </x:c>
      <x:c r="G256" s="8" t="n">
        <x:v>4</x:v>
      </x:c>
      <x:c r="H256" s="8" t="n">
        <x:v>16</x:v>
      </x:c>
      <x:c r="I256" s="8" t="n">
        <x:v>16</x:v>
      </x:c>
      <x:c r="J256" s="8" t="n">
        <x:v>0</x:v>
      </x:c>
      <x:c r="K256" s="8" t="n">
        <x:v>0</x:v>
      </x:c>
      <x:c r="L256" s="8" t="n">
        <x:v>0</x:v>
      </x:c>
      <x:c r="M256" s="21" t="n">
        <x:f>E256+K256-I256-J256-L256</x:f>
        <x:v>64</x:v>
      </x:c>
    </x:row>
    <x:row r="257" ht="36" customHeight="1">
      <x:c r="A257" s="8" t="str">
        <x:v>Liquidity-first</x:v>
      </x:c>
      <x:c r="B257" s="8" t="str">
        <x:v>Moderate inventory</x:v>
      </x:c>
      <x:c r="C257" s="8" t="str">
        <x:v>Beacon notes</x:v>
      </x:c>
      <x:c r="D257" s="22" t="n">
        <x:v>1</x:v>
      </x:c>
      <x:c r="E257" s="8" t="n">
        <x:v>350</x:v>
      </x:c>
      <x:c r="F257" s="23" t="n">
        <x:v>0.0475</x:v>
      </x:c>
      <x:c r="G257" s="8" t="n">
        <x:v>16.625</x:v>
      </x:c>
      <x:c r="H257" s="8" t="n">
        <x:v>0</x:v>
      </x:c>
      <x:c r="I257" s="8" t="n">
        <x:v>0</x:v>
      </x:c>
      <x:c r="J257" s="8" t="n">
        <x:v>0</x:v>
      </x:c>
      <x:c r="K257" s="8" t="n">
        <x:v>0</x:v>
      </x:c>
      <x:c r="L257" s="8" t="n">
        <x:v>0</x:v>
      </x:c>
      <x:c r="M257" s="21" t="n">
        <x:f>E257+K257-I257-J257-L257</x:f>
        <x:v>350</x:v>
      </x:c>
    </x:row>
    <x:row r="258" ht="36" customHeight="1">
      <x:c r="A258" s="8" t="str">
        <x:v>Liquidity-first</x:v>
      </x:c>
      <x:c r="B258" s="8" t="str">
        <x:v>Moderate inventory</x:v>
      </x:c>
      <x:c r="C258" s="8" t="str">
        <x:v>Acquisition term</x:v>
      </x:c>
      <x:c r="D258" s="22" t="n">
        <x:v>1</x:v>
      </x:c>
      <x:c r="E258" s="8" t="n">
        <x:v>2223.3502538071066</x:v>
      </x:c>
      <x:c r="F258" s="23" t="n">
        <x:v>0.065</x:v>
      </x:c>
      <x:c r="G258" s="8" t="n">
        <x:v>144.51776649746193</x:v>
      </x:c>
      <x:c r="H258" s="8" t="n">
        <x:v>44.46700507614213</x:v>
      </x:c>
      <x:c r="I258" s="8" t="n">
        <x:v>44.46700507614213</x:v>
      </x:c>
      <x:c r="J258" s="8" t="n">
        <x:v>760.895611831583</x:v>
      </x:c>
      <x:c r="K258" s="8" t="n">
        <x:v>0</x:v>
      </x:c>
      <x:c r="L258" s="8" t="n">
        <x:v>0</x:v>
      </x:c>
      <x:c r="M258" s="21" t="n">
        <x:f>E258+K258-I258-J258-L258</x:f>
        <x:v>1417.9876368993816</x:v>
      </x:c>
    </x:row>
    <x:row r="259" ht="36" customHeight="1">
      <x:c r="A259" s="8" t="str">
        <x:v>Liquidity-first</x:v>
      </x:c>
      <x:c r="B259" s="8" t="str">
        <x:v>Moderate inventory</x:v>
      </x:c>
      <x:c r="C259" s="8" t="str">
        <x:v>Committed revolver</x:v>
      </x:c>
      <x:c r="D259" s="22" t="n">
        <x:v>1</x:v>
      </x:c>
      <x:c r="E259" s="8" t="n">
        <x:v>0</x:v>
      </x:c>
      <x:c r="F259" s="23" t="n">
        <x:v>0.0625</x:v>
      </x:c>
      <x:c r="G259" s="8" t="n">
        <x:v>0</x:v>
      </x:c>
      <x:c r="H259" s="8" t="n">
        <x:v>0</x:v>
      </x:c>
      <x:c r="I259" s="8" t="n">
        <x:v>0</x:v>
      </x:c>
      <x:c r="J259" s="8" t="n">
        <x:v>0</x:v>
      </x:c>
      <x:c r="K259" s="8" t="n">
        <x:v>0</x:v>
      </x:c>
      <x:c r="L259" s="8" t="n">
        <x:v>0</x:v>
      </x:c>
      <x:c r="M259" s="21" t="n">
        <x:f>E259+K259-I259-J259-L259</x:f>
        <x:v>0</x:v>
      </x:c>
    </x:row>
    <x:row r="260" ht="36" customHeight="1">
      <x:c r="A260" s="8" t="str">
        <x:v>Liquidity-first</x:v>
      </x:c>
      <x:c r="B260" s="8" t="str">
        <x:v>Moderate inventory</x:v>
      </x:c>
      <x:c r="C260" s="8" t="str">
        <x:v>Atlas notes</x:v>
      </x:c>
      <x:c r="D260" s="22" t="n">
        <x:v>2</x:v>
      </x:c>
      <x:c r="E260" s="8" t="n">
        <x:v>900</x:v>
      </x:c>
      <x:c r="F260" s="23" t="n">
        <x:v>0.038</x:v>
      </x:c>
      <x:c r="G260" s="8" t="n">
        <x:v>34.199999999999996</x:v>
      </x:c>
      <x:c r="H260" s="8" t="n">
        <x:v>0</x:v>
      </x:c>
      <x:c r="I260" s="8" t="n">
        <x:v>0</x:v>
      </x:c>
      <x:c r="J260" s="8" t="n">
        <x:v>0</x:v>
      </x:c>
      <x:c r="K260" s="8" t="n">
        <x:v>0</x:v>
      </x:c>
      <x:c r="L260" s="8" t="n">
        <x:v>0</x:v>
      </x:c>
      <x:c r="M260" s="21" t="n">
        <x:f>E260+K260-I260-J260-L260</x:f>
        <x:v>900</x:v>
      </x:c>
    </x:row>
    <x:row r="261" ht="36" customHeight="1">
      <x:c r="A261" s="8" t="str">
        <x:v>Liquidity-first</x:v>
      </x:c>
      <x:c r="B261" s="8" t="str">
        <x:v>Moderate inventory</x:v>
      </x:c>
      <x:c r="C261" s="8" t="str">
        <x:v>Atlas finance lease</x:v>
      </x:c>
      <x:c r="D261" s="22" t="n">
        <x:v>2</x:v>
      </x:c>
      <x:c r="E261" s="8" t="n">
        <x:v>64</x:v>
      </x:c>
      <x:c r="F261" s="23" t="n">
        <x:v>0.05</x:v>
      </x:c>
      <x:c r="G261" s="8" t="n">
        <x:v>3.2</x:v>
      </x:c>
      <x:c r="H261" s="8" t="n">
        <x:v>16</x:v>
      </x:c>
      <x:c r="I261" s="8" t="n">
        <x:v>16</x:v>
      </x:c>
      <x:c r="J261" s="8" t="n">
        <x:v>0</x:v>
      </x:c>
      <x:c r="K261" s="8" t="n">
        <x:v>0</x:v>
      </x:c>
      <x:c r="L261" s="8" t="n">
        <x:v>0</x:v>
      </x:c>
      <x:c r="M261" s="21" t="n">
        <x:f>E261+K261-I261-J261-L261</x:f>
        <x:v>48</x:v>
      </x:c>
    </x:row>
    <x:row r="262" ht="36" customHeight="1">
      <x:c r="A262" s="8" t="str">
        <x:v>Liquidity-first</x:v>
      </x:c>
      <x:c r="B262" s="8" t="str">
        <x:v>Moderate inventory</x:v>
      </x:c>
      <x:c r="C262" s="8" t="str">
        <x:v>Beacon notes</x:v>
      </x:c>
      <x:c r="D262" s="22" t="n">
        <x:v>2</x:v>
      </x:c>
      <x:c r="E262" s="8" t="n">
        <x:v>350</x:v>
      </x:c>
      <x:c r="F262" s="23" t="n">
        <x:v>0.0475</x:v>
      </x:c>
      <x:c r="G262" s="8" t="n">
        <x:v>16.625</x:v>
      </x:c>
      <x:c r="H262" s="8" t="n">
        <x:v>0</x:v>
      </x:c>
      <x:c r="I262" s="8" t="n">
        <x:v>0</x:v>
      </x:c>
      <x:c r="J262" s="8" t="n">
        <x:v>0</x:v>
      </x:c>
      <x:c r="K262" s="8" t="n">
        <x:v>0</x:v>
      </x:c>
      <x:c r="L262" s="8" t="n">
        <x:v>0</x:v>
      </x:c>
      <x:c r="M262" s="21" t="n">
        <x:f>E262+K262-I262-J262-L262</x:f>
        <x:v>350</x:v>
      </x:c>
    </x:row>
    <x:row r="263" ht="36" customHeight="1">
      <x:c r="A263" s="8" t="str">
        <x:v>Liquidity-first</x:v>
      </x:c>
      <x:c r="B263" s="8" t="str">
        <x:v>Moderate inventory</x:v>
      </x:c>
      <x:c r="C263" s="8" t="str">
        <x:v>Acquisition term</x:v>
      </x:c>
      <x:c r="D263" s="22" t="n">
        <x:v>2</x:v>
      </x:c>
      <x:c r="E263" s="8" t="n">
        <x:v>1417.9876368993816</x:v>
      </x:c>
      <x:c r="F263" s="23" t="n">
        <x:v>0.0625</x:v>
      </x:c>
      <x:c r="G263" s="8" t="n">
        <x:v>88.62422730621135</x:v>
      </x:c>
      <x:c r="H263" s="8" t="n">
        <x:v>44.46700507614213</x:v>
      </x:c>
      <x:c r="I263" s="8" t="n">
        <x:v>44.46700507614213</x:v>
      </x:c>
      <x:c r="J263" s="8" t="n">
        <x:v>307.93102906748527</x:v>
      </x:c>
      <x:c r="K263" s="8" t="n">
        <x:v>0</x:v>
      </x:c>
      <x:c r="L263" s="8" t="n">
        <x:v>0</x:v>
      </x:c>
      <x:c r="M263" s="21" t="n">
        <x:f>E263+K263-I263-J263-L263</x:f>
        <x:v>1065.5896027557542</x:v>
      </x:c>
    </x:row>
    <x:row r="264" ht="36" customHeight="1">
      <x:c r="A264" s="8" t="str">
        <x:v>Liquidity-first</x:v>
      </x:c>
      <x:c r="B264" s="8" t="str">
        <x:v>Moderate inventory</x:v>
      </x:c>
      <x:c r="C264" s="8" t="str">
        <x:v>Committed revolver</x:v>
      </x:c>
      <x:c r="D264" s="22" t="n">
        <x:v>2</x:v>
      </x:c>
      <x:c r="E264" s="8" t="n">
        <x:v>0</x:v>
      </x:c>
      <x:c r="F264" s="23" t="n">
        <x:v>0.06</x:v>
      </x:c>
      <x:c r="G264" s="8" t="n">
        <x:v>0</x:v>
      </x:c>
      <x:c r="H264" s="8" t="n">
        <x:v>0</x:v>
      </x:c>
      <x:c r="I264" s="8" t="n">
        <x:v>0</x:v>
      </x:c>
      <x:c r="J264" s="8" t="n">
        <x:v>0</x:v>
      </x:c>
      <x:c r="K264" s="8" t="n">
        <x:v>0</x:v>
      </x:c>
      <x:c r="L264" s="8" t="n">
        <x:v>0</x:v>
      </x:c>
      <x:c r="M264" s="21" t="n">
        <x:f>E264+K264-I264-J264-L264</x:f>
        <x:v>0</x:v>
      </x:c>
    </x:row>
    <x:row r="265" ht="36" customHeight="1">
      <x:c r="A265" s="8" t="str">
        <x:v>Liquidity-first</x:v>
      </x:c>
      <x:c r="B265" s="8" t="str">
        <x:v>Moderate inventory</x:v>
      </x:c>
      <x:c r="C265" s="8" t="str">
        <x:v>Atlas notes</x:v>
      </x:c>
      <x:c r="D265" s="22" t="n">
        <x:v>3</x:v>
      </x:c>
      <x:c r="E265" s="8" t="n">
        <x:v>900</x:v>
      </x:c>
      <x:c r="F265" s="23" t="n">
        <x:v>0.038</x:v>
      </x:c>
      <x:c r="G265" s="8" t="n">
        <x:v>34.199999999999996</x:v>
      </x:c>
      <x:c r="H265" s="8" t="n">
        <x:v>0</x:v>
      </x:c>
      <x:c r="I265" s="8" t="n">
        <x:v>0</x:v>
      </x:c>
      <x:c r="J265" s="8" t="n">
        <x:v>0</x:v>
      </x:c>
      <x:c r="K265" s="8" t="n">
        <x:v>0</x:v>
      </x:c>
      <x:c r="L265" s="8" t="n">
        <x:v>0</x:v>
      </x:c>
      <x:c r="M265" s="21" t="n">
        <x:f>E265+K265-I265-J265-L265</x:f>
        <x:v>900</x:v>
      </x:c>
    </x:row>
    <x:row r="266" ht="36" customHeight="1">
      <x:c r="A266" s="8" t="str">
        <x:v>Liquidity-first</x:v>
      </x:c>
      <x:c r="B266" s="8" t="str">
        <x:v>Moderate inventory</x:v>
      </x:c>
      <x:c r="C266" s="8" t="str">
        <x:v>Atlas finance lease</x:v>
      </x:c>
      <x:c r="D266" s="22" t="n">
        <x:v>3</x:v>
      </x:c>
      <x:c r="E266" s="8" t="n">
        <x:v>48</x:v>
      </x:c>
      <x:c r="F266" s="23" t="n">
        <x:v>0.05</x:v>
      </x:c>
      <x:c r="G266" s="8" t="n">
        <x:v>2.4000000000000004</x:v>
      </x:c>
      <x:c r="H266" s="8" t="n">
        <x:v>16</x:v>
      </x:c>
      <x:c r="I266" s="8" t="n">
        <x:v>16</x:v>
      </x:c>
      <x:c r="J266" s="8" t="n">
        <x:v>0</x:v>
      </x:c>
      <x:c r="K266" s="8" t="n">
        <x:v>0</x:v>
      </x:c>
      <x:c r="L266" s="8" t="n">
        <x:v>0</x:v>
      </x:c>
      <x:c r="M266" s="21" t="n">
        <x:f>E266+K266-I266-J266-L266</x:f>
        <x:v>32</x:v>
      </x:c>
    </x:row>
    <x:row r="267" ht="36" customHeight="1">
      <x:c r="A267" s="8" t="str">
        <x:v>Liquidity-first</x:v>
      </x:c>
      <x:c r="B267" s="8" t="str">
        <x:v>Moderate inventory</x:v>
      </x:c>
      <x:c r="C267" s="8" t="str">
        <x:v>Beacon notes</x:v>
      </x:c>
      <x:c r="D267" s="22" t="n">
        <x:v>3</x:v>
      </x:c>
      <x:c r="E267" s="8" t="n">
        <x:v>350</x:v>
      </x:c>
      <x:c r="F267" s="23" t="n">
        <x:v>0.0475</x:v>
      </x:c>
      <x:c r="G267" s="8" t="n">
        <x:v>16.625</x:v>
      </x:c>
      <x:c r="H267" s="8" t="n">
        <x:v>350</x:v>
      </x:c>
      <x:c r="I267" s="8" t="n">
        <x:v>350</x:v>
      </x:c>
      <x:c r="J267" s="8" t="n">
        <x:v>0</x:v>
      </x:c>
      <x:c r="K267" s="8" t="n">
        <x:v>0</x:v>
      </x:c>
      <x:c r="L267" s="8" t="n">
        <x:v>0</x:v>
      </x:c>
      <x:c r="M267" s="21" t="n">
        <x:f>E267+K267-I267-J267-L267</x:f>
        <x:v>0</x:v>
      </x:c>
    </x:row>
    <x:row r="268" ht="36" customHeight="1">
      <x:c r="A268" s="8" t="str">
        <x:v>Liquidity-first</x:v>
      </x:c>
      <x:c r="B268" s="8" t="str">
        <x:v>Moderate inventory</x:v>
      </x:c>
      <x:c r="C268" s="8" t="str">
        <x:v>Acquisition term</x:v>
      </x:c>
      <x:c r="D268" s="22" t="n">
        <x:v>3</x:v>
      </x:c>
      <x:c r="E268" s="8" t="n">
        <x:v>1065.5896027557542</x:v>
      </x:c>
      <x:c r="F268" s="23" t="n">
        <x:v>0.060000000000000005</x:v>
      </x:c>
      <x:c r="G268" s="8" t="n">
        <x:v>63.935376165345254</x:v>
      </x:c>
      <x:c r="H268" s="8" t="n">
        <x:v>44.46700507614213</x:v>
      </x:c>
      <x:c r="I268" s="8" t="n">
        <x:v>44.46700507614213</x:v>
      </x:c>
      <x:c r="J268" s="8" t="n">
        <x:v>72.85877128871812</x:v>
      </x:c>
      <x:c r="K268" s="8" t="n">
        <x:v>0</x:v>
      </x:c>
      <x:c r="L268" s="8" t="n">
        <x:v>0</x:v>
      </x:c>
      <x:c r="M268" s="21" t="n">
        <x:f>E268+K268-I268-J268-L268</x:f>
        <x:v>948.2638263908939</x:v>
      </x:c>
    </x:row>
    <x:row r="269" ht="36" customHeight="1">
      <x:c r="A269" s="8" t="str">
        <x:v>Liquidity-first</x:v>
      </x:c>
      <x:c r="B269" s="8" t="str">
        <x:v>Moderate inventory</x:v>
      </x:c>
      <x:c r="C269" s="8" t="str">
        <x:v>Committed revolver</x:v>
      </x:c>
      <x:c r="D269" s="22" t="n">
        <x:v>3</x:v>
      </x:c>
      <x:c r="E269" s="8" t="n">
        <x:v>0</x:v>
      </x:c>
      <x:c r="F269" s="23" t="n">
        <x:v>0.0575</x:v>
      </x:c>
      <x:c r="G269" s="8" t="n">
        <x:v>0</x:v>
      </x:c>
      <x:c r="H269" s="8" t="n">
        <x:v>0</x:v>
      </x:c>
      <x:c r="I269" s="8" t="n">
        <x:v>0</x:v>
      </x:c>
      <x:c r="J269" s="8" t="n">
        <x:v>0</x:v>
      </x:c>
      <x:c r="K269" s="8" t="n">
        <x:v>0</x:v>
      </x:c>
      <x:c r="L269" s="8" t="n">
        <x:v>0</x:v>
      </x:c>
      <x:c r="M269" s="21" t="n">
        <x:f>E269+K269-I269-J269-L269</x:f>
        <x:v>0</x:v>
      </x:c>
    </x:row>
    <x:row r="270" ht="36" customHeight="1">
      <x:c r="A270" s="8" t="str">
        <x:v>Liquidity-first</x:v>
      </x:c>
      <x:c r="B270" s="8" t="str">
        <x:v>Moderate inventory</x:v>
      </x:c>
      <x:c r="C270" s="8" t="str">
        <x:v>Atlas notes</x:v>
      </x:c>
      <x:c r="D270" s="22" t="n">
        <x:v>4</x:v>
      </x:c>
      <x:c r="E270" s="8" t="n">
        <x:v>900</x:v>
      </x:c>
      <x:c r="F270" s="23" t="n">
        <x:v>0.038</x:v>
      </x:c>
      <x:c r="G270" s="8" t="n">
        <x:v>34.199999999999996</x:v>
      </x:c>
      <x:c r="H270" s="8" t="n">
        <x:v>900</x:v>
      </x:c>
      <x:c r="I270" s="8" t="n">
        <x:v>900</x:v>
      </x:c>
      <x:c r="J270" s="8" t="n">
        <x:v>0</x:v>
      </x:c>
      <x:c r="K270" s="8" t="n">
        <x:v>0</x:v>
      </x:c>
      <x:c r="L270" s="8" t="n">
        <x:v>0</x:v>
      </x:c>
      <x:c r="M270" s="21" t="n">
        <x:f>E270+K270-I270-J270-L270</x:f>
        <x:v>0</x:v>
      </x:c>
    </x:row>
    <x:row r="271" ht="36" customHeight="1">
      <x:c r="A271" s="8" t="str">
        <x:v>Liquidity-first</x:v>
      </x:c>
      <x:c r="B271" s="8" t="str">
        <x:v>Moderate inventory</x:v>
      </x:c>
      <x:c r="C271" s="8" t="str">
        <x:v>Atlas finance lease</x:v>
      </x:c>
      <x:c r="D271" s="22" t="n">
        <x:v>4</x:v>
      </x:c>
      <x:c r="E271" s="8" t="n">
        <x:v>32</x:v>
      </x:c>
      <x:c r="F271" s="23" t="n">
        <x:v>0.05</x:v>
      </x:c>
      <x:c r="G271" s="8" t="n">
        <x:v>1.6</x:v>
      </x:c>
      <x:c r="H271" s="8" t="n">
        <x:v>16</x:v>
      </x:c>
      <x:c r="I271" s="8" t="n">
        <x:v>16</x:v>
      </x:c>
      <x:c r="J271" s="8" t="n">
        <x:v>0</x:v>
      </x:c>
      <x:c r="K271" s="8" t="n">
        <x:v>0</x:v>
      </x:c>
      <x:c r="L271" s="8" t="n">
        <x:v>0</x:v>
      </x:c>
      <x:c r="M271" s="21" t="n">
        <x:f>E271+K271-I271-J271-L271</x:f>
        <x:v>16</x:v>
      </x:c>
    </x:row>
    <x:row r="272" ht="36" customHeight="1">
      <x:c r="A272" s="8" t="str">
        <x:v>Liquidity-first</x:v>
      </x:c>
      <x:c r="B272" s="8" t="str">
        <x:v>Moderate inventory</x:v>
      </x:c>
      <x:c r="C272" s="8" t="str">
        <x:v>Beacon notes</x:v>
      </x:c>
      <x:c r="D272" s="22" t="n">
        <x:v>4</x:v>
      </x:c>
      <x:c r="E272" s="8" t="n">
        <x:v>0</x:v>
      </x:c>
      <x:c r="F272" s="23" t="n">
        <x:v>0.0475</x:v>
      </x:c>
      <x:c r="G272" s="8" t="n">
        <x:v>0</x:v>
      </x:c>
      <x:c r="H272" s="8" t="n">
        <x:v>0</x:v>
      </x:c>
      <x:c r="I272" s="8" t="n">
        <x:v>0</x:v>
      </x:c>
      <x:c r="J272" s="8" t="n">
        <x:v>0</x:v>
      </x:c>
      <x:c r="K272" s="8" t="n">
        <x:v>0</x:v>
      </x:c>
      <x:c r="L272" s="8" t="n">
        <x:v>0</x:v>
      </x:c>
      <x:c r="M272" s="21" t="n">
        <x:f>E272+K272-I272-J272-L272</x:f>
        <x:v>0</x:v>
      </x:c>
    </x:row>
    <x:row r="273" ht="36" customHeight="1">
      <x:c r="A273" s="8" t="str">
        <x:v>Liquidity-first</x:v>
      </x:c>
      <x:c r="B273" s="8" t="str">
        <x:v>Moderate inventory</x:v>
      </x:c>
      <x:c r="C273" s="8" t="str">
        <x:v>Acquisition term</x:v>
      </x:c>
      <x:c r="D273" s="22" t="n">
        <x:v>4</x:v>
      </x:c>
      <x:c r="E273" s="8" t="n">
        <x:v>948.2638263908939</x:v>
      </x:c>
      <x:c r="F273" s="23" t="n">
        <x:v>0.060000000000000005</x:v>
      </x:c>
      <x:c r="G273" s="8" t="n">
        <x:v>56.89582958345364</x:v>
      </x:c>
      <x:c r="H273" s="8" t="n">
        <x:v>44.46700507614213</x:v>
      </x:c>
      <x:c r="I273" s="8" t="n">
        <x:v>44.46700507614213</x:v>
      </x:c>
      <x:c r="J273" s="8" t="n">
        <x:v>0</x:v>
      </x:c>
      <x:c r="K273" s="8" t="n">
        <x:v>0</x:v>
      </x:c>
      <x:c r="L273" s="8" t="n">
        <x:v>0</x:v>
      </x:c>
      <x:c r="M273" s="21" t="n">
        <x:f>E273+K273-I273-J273-L273</x:f>
        <x:v>903.7968213147517</x:v>
      </x:c>
    </x:row>
    <x:row r="274" ht="36" customHeight="1">
      <x:c r="A274" s="8" t="str">
        <x:v>Liquidity-first</x:v>
      </x:c>
      <x:c r="B274" s="8" t="str">
        <x:v>Moderate inventory</x:v>
      </x:c>
      <x:c r="C274" s="8" t="str">
        <x:v>Committed revolver</x:v>
      </x:c>
      <x:c r="D274" s="22" t="n">
        <x:v>4</x:v>
      </x:c>
      <x:c r="E274" s="8" t="n">
        <x:v>0</x:v>
      </x:c>
      <x:c r="F274" s="23" t="n">
        <x:v>0.0575</x:v>
      </x:c>
      <x:c r="G274" s="8" t="n">
        <x:v>0</x:v>
      </x:c>
      <x:c r="H274" s="8" t="n">
        <x:v>0</x:v>
      </x:c>
      <x:c r="I274" s="8" t="n">
        <x:v>0</x:v>
      </x:c>
      <x:c r="J274" s="8" t="n">
        <x:v>0</x:v>
      </x:c>
      <x:c r="K274" s="8" t="n">
        <x:v>412.1554077126425</x:v>
      </x:c>
      <x:c r="L274" s="8" t="n">
        <x:v>0</x:v>
      </x:c>
      <x:c r="M274" s="21" t="n">
        <x:f>E274+K274-I274-J274-L274</x:f>
        <x:v>412.1554077126425</x:v>
      </x:c>
    </x:row>
    <x:row r="275" ht="36" customHeight="1">
      <x:c r="A275" s="8" t="str">
        <x:v>Liquidity-first</x:v>
      </x:c>
      <x:c r="B275" s="8" t="str">
        <x:v>Moderate inventory</x:v>
      </x:c>
      <x:c r="C275" s="8" t="str">
        <x:v>Atlas notes</x:v>
      </x:c>
      <x:c r="D275" s="22" t="n">
        <x:v>5</x:v>
      </x:c>
      <x:c r="E275" s="8" t="n">
        <x:v>0</x:v>
      </x:c>
      <x:c r="F275" s="23" t="n">
        <x:v>0.038</x:v>
      </x:c>
      <x:c r="G275" s="8" t="n">
        <x:v>0</x:v>
      </x:c>
      <x:c r="H275" s="8" t="n">
        <x:v>0</x:v>
      </x:c>
      <x:c r="I275" s="8" t="n">
        <x:v>0</x:v>
      </x:c>
      <x:c r="J275" s="8" t="n">
        <x:v>0</x:v>
      </x:c>
      <x:c r="K275" s="8" t="n">
        <x:v>0</x:v>
      </x:c>
      <x:c r="L275" s="8" t="n">
        <x:v>0</x:v>
      </x:c>
      <x:c r="M275" s="21" t="n">
        <x:f>E275+K275-I275-J275-L275</x:f>
        <x:v>0</x:v>
      </x:c>
    </x:row>
    <x:row r="276" ht="36" customHeight="1">
      <x:c r="A276" s="8" t="str">
        <x:v>Liquidity-first</x:v>
      </x:c>
      <x:c r="B276" s="8" t="str">
        <x:v>Moderate inventory</x:v>
      </x:c>
      <x:c r="C276" s="8" t="str">
        <x:v>Atlas finance lease</x:v>
      </x:c>
      <x:c r="D276" s="22" t="n">
        <x:v>5</x:v>
      </x:c>
      <x:c r="E276" s="8" t="n">
        <x:v>16</x:v>
      </x:c>
      <x:c r="F276" s="23" t="n">
        <x:v>0.05</x:v>
      </x:c>
      <x:c r="G276" s="8" t="n">
        <x:v>0.8</x:v>
      </x:c>
      <x:c r="H276" s="8" t="n">
        <x:v>16</x:v>
      </x:c>
      <x:c r="I276" s="8" t="n">
        <x:v>16</x:v>
      </x:c>
      <x:c r="J276" s="8" t="n">
        <x:v>0</x:v>
      </x:c>
      <x:c r="K276" s="8" t="n">
        <x:v>0</x:v>
      </x:c>
      <x:c r="L276" s="8" t="n">
        <x:v>0</x:v>
      </x:c>
      <x:c r="M276" s="21" t="n">
        <x:f>E276+K276-I276-J276-L276</x:f>
        <x:v>0</x:v>
      </x:c>
    </x:row>
    <x:row r="277" ht="36" customHeight="1">
      <x:c r="A277" s="8" t="str">
        <x:v>Liquidity-first</x:v>
      </x:c>
      <x:c r="B277" s="8" t="str">
        <x:v>Moderate inventory</x:v>
      </x:c>
      <x:c r="C277" s="8" t="str">
        <x:v>Beacon notes</x:v>
      </x:c>
      <x:c r="D277" s="22" t="n">
        <x:v>5</x:v>
      </x:c>
      <x:c r="E277" s="8" t="n">
        <x:v>0</x:v>
      </x:c>
      <x:c r="F277" s="23" t="n">
        <x:v>0.0475</x:v>
      </x:c>
      <x:c r="G277" s="8" t="n">
        <x:v>0</x:v>
      </x:c>
      <x:c r="H277" s="8" t="n">
        <x:v>0</x:v>
      </x:c>
      <x:c r="I277" s="8" t="n">
        <x:v>0</x:v>
      </x:c>
      <x:c r="J277" s="8" t="n">
        <x:v>0</x:v>
      </x:c>
      <x:c r="K277" s="8" t="n">
        <x:v>0</x:v>
      </x:c>
      <x:c r="L277" s="8" t="n">
        <x:v>0</x:v>
      </x:c>
      <x:c r="M277" s="21" t="n">
        <x:f>E277+K277-I277-J277-L277</x:f>
        <x:v>0</x:v>
      </x:c>
    </x:row>
    <x:row r="278" ht="36" customHeight="1">
      <x:c r="A278" s="8" t="str">
        <x:v>Liquidity-first</x:v>
      </x:c>
      <x:c r="B278" s="8" t="str">
        <x:v>Moderate inventory</x:v>
      </x:c>
      <x:c r="C278" s="8" t="str">
        <x:v>Acquisition term</x:v>
      </x:c>
      <x:c r="D278" s="22" t="n">
        <x:v>5</x:v>
      </x:c>
      <x:c r="E278" s="8" t="n">
        <x:v>903.7968213147517</x:v>
      </x:c>
      <x:c r="F278" s="23" t="n">
        <x:v>0.060000000000000005</x:v>
      </x:c>
      <x:c r="G278" s="8" t="n">
        <x:v>54.227809278885104</x:v>
      </x:c>
      <x:c r="H278" s="8" t="n">
        <x:v>903.7968213147517</x:v>
      </x:c>
      <x:c r="I278" s="8" t="n">
        <x:v>903.7968213147517</x:v>
      </x:c>
      <x:c r="J278" s="8" t="n">
        <x:v>0</x:v>
      </x:c>
      <x:c r="K278" s="8" t="n">
        <x:v>0</x:v>
      </x:c>
      <x:c r="L278" s="8" t="n">
        <x:v>0</x:v>
      </x:c>
      <x:c r="M278" s="21" t="n">
        <x:f>E278+K278-I278-J278-L278</x:f>
        <x:v>0</x:v>
      </x:c>
    </x:row>
    <x:row r="279" ht="36" customHeight="1">
      <x:c r="A279" s="8" t="str">
        <x:v>Liquidity-first</x:v>
      </x:c>
      <x:c r="B279" s="8" t="str">
        <x:v>Moderate inventory</x:v>
      </x:c>
      <x:c r="C279" s="8" t="str">
        <x:v>Committed revolver</x:v>
      </x:c>
      <x:c r="D279" s="22" t="n">
        <x:v>5</x:v>
      </x:c>
      <x:c r="E279" s="8" t="n">
        <x:v>412.1554077126425</x:v>
      </x:c>
      <x:c r="F279" s="23" t="n">
        <x:v>0.0575</x:v>
      </x:c>
      <x:c r="G279" s="8" t="n">
        <x:v>23.698935943476943</x:v>
      </x:c>
      <x:c r="H279" s="8" t="n">
        <x:v>412.1554077126425</x:v>
      </x:c>
      <x:c r="I279" s="8" t="n">
        <x:v>412.1554077126425</x:v>
      </x:c>
      <x:c r="J279" s="8" t="n">
        <x:v>0</x:v>
      </x:c>
      <x:c r="K279" s="8" t="n">
        <x:v>0</x:v>
      </x:c>
      <x:c r="L279" s="8" t="n">
        <x:v>0</x:v>
      </x:c>
      <x:c r="M279" s="21" t="n">
        <x:f>E279+K279-I279-J279-L279</x:f>
        <x:v>0</x:v>
      </x:c>
    </x:row>
    <x:row r="280" ht="36" customHeight="1">
      <x:c r="A280" s="8" t="str">
        <x:v>Mixed consideration</x:v>
      </x:c>
      <x:c r="B280" s="8" t="str">
        <x:v>Moderate inventory</x:v>
      </x:c>
      <x:c r="C280" s="8" t="str">
        <x:v>Atlas notes</x:v>
      </x:c>
      <x:c r="D280" s="22" t="n">
        <x:v>1</x:v>
      </x:c>
      <x:c r="E280" s="8" t="n">
        <x:v>900</x:v>
      </x:c>
      <x:c r="F280" s="23" t="n">
        <x:v>0.038</x:v>
      </x:c>
      <x:c r="G280" s="8" t="n">
        <x:v>34.199999999999996</x:v>
      </x:c>
      <x:c r="H280" s="8" t="n">
        <x:v>0</x:v>
      </x:c>
      <x:c r="I280" s="8" t="n">
        <x:v>0</x:v>
      </x:c>
      <x:c r="J280" s="8" t="n">
        <x:v>0</x:v>
      </x:c>
      <x:c r="K280" s="8" t="n">
        <x:v>0</x:v>
      </x:c>
      <x:c r="L280" s="8" t="n">
        <x:v>0</x:v>
      </x:c>
      <x:c r="M280" s="21" t="n">
        <x:f>E280+K280-I280-J280-L280</x:f>
        <x:v>900</x:v>
      </x:c>
    </x:row>
    <x:row r="281" ht="36" customHeight="1">
      <x:c r="A281" s="8" t="str">
        <x:v>Mixed consideration</x:v>
      </x:c>
      <x:c r="B281" s="8" t="str">
        <x:v>Moderate inventory</x:v>
      </x:c>
      <x:c r="C281" s="8" t="str">
        <x:v>Atlas finance lease</x:v>
      </x:c>
      <x:c r="D281" s="22" t="n">
        <x:v>1</x:v>
      </x:c>
      <x:c r="E281" s="8" t="n">
        <x:v>80</x:v>
      </x:c>
      <x:c r="F281" s="23" t="n">
        <x:v>0.05</x:v>
      </x:c>
      <x:c r="G281" s="8" t="n">
        <x:v>4</x:v>
      </x:c>
      <x:c r="H281" s="8" t="n">
        <x:v>16</x:v>
      </x:c>
      <x:c r="I281" s="8" t="n">
        <x:v>16</x:v>
      </x:c>
      <x:c r="J281" s="8" t="n">
        <x:v>0</x:v>
      </x:c>
      <x:c r="K281" s="8" t="n">
        <x:v>0</x:v>
      </x:c>
      <x:c r="L281" s="8" t="n">
        <x:v>0</x:v>
      </x:c>
      <x:c r="M281" s="21" t="n">
        <x:f>E281+K281-I281-J281-L281</x:f>
        <x:v>64</x:v>
      </x:c>
    </x:row>
    <x:row r="282" ht="36" customHeight="1">
      <x:c r="A282" s="8" t="str">
        <x:v>Mixed consideration</x:v>
      </x:c>
      <x:c r="B282" s="8" t="str">
        <x:v>Moderate inventory</x:v>
      </x:c>
      <x:c r="C282" s="8" t="str">
        <x:v>Beacon notes</x:v>
      </x:c>
      <x:c r="D282" s="22" t="n">
        <x:v>1</x:v>
      </x:c>
      <x:c r="E282" s="8" t="n">
        <x:v>350</x:v>
      </x:c>
      <x:c r="F282" s="23" t="n">
        <x:v>0.0475</x:v>
      </x:c>
      <x:c r="G282" s="8" t="n">
        <x:v>16.625</x:v>
      </x:c>
      <x:c r="H282" s="8" t="n">
        <x:v>0</x:v>
      </x:c>
      <x:c r="I282" s="8" t="n">
        <x:v>0</x:v>
      </x:c>
      <x:c r="J282" s="8" t="n">
        <x:v>0</x:v>
      </x:c>
      <x:c r="K282" s="8" t="n">
        <x:v>0</x:v>
      </x:c>
      <x:c r="L282" s="8" t="n">
        <x:v>0</x:v>
      </x:c>
      <x:c r="M282" s="21" t="n">
        <x:f>E282+K282-I282-J282-L282</x:f>
        <x:v>350</x:v>
      </x:c>
    </x:row>
    <x:row r="283" ht="36" customHeight="1">
      <x:c r="A283" s="8" t="str">
        <x:v>Mixed consideration</x:v>
      </x:c>
      <x:c r="B283" s="8" t="str">
        <x:v>Moderate inventory</x:v>
      </x:c>
      <x:c r="C283" s="8" t="str">
        <x:v>Acquisition term</x:v>
      </x:c>
      <x:c r="D283" s="22" t="n">
        <x:v>1</x:v>
      </x:c>
      <x:c r="E283" s="8" t="n">
        <x:v>304.56852791878174</x:v>
      </x:c>
      <x:c r="F283" s="23" t="n">
        <x:v>0.065</x:v>
      </x:c>
      <x:c r="G283" s="8" t="n">
        <x:v>19.796954314720814</x:v>
      </x:c>
      <x:c r="H283" s="8" t="n">
        <x:v>6.091370558375635</x:v>
      </x:c>
      <x:c r="I283" s="8" t="n">
        <x:v>6.091370558375635</x:v>
      </x:c>
      <x:c r="J283" s="8" t="n">
        <x:v>22.811855486405193</x:v>
      </x:c>
      <x:c r="K283" s="8" t="n">
        <x:v>0</x:v>
      </x:c>
      <x:c r="L283" s="8" t="n">
        <x:v>0</x:v>
      </x:c>
      <x:c r="M283" s="21" t="n">
        <x:f>E283+K283-I283-J283-L283</x:f>
        <x:v>275.66530187400093</x:v>
      </x:c>
    </x:row>
    <x:row r="284" ht="36" customHeight="1">
      <x:c r="A284" s="8" t="str">
        <x:v>Mixed consideration</x:v>
      </x:c>
      <x:c r="B284" s="8" t="str">
        <x:v>Moderate inventory</x:v>
      </x:c>
      <x:c r="C284" s="8" t="str">
        <x:v>Committed revolver</x:v>
      </x:c>
      <x:c r="D284" s="22" t="n">
        <x:v>1</x:v>
      </x:c>
      <x:c r="E284" s="8" t="n">
        <x:v>0</x:v>
      </x:c>
      <x:c r="F284" s="23" t="n">
        <x:v>0.0625</x:v>
      </x:c>
      <x:c r="G284" s="8" t="n">
        <x:v>0</x:v>
      </x:c>
      <x:c r="H284" s="8" t="n">
        <x:v>0</x:v>
      </x:c>
      <x:c r="I284" s="8" t="n">
        <x:v>0</x:v>
      </x:c>
      <x:c r="J284" s="8" t="n">
        <x:v>0</x:v>
      </x:c>
      <x:c r="K284" s="8" t="n">
        <x:v>0</x:v>
      </x:c>
      <x:c r="L284" s="8" t="n">
        <x:v>0</x:v>
      </x:c>
      <x:c r="M284" s="21" t="n">
        <x:f>E284+K284-I284-J284-L284</x:f>
        <x:v>0</x:v>
      </x:c>
    </x:row>
    <x:row r="285" ht="36" customHeight="1">
      <x:c r="A285" s="8" t="str">
        <x:v>Mixed consideration</x:v>
      </x:c>
      <x:c r="B285" s="8" t="str">
        <x:v>Moderate inventory</x:v>
      </x:c>
      <x:c r="C285" s="8" t="str">
        <x:v>Atlas notes</x:v>
      </x:c>
      <x:c r="D285" s="22" t="n">
        <x:v>2</x:v>
      </x:c>
      <x:c r="E285" s="8" t="n">
        <x:v>900</x:v>
      </x:c>
      <x:c r="F285" s="23" t="n">
        <x:v>0.038</x:v>
      </x:c>
      <x:c r="G285" s="8" t="n">
        <x:v>34.199999999999996</x:v>
      </x:c>
      <x:c r="H285" s="8" t="n">
        <x:v>0</x:v>
      </x:c>
      <x:c r="I285" s="8" t="n">
        <x:v>0</x:v>
      </x:c>
      <x:c r="J285" s="8" t="n">
        <x:v>0</x:v>
      </x:c>
      <x:c r="K285" s="8" t="n">
        <x:v>0</x:v>
      </x:c>
      <x:c r="L285" s="8" t="n">
        <x:v>0</x:v>
      </x:c>
      <x:c r="M285" s="21" t="n">
        <x:f>E285+K285-I285-J285-L285</x:f>
        <x:v>900</x:v>
      </x:c>
    </x:row>
    <x:row r="286" ht="36" customHeight="1">
      <x:c r="A286" s="8" t="str">
        <x:v>Mixed consideration</x:v>
      </x:c>
      <x:c r="B286" s="8" t="str">
        <x:v>Moderate inventory</x:v>
      </x:c>
      <x:c r="C286" s="8" t="str">
        <x:v>Atlas finance lease</x:v>
      </x:c>
      <x:c r="D286" s="22" t="n">
        <x:v>2</x:v>
      </x:c>
      <x:c r="E286" s="8" t="n">
        <x:v>64</x:v>
      </x:c>
      <x:c r="F286" s="23" t="n">
        <x:v>0.05</x:v>
      </x:c>
      <x:c r="G286" s="8" t="n">
        <x:v>3.2</x:v>
      </x:c>
      <x:c r="H286" s="8" t="n">
        <x:v>16</x:v>
      </x:c>
      <x:c r="I286" s="8" t="n">
        <x:v>16</x:v>
      </x:c>
      <x:c r="J286" s="8" t="n">
        <x:v>48</x:v>
      </x:c>
      <x:c r="K286" s="8" t="n">
        <x:v>0</x:v>
      </x:c>
      <x:c r="L286" s="8" t="n">
        <x:v>0</x:v>
      </x:c>
      <x:c r="M286" s="21" t="n">
        <x:f>E286+K286-I286-J286-L286</x:f>
        <x:v>0</x:v>
      </x:c>
    </x:row>
    <x:row r="287" ht="36" customHeight="1">
      <x:c r="A287" s="8" t="str">
        <x:v>Mixed consideration</x:v>
      </x:c>
      <x:c r="B287" s="8" t="str">
        <x:v>Moderate inventory</x:v>
      </x:c>
      <x:c r="C287" s="8" t="str">
        <x:v>Beacon notes</x:v>
      </x:c>
      <x:c r="D287" s="22" t="n">
        <x:v>2</x:v>
      </x:c>
      <x:c r="E287" s="8" t="n">
        <x:v>350</x:v>
      </x:c>
      <x:c r="F287" s="23" t="n">
        <x:v>0.0475</x:v>
      </x:c>
      <x:c r="G287" s="8" t="n">
        <x:v>16.625</x:v>
      </x:c>
      <x:c r="H287" s="8" t="n">
        <x:v>0</x:v>
      </x:c>
      <x:c r="I287" s="8" t="n">
        <x:v>0</x:v>
      </x:c>
      <x:c r="J287" s="8" t="n">
        <x:v>82.27909172394101</x:v>
      </x:c>
      <x:c r="K287" s="8" t="n">
        <x:v>0</x:v>
      </x:c>
      <x:c r="L287" s="8" t="n">
        <x:v>0</x:v>
      </x:c>
      <x:c r="M287" s="21" t="n">
        <x:f>E287+K287-I287-J287-L287</x:f>
        <x:v>267.720908276059</x:v>
      </x:c>
    </x:row>
    <x:row r="288" ht="36" customHeight="1">
      <x:c r="A288" s="8" t="str">
        <x:v>Mixed consideration</x:v>
      </x:c>
      <x:c r="B288" s="8" t="str">
        <x:v>Moderate inventory</x:v>
      </x:c>
      <x:c r="C288" s="8" t="str">
        <x:v>Acquisition term</x:v>
      </x:c>
      <x:c r="D288" s="22" t="n">
        <x:v>2</x:v>
      </x:c>
      <x:c r="E288" s="8" t="n">
        <x:v>275.66530187400093</x:v>
      </x:c>
      <x:c r="F288" s="23" t="n">
        <x:v>0.0625</x:v>
      </x:c>
      <x:c r="G288" s="8" t="n">
        <x:v>17.229081367125058</x:v>
      </x:c>
      <x:c r="H288" s="8" t="n">
        <x:v>6.091370558375635</x:v>
      </x:c>
      <x:c r="I288" s="8" t="n">
        <x:v>6.091370558375635</x:v>
      </x:c>
      <x:c r="J288" s="8" t="n">
        <x:v>269.5739313156253</x:v>
      </x:c>
      <x:c r="K288" s="8" t="n">
        <x:v>0</x:v>
      </x:c>
      <x:c r="L288" s="8" t="n">
        <x:v>0</x:v>
      </x:c>
      <x:c r="M288" s="21" t="n">
        <x:f>E288+K288-I288-J288-L288</x:f>
        <x:v>0</x:v>
      </x:c>
    </x:row>
    <x:row r="289" ht="36" customHeight="1">
      <x:c r="A289" s="8" t="str">
        <x:v>Mixed consideration</x:v>
      </x:c>
      <x:c r="B289" s="8" t="str">
        <x:v>Moderate inventory</x:v>
      </x:c>
      <x:c r="C289" s="8" t="str">
        <x:v>Committed revolver</x:v>
      </x:c>
      <x:c r="D289" s="22" t="n">
        <x:v>2</x:v>
      </x:c>
      <x:c r="E289" s="8" t="n">
        <x:v>0</x:v>
      </x:c>
      <x:c r="F289" s="23" t="n">
        <x:v>0.06</x:v>
      </x:c>
      <x:c r="G289" s="8" t="n">
        <x:v>0</x:v>
      </x:c>
      <x:c r="H289" s="8" t="n">
        <x:v>0</x:v>
      </x:c>
      <x:c r="I289" s="8" t="n">
        <x:v>0</x:v>
      </x:c>
      <x:c r="J289" s="8" t="n">
        <x:v>0</x:v>
      </x:c>
      <x:c r="K289" s="8" t="n">
        <x:v>0</x:v>
      </x:c>
      <x:c r="L289" s="8" t="n">
        <x:v>0</x:v>
      </x:c>
      <x:c r="M289" s="21" t="n">
        <x:f>E289+K289-I289-J289-L289</x:f>
        <x:v>0</x:v>
      </x:c>
    </x:row>
    <x:row r="290" ht="36" customHeight="1">
      <x:c r="A290" s="8" t="str">
        <x:v>Mixed consideration</x:v>
      </x:c>
      <x:c r="B290" s="8" t="str">
        <x:v>Moderate inventory</x:v>
      </x:c>
      <x:c r="C290" s="8" t="str">
        <x:v>Atlas notes</x:v>
      </x:c>
      <x:c r="D290" s="22" t="n">
        <x:v>3</x:v>
      </x:c>
      <x:c r="E290" s="8" t="n">
        <x:v>900</x:v>
      </x:c>
      <x:c r="F290" s="23" t="n">
        <x:v>0.038</x:v>
      </x:c>
      <x:c r="G290" s="8" t="n">
        <x:v>34.199999999999996</x:v>
      </x:c>
      <x:c r="H290" s="8" t="n">
        <x:v>0</x:v>
      </x:c>
      <x:c r="I290" s="8" t="n">
        <x:v>0</x:v>
      </x:c>
      <x:c r="J290" s="8" t="n">
        <x:v>268.2875928554756</x:v>
      </x:c>
      <x:c r="K290" s="8" t="n">
        <x:v>0</x:v>
      </x:c>
      <x:c r="L290" s="8" t="n">
        <x:v>0</x:v>
      </x:c>
      <x:c r="M290" s="21" t="n">
        <x:f>E290+K290-I290-J290-L290</x:f>
        <x:v>631.7124071445244</x:v>
      </x:c>
    </x:row>
    <x:row r="291" ht="36" customHeight="1">
      <x:c r="A291" s="8" t="str">
        <x:v>Mixed consideration</x:v>
      </x:c>
      <x:c r="B291" s="8" t="str">
        <x:v>Moderate inventory</x:v>
      </x:c>
      <x:c r="C291" s="8" t="str">
        <x:v>Atlas finance lease</x:v>
      </x:c>
      <x:c r="D291" s="22" t="n">
        <x:v>3</x:v>
      </x:c>
      <x:c r="E291" s="8" t="n">
        <x:v>0</x:v>
      </x:c>
      <x:c r="F291" s="23" t="n">
        <x:v>0.05</x:v>
      </x:c>
      <x:c r="G291" s="8" t="n">
        <x:v>0</x:v>
      </x:c>
      <x:c r="H291" s="8" t="n">
        <x:v>0</x:v>
      </x:c>
      <x:c r="I291" s="8" t="n">
        <x:v>0</x:v>
      </x:c>
      <x:c r="J291" s="8" t="n">
        <x:v>0</x:v>
      </x:c>
      <x:c r="K291" s="8" t="n">
        <x:v>0</x:v>
      </x:c>
      <x:c r="L291" s="8" t="n">
        <x:v>0</x:v>
      </x:c>
      <x:c r="M291" s="21" t="n">
        <x:f>E291+K291-I291-J291-L291</x:f>
        <x:v>0</x:v>
      </x:c>
    </x:row>
    <x:row r="292" ht="36" customHeight="1">
      <x:c r="A292" s="8" t="str">
        <x:v>Mixed consideration</x:v>
      </x:c>
      <x:c r="B292" s="8" t="str">
        <x:v>Moderate inventory</x:v>
      </x:c>
      <x:c r="C292" s="8" t="str">
        <x:v>Beacon notes</x:v>
      </x:c>
      <x:c r="D292" s="22" t="n">
        <x:v>3</x:v>
      </x:c>
      <x:c r="E292" s="8" t="n">
        <x:v>267.720908276059</x:v>
      </x:c>
      <x:c r="F292" s="23" t="n">
        <x:v>0.0475</x:v>
      </x:c>
      <x:c r="G292" s="8" t="n">
        <x:v>12.716743143112803</x:v>
      </x:c>
      <x:c r="H292" s="8" t="n">
        <x:v>267.720908276059</x:v>
      </x:c>
      <x:c r="I292" s="8" t="n">
        <x:v>267.720908276059</x:v>
      </x:c>
      <x:c r="J292" s="8" t="n">
        <x:v>0</x:v>
      </x:c>
      <x:c r="K292" s="8" t="n">
        <x:v>0</x:v>
      </x:c>
      <x:c r="L292" s="8" t="n">
        <x:v>0</x:v>
      </x:c>
      <x:c r="M292" s="21" t="n">
        <x:f>E292+K292-I292-J292-L292</x:f>
        <x:v>0</x:v>
      </x:c>
    </x:row>
    <x:row r="293" ht="36" customHeight="1">
      <x:c r="A293" s="8" t="str">
        <x:v>Mixed consideration</x:v>
      </x:c>
      <x:c r="B293" s="8" t="str">
        <x:v>Moderate inventory</x:v>
      </x:c>
      <x:c r="C293" s="8" t="str">
        <x:v>Acquisition term</x:v>
      </x:c>
      <x:c r="D293" s="22" t="n">
        <x:v>3</x:v>
      </x:c>
      <x:c r="E293" s="8" t="n">
        <x:v>0</x:v>
      </x:c>
      <x:c r="F293" s="23" t="n">
        <x:v>0.060000000000000005</x:v>
      </x:c>
      <x:c r="G293" s="8" t="n">
        <x:v>0</x:v>
      </x:c>
      <x:c r="H293" s="8" t="n">
        <x:v>0</x:v>
      </x:c>
      <x:c r="I293" s="8" t="n">
        <x:v>0</x:v>
      </x:c>
      <x:c r="J293" s="8" t="n">
        <x:v>0</x:v>
      </x:c>
      <x:c r="K293" s="8" t="n">
        <x:v>0</x:v>
      </x:c>
      <x:c r="L293" s="8" t="n">
        <x:v>0</x:v>
      </x:c>
      <x:c r="M293" s="21" t="n">
        <x:f>E293+K293-I293-J293-L293</x:f>
        <x:v>0</x:v>
      </x:c>
    </x:row>
    <x:row r="294" ht="36" customHeight="1">
      <x:c r="A294" s="8" t="str">
        <x:v>Mixed consideration</x:v>
      </x:c>
      <x:c r="B294" s="8" t="str">
        <x:v>Moderate inventory</x:v>
      </x:c>
      <x:c r="C294" s="8" t="str">
        <x:v>Committed revolver</x:v>
      </x:c>
      <x:c r="D294" s="22" t="n">
        <x:v>3</x:v>
      </x:c>
      <x:c r="E294" s="8" t="n">
        <x:v>0</x:v>
      </x:c>
      <x:c r="F294" s="23" t="n">
        <x:v>0.0575</x:v>
      </x:c>
      <x:c r="G294" s="8" t="n">
        <x:v>0</x:v>
      </x:c>
      <x:c r="H294" s="8" t="n">
        <x:v>0</x:v>
      </x:c>
      <x:c r="I294" s="8" t="n">
        <x:v>0</x:v>
      </x:c>
      <x:c r="J294" s="8" t="n">
        <x:v>0</x:v>
      </x:c>
      <x:c r="K294" s="8" t="n">
        <x:v>0</x:v>
      </x:c>
      <x:c r="L294" s="8" t="n">
        <x:v>0</x:v>
      </x:c>
      <x:c r="M294" s="21" t="n">
        <x:f>E294+K294-I294-J294-L294</x:f>
        <x:v>0</x:v>
      </x:c>
    </x:row>
    <x:row r="295" ht="36" customHeight="1">
      <x:c r="A295" s="8" t="str">
        <x:v>Mixed consideration</x:v>
      </x:c>
      <x:c r="B295" s="8" t="str">
        <x:v>Moderate inventory</x:v>
      </x:c>
      <x:c r="C295" s="8" t="str">
        <x:v>Atlas notes</x:v>
      </x:c>
      <x:c r="D295" s="22" t="n">
        <x:v>4</x:v>
      </x:c>
      <x:c r="E295" s="8" t="n">
        <x:v>631.7124071445244</x:v>
      </x:c>
      <x:c r="F295" s="23" t="n">
        <x:v>0.038</x:v>
      </x:c>
      <x:c r="G295" s="8" t="n">
        <x:v>24.005071471491927</x:v>
      </x:c>
      <x:c r="H295" s="8" t="n">
        <x:v>631.7124071445244</x:v>
      </x:c>
      <x:c r="I295" s="8" t="n">
        <x:v>631.7124071445244</x:v>
      </x:c>
      <x:c r="J295" s="8" t="n">
        <x:v>0</x:v>
      </x:c>
      <x:c r="K295" s="8" t="n">
        <x:v>0</x:v>
      </x:c>
      <x:c r="L295" s="8" t="n">
        <x:v>0</x:v>
      </x:c>
      <x:c r="M295" s="21" t="n">
        <x:f>E295+K295-I295-J295-L295</x:f>
        <x:v>0</x:v>
      </x:c>
    </x:row>
    <x:row r="296" ht="36" customHeight="1">
      <x:c r="A296" s="8" t="str">
        <x:v>Mixed consideration</x:v>
      </x:c>
      <x:c r="B296" s="8" t="str">
        <x:v>Moderate inventory</x:v>
      </x:c>
      <x:c r="C296" s="8" t="str">
        <x:v>Atlas finance lease</x:v>
      </x:c>
      <x:c r="D296" s="22" t="n">
        <x:v>4</x:v>
      </x:c>
      <x:c r="E296" s="8" t="n">
        <x:v>0</x:v>
      </x:c>
      <x:c r="F296" s="23" t="n">
        <x:v>0.05</x:v>
      </x:c>
      <x:c r="G296" s="8" t="n">
        <x:v>0</x:v>
      </x:c>
      <x:c r="H296" s="8" t="n">
        <x:v>0</x:v>
      </x:c>
      <x:c r="I296" s="8" t="n">
        <x:v>0</x:v>
      </x:c>
      <x:c r="J296" s="8" t="n">
        <x:v>0</x:v>
      </x:c>
      <x:c r="K296" s="8" t="n">
        <x:v>0</x:v>
      </x:c>
      <x:c r="L296" s="8" t="n">
        <x:v>0</x:v>
      </x:c>
      <x:c r="M296" s="21" t="n">
        <x:f>E296+K296-I296-J296-L296</x:f>
        <x:v>0</x:v>
      </x:c>
    </x:row>
    <x:row r="297" ht="36" customHeight="1">
      <x:c r="A297" s="8" t="str">
        <x:v>Mixed consideration</x:v>
      </x:c>
      <x:c r="B297" s="8" t="str">
        <x:v>Moderate inventory</x:v>
      </x:c>
      <x:c r="C297" s="8" t="str">
        <x:v>Beacon notes</x:v>
      </x:c>
      <x:c r="D297" s="22" t="n">
        <x:v>4</x:v>
      </x:c>
      <x:c r="E297" s="8" t="n">
        <x:v>0</x:v>
      </x:c>
      <x:c r="F297" s="23" t="n">
        <x:v>0.0475</x:v>
      </x:c>
      <x:c r="G297" s="8" t="n">
        <x:v>0</x:v>
      </x:c>
      <x:c r="H297" s="8" t="n">
        <x:v>0</x:v>
      </x:c>
      <x:c r="I297" s="8" t="n">
        <x:v>0</x:v>
      </x:c>
      <x:c r="J297" s="8" t="n">
        <x:v>0</x:v>
      </x:c>
      <x:c r="K297" s="8" t="n">
        <x:v>0</x:v>
      </x:c>
      <x:c r="L297" s="8" t="n">
        <x:v>0</x:v>
      </x:c>
      <x:c r="M297" s="21" t="n">
        <x:f>E297+K297-I297-J297-L297</x:f>
        <x:v>0</x:v>
      </x:c>
    </x:row>
    <x:row r="298" ht="36" customHeight="1">
      <x:c r="A298" s="8" t="str">
        <x:v>Mixed consideration</x:v>
      </x:c>
      <x:c r="B298" s="8" t="str">
        <x:v>Moderate inventory</x:v>
      </x:c>
      <x:c r="C298" s="8" t="str">
        <x:v>Acquisition term</x:v>
      </x:c>
      <x:c r="D298" s="22" t="n">
        <x:v>4</x:v>
      </x:c>
      <x:c r="E298" s="8" t="n">
        <x:v>0</x:v>
      </x:c>
      <x:c r="F298" s="23" t="n">
        <x:v>0.060000000000000005</x:v>
      </x:c>
      <x:c r="G298" s="8" t="n">
        <x:v>0</x:v>
      </x:c>
      <x:c r="H298" s="8" t="n">
        <x:v>0</x:v>
      </x:c>
      <x:c r="I298" s="8" t="n">
        <x:v>0</x:v>
      </x:c>
      <x:c r="J298" s="8" t="n">
        <x:v>0</x:v>
      </x:c>
      <x:c r="K298" s="8" t="n">
        <x:v>0</x:v>
      </x:c>
      <x:c r="L298" s="8" t="n">
        <x:v>0</x:v>
      </x:c>
      <x:c r="M298" s="21" t="n">
        <x:f>E298+K298-I298-J298-L298</x:f>
        <x:v>0</x:v>
      </x:c>
    </x:row>
    <x:row r="299" ht="36" customHeight="1">
      <x:c r="A299" s="8" t="str">
        <x:v>Mixed consideration</x:v>
      </x:c>
      <x:c r="B299" s="8" t="str">
        <x:v>Moderate inventory</x:v>
      </x:c>
      <x:c r="C299" s="8" t="str">
        <x:v>Committed revolver</x:v>
      </x:c>
      <x:c r="D299" s="22" t="n">
        <x:v>4</x:v>
      </x:c>
      <x:c r="E299" s="8" t="n">
        <x:v>0</x:v>
      </x:c>
      <x:c r="F299" s="23" t="n">
        <x:v>0.0575</x:v>
      </x:c>
      <x:c r="G299" s="8" t="n">
        <x:v>0</x:v>
      </x:c>
      <x:c r="H299" s="8" t="n">
        <x:v>0</x:v>
      </x:c>
      <x:c r="I299" s="8" t="n">
        <x:v>0</x:v>
      </x:c>
      <x:c r="J299" s="8" t="n">
        <x:v>0</x:v>
      </x:c>
      <x:c r="K299" s="8" t="n">
        <x:v>31.882741197053065</x:v>
      </x:c>
      <x:c r="L299" s="8" t="n">
        <x:v>0</x:v>
      </x:c>
      <x:c r="M299" s="21" t="n">
        <x:f>E299+K299-I299-J299-L299</x:f>
        <x:v>31.882741197053065</x:v>
      </x:c>
    </x:row>
    <x:row r="300" ht="36" customHeight="1">
      <x:c r="A300" s="8" t="str">
        <x:v>Mixed consideration</x:v>
      </x:c>
      <x:c r="B300" s="8" t="str">
        <x:v>Moderate inventory</x:v>
      </x:c>
      <x:c r="C300" s="8" t="str">
        <x:v>Atlas notes</x:v>
      </x:c>
      <x:c r="D300" s="22" t="n">
        <x:v>5</x:v>
      </x:c>
      <x:c r="E300" s="8" t="n">
        <x:v>0</x:v>
      </x:c>
      <x:c r="F300" s="23" t="n">
        <x:v>0.038</x:v>
      </x:c>
      <x:c r="G300" s="8" t="n">
        <x:v>0</x:v>
      </x:c>
      <x:c r="H300" s="8" t="n">
        <x:v>0</x:v>
      </x:c>
      <x:c r="I300" s="8" t="n">
        <x:v>0</x:v>
      </x:c>
      <x:c r="J300" s="8" t="n">
        <x:v>0</x:v>
      </x:c>
      <x:c r="K300" s="8" t="n">
        <x:v>0</x:v>
      </x:c>
      <x:c r="L300" s="8" t="n">
        <x:v>0</x:v>
      </x:c>
      <x:c r="M300" s="21" t="n">
        <x:f>E300+K300-I300-J300-L300</x:f>
        <x:v>0</x:v>
      </x:c>
    </x:row>
    <x:row r="301" ht="36" customHeight="1">
      <x:c r="A301" s="8" t="str">
        <x:v>Mixed consideration</x:v>
      </x:c>
      <x:c r="B301" s="8" t="str">
        <x:v>Moderate inventory</x:v>
      </x:c>
      <x:c r="C301" s="8" t="str">
        <x:v>Atlas finance lease</x:v>
      </x:c>
      <x:c r="D301" s="22" t="n">
        <x:v>5</x:v>
      </x:c>
      <x:c r="E301" s="8" t="n">
        <x:v>0</x:v>
      </x:c>
      <x:c r="F301" s="23" t="n">
        <x:v>0.05</x:v>
      </x:c>
      <x:c r="G301" s="8" t="n">
        <x:v>0</x:v>
      </x:c>
      <x:c r="H301" s="8" t="n">
        <x:v>0</x:v>
      </x:c>
      <x:c r="I301" s="8" t="n">
        <x:v>0</x:v>
      </x:c>
      <x:c r="J301" s="8" t="n">
        <x:v>0</x:v>
      </x:c>
      <x:c r="K301" s="8" t="n">
        <x:v>0</x:v>
      </x:c>
      <x:c r="L301" s="8" t="n">
        <x:v>0</x:v>
      </x:c>
      <x:c r="M301" s="21" t="n">
        <x:f>E301+K301-I301-J301-L301</x:f>
        <x:v>0</x:v>
      </x:c>
    </x:row>
    <x:row r="302" ht="36" customHeight="1">
      <x:c r="A302" s="8" t="str">
        <x:v>Mixed consideration</x:v>
      </x:c>
      <x:c r="B302" s="8" t="str">
        <x:v>Moderate inventory</x:v>
      </x:c>
      <x:c r="C302" s="8" t="str">
        <x:v>Beacon notes</x:v>
      </x:c>
      <x:c r="D302" s="22" t="n">
        <x:v>5</x:v>
      </x:c>
      <x:c r="E302" s="8" t="n">
        <x:v>0</x:v>
      </x:c>
      <x:c r="F302" s="23" t="n">
        <x:v>0.0475</x:v>
      </x:c>
      <x:c r="G302" s="8" t="n">
        <x:v>0</x:v>
      </x:c>
      <x:c r="H302" s="8" t="n">
        <x:v>0</x:v>
      </x:c>
      <x:c r="I302" s="8" t="n">
        <x:v>0</x:v>
      </x:c>
      <x:c r="J302" s="8" t="n">
        <x:v>0</x:v>
      </x:c>
      <x:c r="K302" s="8" t="n">
        <x:v>0</x:v>
      </x:c>
      <x:c r="L302" s="8" t="n">
        <x:v>0</x:v>
      </x:c>
      <x:c r="M302" s="21" t="n">
        <x:f>E302+K302-I302-J302-L302</x:f>
        <x:v>0</x:v>
      </x:c>
    </x:row>
    <x:row r="303" ht="36" customHeight="1">
      <x:c r="A303" s="8" t="str">
        <x:v>Mixed consideration</x:v>
      </x:c>
      <x:c r="B303" s="8" t="str">
        <x:v>Moderate inventory</x:v>
      </x:c>
      <x:c r="C303" s="8" t="str">
        <x:v>Acquisition term</x:v>
      </x:c>
      <x:c r="D303" s="22" t="n">
        <x:v>5</x:v>
      </x:c>
      <x:c r="E303" s="8" t="n">
        <x:v>0</x:v>
      </x:c>
      <x:c r="F303" s="23" t="n">
        <x:v>0.060000000000000005</x:v>
      </x:c>
      <x:c r="G303" s="8" t="n">
        <x:v>0</x:v>
      </x:c>
      <x:c r="H303" s="8" t="n">
        <x:v>0</x:v>
      </x:c>
      <x:c r="I303" s="8" t="n">
        <x:v>0</x:v>
      </x:c>
      <x:c r="J303" s="8" t="n">
        <x:v>0</x:v>
      </x:c>
      <x:c r="K303" s="8" t="n">
        <x:v>0</x:v>
      </x:c>
      <x:c r="L303" s="8" t="n">
        <x:v>0</x:v>
      </x:c>
      <x:c r="M303" s="21" t="n">
        <x:f>E303+K303-I303-J303-L303</x:f>
        <x:v>0</x:v>
      </x:c>
    </x:row>
    <x:row r="304" ht="36" customHeight="1">
      <x:c r="A304" s="8" t="str">
        <x:v>Mixed consideration</x:v>
      </x:c>
      <x:c r="B304" s="8" t="str">
        <x:v>Moderate inventory</x:v>
      </x:c>
      <x:c r="C304" s="8" t="str">
        <x:v>Committed revolver</x:v>
      </x:c>
      <x:c r="D304" s="22" t="n">
        <x:v>5</x:v>
      </x:c>
      <x:c r="E304" s="8" t="n">
        <x:v>31.882741197053065</x:v>
      </x:c>
      <x:c r="F304" s="23" t="n">
        <x:v>0.0575</x:v>
      </x:c>
      <x:c r="G304" s="8" t="n">
        <x:v>1.8332576188305514</x:v>
      </x:c>
      <x:c r="H304" s="8" t="n">
        <x:v>31.882741197053065</x:v>
      </x:c>
      <x:c r="I304" s="8" t="n">
        <x:v>31.882741197053065</x:v>
      </x:c>
      <x:c r="J304" s="8" t="n">
        <x:v>0</x:v>
      </x:c>
      <x:c r="K304" s="8" t="n">
        <x:v>0</x:v>
      </x:c>
      <x:c r="L304" s="8" t="n">
        <x:v>0</x:v>
      </x:c>
      <x:c r="M304" s="21" t="n">
        <x:f>E304+K304-I304-J304-L304</x:f>
        <x:v>0</x:v>
      </x:c>
    </x:row>
    <x:row r="305" ht="36" customHeight="1">
      <x:c r="A305" s="8" t="str">
        <x:v>Cash-first</x:v>
      </x:c>
      <x:c r="B305" s="8" t="str">
        <x:v>Moderate benchmark</x:v>
      </x:c>
      <x:c r="C305" s="8" t="str">
        <x:v>Atlas notes</x:v>
      </x:c>
      <x:c r="D305" s="22" t="n">
        <x:v>1</x:v>
      </x:c>
      <x:c r="E305" s="8" t="n">
        <x:v>900</x:v>
      </x:c>
      <x:c r="F305" s="23" t="n">
        <x:v>0.038</x:v>
      </x:c>
      <x:c r="G305" s="8" t="n">
        <x:v>34.199999999999996</x:v>
      </x:c>
      <x:c r="H305" s="8" t="n">
        <x:v>0</x:v>
      </x:c>
      <x:c r="I305" s="8" t="n">
        <x:v>0</x:v>
      </x:c>
      <x:c r="J305" s="8" t="n">
        <x:v>0</x:v>
      </x:c>
      <x:c r="K305" s="8" t="n">
        <x:v>0</x:v>
      </x:c>
      <x:c r="L305" s="8" t="n">
        <x:v>0</x:v>
      </x:c>
      <x:c r="M305" s="21" t="n">
        <x:f>E305+K305-I305-J305-L305</x:f>
        <x:v>900</x:v>
      </x:c>
    </x:row>
    <x:row r="306" ht="36" customHeight="1">
      <x:c r="A306" s="8" t="str">
        <x:v>Cash-first</x:v>
      </x:c>
      <x:c r="B306" s="8" t="str">
        <x:v>Moderate benchmark</x:v>
      </x:c>
      <x:c r="C306" s="8" t="str">
        <x:v>Atlas finance lease</x:v>
      </x:c>
      <x:c r="D306" s="22" t="n">
        <x:v>1</x:v>
      </x:c>
      <x:c r="E306" s="8" t="n">
        <x:v>80</x:v>
      </x:c>
      <x:c r="F306" s="23" t="n">
        <x:v>0.05</x:v>
      </x:c>
      <x:c r="G306" s="8" t="n">
        <x:v>4</x:v>
      </x:c>
      <x:c r="H306" s="8" t="n">
        <x:v>16</x:v>
      </x:c>
      <x:c r="I306" s="8" t="n">
        <x:v>16</x:v>
      </x:c>
      <x:c r="J306" s="8" t="n">
        <x:v>0</x:v>
      </x:c>
      <x:c r="K306" s="8" t="n">
        <x:v>0</x:v>
      </x:c>
      <x:c r="L306" s="8" t="n">
        <x:v>0</x:v>
      </x:c>
      <x:c r="M306" s="21" t="n">
        <x:f>E306+K306-I306-J306-L306</x:f>
        <x:v>64</x:v>
      </x:c>
    </x:row>
    <x:row r="307" ht="36" customHeight="1">
      <x:c r="A307" s="8" t="str">
        <x:v>Cash-first</x:v>
      </x:c>
      <x:c r="B307" s="8" t="str">
        <x:v>Moderate benchmark</x:v>
      </x:c>
      <x:c r="C307" s="8" t="str">
        <x:v>Beacon notes</x:v>
      </x:c>
      <x:c r="D307" s="22" t="n">
        <x:v>1</x:v>
      </x:c>
      <x:c r="E307" s="8" t="n">
        <x:v>350</x:v>
      </x:c>
      <x:c r="F307" s="23" t="n">
        <x:v>0.0475</x:v>
      </x:c>
      <x:c r="G307" s="8" t="n">
        <x:v>16.625</x:v>
      </x:c>
      <x:c r="H307" s="8" t="n">
        <x:v>0</x:v>
      </x:c>
      <x:c r="I307" s="8" t="n">
        <x:v>0</x:v>
      </x:c>
      <x:c r="J307" s="8" t="n">
        <x:v>0</x:v>
      </x:c>
      <x:c r="K307" s="8" t="n">
        <x:v>0</x:v>
      </x:c>
      <x:c r="L307" s="8" t="n">
        <x:v>0</x:v>
      </x:c>
      <x:c r="M307" s="21" t="n">
        <x:f>E307+K307-I307-J307-L307</x:f>
        <x:v>350</x:v>
      </x:c>
    </x:row>
    <x:row r="308" ht="36" customHeight="1">
      <x:c r="A308" s="8" t="str">
        <x:v>Cash-first</x:v>
      </x:c>
      <x:c r="B308" s="8" t="str">
        <x:v>Moderate benchmark</x:v>
      </x:c>
      <x:c r="C308" s="8" t="str">
        <x:v>Acquisition term</x:v>
      </x:c>
      <x:c r="D308" s="22" t="n">
        <x:v>1</x:v>
      </x:c>
      <x:c r="E308" s="8" t="n">
        <x:v>1340.1015228426397</x:v>
      </x:c>
      <x:c r="F308" s="23" t="n">
        <x:v>0.07500000000000001</x:v>
      </x:c>
      <x:c r="G308" s="8" t="n">
        <x:v>100.507614213198</x:v>
      </x:c>
      <x:c r="H308" s="8" t="n">
        <x:v>26.802030456852794</x:v>
      </x:c>
      <x:c r="I308" s="8" t="n">
        <x:v>26.802030456852794</x:v>
      </x:c>
      <x:c r="J308" s="8" t="n">
        <x:v>248.56272121201562</x:v>
      </x:c>
      <x:c r="K308" s="8" t="n">
        <x:v>0</x:v>
      </x:c>
      <x:c r="L308" s="8" t="n">
        <x:v>0</x:v>
      </x:c>
      <x:c r="M308" s="21" t="n">
        <x:f>E308+K308-I308-J308-L308</x:f>
        <x:v>1064.736771173771</x:v>
      </x:c>
    </x:row>
    <x:row r="309" ht="36" customHeight="1">
      <x:c r="A309" s="8" t="str">
        <x:v>Cash-first</x:v>
      </x:c>
      <x:c r="B309" s="8" t="str">
        <x:v>Moderate benchmark</x:v>
      </x:c>
      <x:c r="C309" s="8" t="str">
        <x:v>Committed revolver</x:v>
      </x:c>
      <x:c r="D309" s="22" t="n">
        <x:v>1</x:v>
      </x:c>
      <x:c r="E309" s="8" t="n">
        <x:v>0</x:v>
      </x:c>
      <x:c r="F309" s="23" t="n">
        <x:v>0.07250000000000001</x:v>
      </x:c>
      <x:c r="G309" s="8" t="n">
        <x:v>0</x:v>
      </x:c>
      <x:c r="H309" s="8" t="n">
        <x:v>0</x:v>
      </x:c>
      <x:c r="I309" s="8" t="n">
        <x:v>0</x:v>
      </x:c>
      <x:c r="J309" s="8" t="n">
        <x:v>0</x:v>
      </x:c>
      <x:c r="K309" s="8" t="n">
        <x:v>0</x:v>
      </x:c>
      <x:c r="L309" s="8" t="n">
        <x:v>0</x:v>
      </x:c>
      <x:c r="M309" s="21" t="n">
        <x:f>E309+K309-I309-J309-L309</x:f>
        <x:v>0</x:v>
      </x:c>
    </x:row>
    <x:row r="310" ht="36" customHeight="1">
      <x:c r="A310" s="8" t="str">
        <x:v>Cash-first</x:v>
      </x:c>
      <x:c r="B310" s="8" t="str">
        <x:v>Moderate benchmark</x:v>
      </x:c>
      <x:c r="C310" s="8" t="str">
        <x:v>Atlas notes</x:v>
      </x:c>
      <x:c r="D310" s="22" t="n">
        <x:v>2</x:v>
      </x:c>
      <x:c r="E310" s="8" t="n">
        <x:v>900</x:v>
      </x:c>
      <x:c r="F310" s="23" t="n">
        <x:v>0.038</x:v>
      </x:c>
      <x:c r="G310" s="8" t="n">
        <x:v>34.199999999999996</x:v>
      </x:c>
      <x:c r="H310" s="8" t="n">
        <x:v>0</x:v>
      </x:c>
      <x:c r="I310" s="8" t="n">
        <x:v>0</x:v>
      </x:c>
      <x:c r="J310" s="8" t="n">
        <x:v>0</x:v>
      </x:c>
      <x:c r="K310" s="8" t="n">
        <x:v>0</x:v>
      </x:c>
      <x:c r="L310" s="8" t="n">
        <x:v>0</x:v>
      </x:c>
      <x:c r="M310" s="21" t="n">
        <x:f>E310+K310-I310-J310-L310</x:f>
        <x:v>900</x:v>
      </x:c>
    </x:row>
    <x:row r="311" ht="36" customHeight="1">
      <x:c r="A311" s="8" t="str">
        <x:v>Cash-first</x:v>
      </x:c>
      <x:c r="B311" s="8" t="str">
        <x:v>Moderate benchmark</x:v>
      </x:c>
      <x:c r="C311" s="8" t="str">
        <x:v>Atlas finance lease</x:v>
      </x:c>
      <x:c r="D311" s="22" t="n">
        <x:v>2</x:v>
      </x:c>
      <x:c r="E311" s="8" t="n">
        <x:v>64</x:v>
      </x:c>
      <x:c r="F311" s="23" t="n">
        <x:v>0.05</x:v>
      </x:c>
      <x:c r="G311" s="8" t="n">
        <x:v>3.2</x:v>
      </x:c>
      <x:c r="H311" s="8" t="n">
        <x:v>16</x:v>
      </x:c>
      <x:c r="I311" s="8" t="n">
        <x:v>16</x:v>
      </x:c>
      <x:c r="J311" s="8" t="n">
        <x:v>0</x:v>
      </x:c>
      <x:c r="K311" s="8" t="n">
        <x:v>0</x:v>
      </x:c>
      <x:c r="L311" s="8" t="n">
        <x:v>0</x:v>
      </x:c>
      <x:c r="M311" s="21" t="n">
        <x:f>E311+K311-I311-J311-L311</x:f>
        <x:v>48</x:v>
      </x:c>
    </x:row>
    <x:row r="312" ht="36" customHeight="1">
      <x:c r="A312" s="8" t="str">
        <x:v>Cash-first</x:v>
      </x:c>
      <x:c r="B312" s="8" t="str">
        <x:v>Moderate benchmark</x:v>
      </x:c>
      <x:c r="C312" s="8" t="str">
        <x:v>Beacon notes</x:v>
      </x:c>
      <x:c r="D312" s="22" t="n">
        <x:v>2</x:v>
      </x:c>
      <x:c r="E312" s="8" t="n">
        <x:v>350</x:v>
      </x:c>
      <x:c r="F312" s="23" t="n">
        <x:v>0.0475</x:v>
      </x:c>
      <x:c r="G312" s="8" t="n">
        <x:v>16.625</x:v>
      </x:c>
      <x:c r="H312" s="8" t="n">
        <x:v>0</x:v>
      </x:c>
      <x:c r="I312" s="8" t="n">
        <x:v>0</x:v>
      </x:c>
      <x:c r="J312" s="8" t="n">
        <x:v>0</x:v>
      </x:c>
      <x:c r="K312" s="8" t="n">
        <x:v>0</x:v>
      </x:c>
      <x:c r="L312" s="8" t="n">
        <x:v>0</x:v>
      </x:c>
      <x:c r="M312" s="21" t="n">
        <x:f>E312+K312-I312-J312-L312</x:f>
        <x:v>350</x:v>
      </x:c>
    </x:row>
    <x:row r="313" ht="36" customHeight="1">
      <x:c r="A313" s="8" t="str">
        <x:v>Cash-first</x:v>
      </x:c>
      <x:c r="B313" s="8" t="str">
        <x:v>Moderate benchmark</x:v>
      </x:c>
      <x:c r="C313" s="8" t="str">
        <x:v>Acquisition term</x:v>
      </x:c>
      <x:c r="D313" s="22" t="n">
        <x:v>2</x:v>
      </x:c>
      <x:c r="E313" s="8" t="n">
        <x:v>1064.736771173771</x:v>
      </x:c>
      <x:c r="F313" s="23" t="n">
        <x:v>0.07250000000000001</x:v>
      </x:c>
      <x:c r="G313" s="8" t="n">
        <x:v>77.19341591009841</x:v>
      </x:c>
      <x:c r="H313" s="8" t="n">
        <x:v>26.802030456852794</x:v>
      </x:c>
      <x:c r="I313" s="8" t="n">
        <x:v>26.802030456852794</x:v>
      </x:c>
      <x:c r="J313" s="8" t="n">
        <x:v>341.84397524755764</x:v>
      </x:c>
      <x:c r="K313" s="8" t="n">
        <x:v>0</x:v>
      </x:c>
      <x:c r="L313" s="8" t="n">
        <x:v>0</x:v>
      </x:c>
      <x:c r="M313" s="21" t="n">
        <x:f>E313+K313-I313-J313-L313</x:f>
        <x:v>696.0907654693606</x:v>
      </x:c>
    </x:row>
    <x:row r="314" ht="36" customHeight="1">
      <x:c r="A314" s="8" t="str">
        <x:v>Cash-first</x:v>
      </x:c>
      <x:c r="B314" s="8" t="str">
        <x:v>Moderate benchmark</x:v>
      </x:c>
      <x:c r="C314" s="8" t="str">
        <x:v>Committed revolver</x:v>
      </x:c>
      <x:c r="D314" s="22" t="n">
        <x:v>2</x:v>
      </x:c>
      <x:c r="E314" s="8" t="n">
        <x:v>0</x:v>
      </x:c>
      <x:c r="F314" s="23" t="n">
        <x:v>0.07</x:v>
      </x:c>
      <x:c r="G314" s="8" t="n">
        <x:v>0</x:v>
      </x:c>
      <x:c r="H314" s="8" t="n">
        <x:v>0</x:v>
      </x:c>
      <x:c r="I314" s="8" t="n">
        <x:v>0</x:v>
      </x:c>
      <x:c r="J314" s="8" t="n">
        <x:v>0</x:v>
      </x:c>
      <x:c r="K314" s="8" t="n">
        <x:v>0</x:v>
      </x:c>
      <x:c r="L314" s="8" t="n">
        <x:v>0</x:v>
      </x:c>
      <x:c r="M314" s="21" t="n">
        <x:f>E314+K314-I314-J314-L314</x:f>
        <x:v>0</x:v>
      </x:c>
    </x:row>
    <x:row r="315" ht="36" customHeight="1">
      <x:c r="A315" s="8" t="str">
        <x:v>Cash-first</x:v>
      </x:c>
      <x:c r="B315" s="8" t="str">
        <x:v>Moderate benchmark</x:v>
      </x:c>
      <x:c r="C315" s="8" t="str">
        <x:v>Atlas notes</x:v>
      </x:c>
      <x:c r="D315" s="22" t="n">
        <x:v>3</x:v>
      </x:c>
      <x:c r="E315" s="8" t="n">
        <x:v>900</x:v>
      </x:c>
      <x:c r="F315" s="23" t="n">
        <x:v>0.038</x:v>
      </x:c>
      <x:c r="G315" s="8" t="n">
        <x:v>34.199999999999996</x:v>
      </x:c>
      <x:c r="H315" s="8" t="n">
        <x:v>0</x:v>
      </x:c>
      <x:c r="I315" s="8" t="n">
        <x:v>0</x:v>
      </x:c>
      <x:c r="J315" s="8" t="n">
        <x:v>0</x:v>
      </x:c>
      <x:c r="K315" s="8" t="n">
        <x:v>0</x:v>
      </x:c>
      <x:c r="L315" s="8" t="n">
        <x:v>0</x:v>
      </x:c>
      <x:c r="M315" s="21" t="n">
        <x:f>E315+K315-I315-J315-L315</x:f>
        <x:v>900</x:v>
      </x:c>
    </x:row>
    <x:row r="316" ht="36" customHeight="1">
      <x:c r="A316" s="8" t="str">
        <x:v>Cash-first</x:v>
      </x:c>
      <x:c r="B316" s="8" t="str">
        <x:v>Moderate benchmark</x:v>
      </x:c>
      <x:c r="C316" s="8" t="str">
        <x:v>Atlas finance lease</x:v>
      </x:c>
      <x:c r="D316" s="22" t="n">
        <x:v>3</x:v>
      </x:c>
      <x:c r="E316" s="8" t="n">
        <x:v>48</x:v>
      </x:c>
      <x:c r="F316" s="23" t="n">
        <x:v>0.05</x:v>
      </x:c>
      <x:c r="G316" s="8" t="n">
        <x:v>2.4000000000000004</x:v>
      </x:c>
      <x:c r="H316" s="8" t="n">
        <x:v>16</x:v>
      </x:c>
      <x:c r="I316" s="8" t="n">
        <x:v>16</x:v>
      </x:c>
      <x:c r="J316" s="8" t="n">
        <x:v>0</x:v>
      </x:c>
      <x:c r="K316" s="8" t="n">
        <x:v>0</x:v>
      </x:c>
      <x:c r="L316" s="8" t="n">
        <x:v>0</x:v>
      </x:c>
      <x:c r="M316" s="21" t="n">
        <x:f>E316+K316-I316-J316-L316</x:f>
        <x:v>32</x:v>
      </x:c>
    </x:row>
    <x:row r="317" ht="36" customHeight="1">
      <x:c r="A317" s="8" t="str">
        <x:v>Cash-first</x:v>
      </x:c>
      <x:c r="B317" s="8" t="str">
        <x:v>Moderate benchmark</x:v>
      </x:c>
      <x:c r="C317" s="8" t="str">
        <x:v>Beacon notes</x:v>
      </x:c>
      <x:c r="D317" s="22" t="n">
        <x:v>3</x:v>
      </x:c>
      <x:c r="E317" s="8" t="n">
        <x:v>350</x:v>
      </x:c>
      <x:c r="F317" s="23" t="n">
        <x:v>0.0475</x:v>
      </x:c>
      <x:c r="G317" s="8" t="n">
        <x:v>16.625</x:v>
      </x:c>
      <x:c r="H317" s="8" t="n">
        <x:v>350</x:v>
      </x:c>
      <x:c r="I317" s="8" t="n">
        <x:v>350</x:v>
      </x:c>
      <x:c r="J317" s="8" t="n">
        <x:v>0</x:v>
      </x:c>
      <x:c r="K317" s="8" t="n">
        <x:v>0</x:v>
      </x:c>
      <x:c r="L317" s="8" t="n">
        <x:v>0</x:v>
      </x:c>
      <x:c r="M317" s="21" t="n">
        <x:f>E317+K317-I317-J317-L317</x:f>
        <x:v>0</x:v>
      </x:c>
    </x:row>
    <x:row r="318" ht="36" customHeight="1">
      <x:c r="A318" s="8" t="str">
        <x:v>Cash-first</x:v>
      </x:c>
      <x:c r="B318" s="8" t="str">
        <x:v>Moderate benchmark</x:v>
      </x:c>
      <x:c r="C318" s="8" t="str">
        <x:v>Acquisition term</x:v>
      </x:c>
      <x:c r="D318" s="22" t="n">
        <x:v>3</x:v>
      </x:c>
      <x:c r="E318" s="8" t="n">
        <x:v>696.0907654693606</x:v>
      </x:c>
      <x:c r="F318" s="23" t="n">
        <x:v>0.07</x:v>
      </x:c>
      <x:c r="G318" s="8" t="n">
        <x:v>48.726353582855246</x:v>
      </x:c>
      <x:c r="H318" s="8" t="n">
        <x:v>26.802030456852794</x:v>
      </x:c>
      <x:c r="I318" s="8" t="n">
        <x:v>26.802030456852794</x:v>
      </x:c>
      <x:c r="J318" s="8" t="n">
        <x:v>109.79724743391614</x:v>
      </x:c>
      <x:c r="K318" s="8" t="n">
        <x:v>0</x:v>
      </x:c>
      <x:c r="L318" s="8" t="n">
        <x:v>0</x:v>
      </x:c>
      <x:c r="M318" s="21" t="n">
        <x:f>E318+K318-I318-J318-L318</x:f>
        <x:v>559.4914875785917</x:v>
      </x:c>
    </x:row>
    <x:row r="319" ht="36" customHeight="1">
      <x:c r="A319" s="8" t="str">
        <x:v>Cash-first</x:v>
      </x:c>
      <x:c r="B319" s="8" t="str">
        <x:v>Moderate benchmark</x:v>
      </x:c>
      <x:c r="C319" s="8" t="str">
        <x:v>Committed revolver</x:v>
      </x:c>
      <x:c r="D319" s="22" t="n">
        <x:v>3</x:v>
      </x:c>
      <x:c r="E319" s="8" t="n">
        <x:v>0</x:v>
      </x:c>
      <x:c r="F319" s="23" t="n">
        <x:v>0.0675</x:v>
      </x:c>
      <x:c r="G319" s="8" t="n">
        <x:v>0</x:v>
      </x:c>
      <x:c r="H319" s="8" t="n">
        <x:v>0</x:v>
      </x:c>
      <x:c r="I319" s="8" t="n">
        <x:v>0</x:v>
      </x:c>
      <x:c r="J319" s="8" t="n">
        <x:v>0</x:v>
      </x:c>
      <x:c r="K319" s="8" t="n">
        <x:v>0</x:v>
      </x:c>
      <x:c r="L319" s="8" t="n">
        <x:v>0</x:v>
      </x:c>
      <x:c r="M319" s="21" t="n">
        <x:f>E319+K319-I319-J319-L319</x:f>
        <x:v>0</x:v>
      </x:c>
    </x:row>
    <x:row r="320" ht="36" customHeight="1">
      <x:c r="A320" s="8" t="str">
        <x:v>Cash-first</x:v>
      </x:c>
      <x:c r="B320" s="8" t="str">
        <x:v>Moderate benchmark</x:v>
      </x:c>
      <x:c r="C320" s="8" t="str">
        <x:v>Atlas notes</x:v>
      </x:c>
      <x:c r="D320" s="22" t="n">
        <x:v>4</x:v>
      </x:c>
      <x:c r="E320" s="8" t="n">
        <x:v>900</x:v>
      </x:c>
      <x:c r="F320" s="23" t="n">
        <x:v>0.038</x:v>
      </x:c>
      <x:c r="G320" s="8" t="n">
        <x:v>34.199999999999996</x:v>
      </x:c>
      <x:c r="H320" s="8" t="n">
        <x:v>900</x:v>
      </x:c>
      <x:c r="I320" s="8" t="n">
        <x:v>900</x:v>
      </x:c>
      <x:c r="J320" s="8" t="n">
        <x:v>0</x:v>
      </x:c>
      <x:c r="K320" s="8" t="n">
        <x:v>0</x:v>
      </x:c>
      <x:c r="L320" s="8" t="n">
        <x:v>0</x:v>
      </x:c>
      <x:c r="M320" s="21" t="n">
        <x:f>E320+K320-I320-J320-L320</x:f>
        <x:v>0</x:v>
      </x:c>
    </x:row>
    <x:row r="321" ht="36" customHeight="1">
      <x:c r="A321" s="8" t="str">
        <x:v>Cash-first</x:v>
      </x:c>
      <x:c r="B321" s="8" t="str">
        <x:v>Moderate benchmark</x:v>
      </x:c>
      <x:c r="C321" s="8" t="str">
        <x:v>Atlas finance lease</x:v>
      </x:c>
      <x:c r="D321" s="22" t="n">
        <x:v>4</x:v>
      </x:c>
      <x:c r="E321" s="8" t="n">
        <x:v>32</x:v>
      </x:c>
      <x:c r="F321" s="23" t="n">
        <x:v>0.05</x:v>
      </x:c>
      <x:c r="G321" s="8" t="n">
        <x:v>1.6</x:v>
      </x:c>
      <x:c r="H321" s="8" t="n">
        <x:v>16</x:v>
      </x:c>
      <x:c r="I321" s="8" t="n">
        <x:v>16</x:v>
      </x:c>
      <x:c r="J321" s="8" t="n">
        <x:v>0</x:v>
      </x:c>
      <x:c r="K321" s="8" t="n">
        <x:v>0</x:v>
      </x:c>
      <x:c r="L321" s="8" t="n">
        <x:v>0</x:v>
      </x:c>
      <x:c r="M321" s="21" t="n">
        <x:f>E321+K321-I321-J321-L321</x:f>
        <x:v>16</x:v>
      </x:c>
    </x:row>
    <x:row r="322" ht="36" customHeight="1">
      <x:c r="A322" s="8" t="str">
        <x:v>Cash-first</x:v>
      </x:c>
      <x:c r="B322" s="8" t="str">
        <x:v>Moderate benchmark</x:v>
      </x:c>
      <x:c r="C322" s="8" t="str">
        <x:v>Beacon notes</x:v>
      </x:c>
      <x:c r="D322" s="22" t="n">
        <x:v>4</x:v>
      </x:c>
      <x:c r="E322" s="8" t="n">
        <x:v>0</x:v>
      </x:c>
      <x:c r="F322" s="23" t="n">
        <x:v>0.0475</x:v>
      </x:c>
      <x:c r="G322" s="8" t="n">
        <x:v>0</x:v>
      </x:c>
      <x:c r="H322" s="8" t="n">
        <x:v>0</x:v>
      </x:c>
      <x:c r="I322" s="8" t="n">
        <x:v>0</x:v>
      </x:c>
      <x:c r="J322" s="8" t="n">
        <x:v>0</x:v>
      </x:c>
      <x:c r="K322" s="8" t="n">
        <x:v>0</x:v>
      </x:c>
      <x:c r="L322" s="8" t="n">
        <x:v>0</x:v>
      </x:c>
      <x:c r="M322" s="21" t="n">
        <x:f>E322+K322-I322-J322-L322</x:f>
        <x:v>0</x:v>
      </x:c>
    </x:row>
    <x:row r="323" ht="36" customHeight="1">
      <x:c r="A323" s="8" t="str">
        <x:v>Cash-first</x:v>
      </x:c>
      <x:c r="B323" s="8" t="str">
        <x:v>Moderate benchmark</x:v>
      </x:c>
      <x:c r="C323" s="8" t="str">
        <x:v>Acquisition term</x:v>
      </x:c>
      <x:c r="D323" s="22" t="n">
        <x:v>4</x:v>
      </x:c>
      <x:c r="E323" s="8" t="n">
        <x:v>559.4914875785917</x:v>
      </x:c>
      <x:c r="F323" s="23" t="n">
        <x:v>0.07</x:v>
      </x:c>
      <x:c r="G323" s="8" t="n">
        <x:v>39.16440413050142</x:v>
      </x:c>
      <x:c r="H323" s="8" t="n">
        <x:v>26.802030456852794</x:v>
      </x:c>
      <x:c r="I323" s="8" t="n">
        <x:v>26.802030456852794</x:v>
      </x:c>
      <x:c r="J323" s="8" t="n">
        <x:v>0</x:v>
      </x:c>
      <x:c r="K323" s="8" t="n">
        <x:v>0</x:v>
      </x:c>
      <x:c r="L323" s="8" t="n">
        <x:v>0</x:v>
      </x:c>
      <x:c r="M323" s="21" t="n">
        <x:f>E323+K323-I323-J323-L323</x:f>
        <x:v>532.6894571217389</x:v>
      </x:c>
    </x:row>
    <x:row r="324" ht="36" customHeight="1">
      <x:c r="A324" s="8" t="str">
        <x:v>Cash-first</x:v>
      </x:c>
      <x:c r="B324" s="8" t="str">
        <x:v>Moderate benchmark</x:v>
      </x:c>
      <x:c r="C324" s="8" t="str">
        <x:v>Committed revolver</x:v>
      </x:c>
      <x:c r="D324" s="22" t="n">
        <x:v>4</x:v>
      </x:c>
      <x:c r="E324" s="8" t="n">
        <x:v>0</x:v>
      </x:c>
      <x:c r="F324" s="23" t="n">
        <x:v>0.0675</x:v>
      </x:c>
      <x:c r="G324" s="8" t="n">
        <x:v>0</x:v>
      </x:c>
      <x:c r="H324" s="8" t="n">
        <x:v>0</x:v>
      </x:c>
      <x:c r="I324" s="8" t="n">
        <x:v>0</x:v>
      </x:c>
      <x:c r="J324" s="8" t="n">
        <x:v>0</x:v>
      </x:c>
      <x:c r="K324" s="8" t="n">
        <x:v>373.12846104987193</x:v>
      </x:c>
      <x:c r="L324" s="8" t="n">
        <x:v>0</x:v>
      </x:c>
      <x:c r="M324" s="21" t="n">
        <x:f>E324+K324-I324-J324-L324</x:f>
        <x:v>373.12846104987193</x:v>
      </x:c>
    </x:row>
    <x:row r="325" ht="36" customHeight="1">
      <x:c r="A325" s="8" t="str">
        <x:v>Cash-first</x:v>
      </x:c>
      <x:c r="B325" s="8" t="str">
        <x:v>Moderate benchmark</x:v>
      </x:c>
      <x:c r="C325" s="8" t="str">
        <x:v>Atlas notes</x:v>
      </x:c>
      <x:c r="D325" s="22" t="n">
        <x:v>5</x:v>
      </x:c>
      <x:c r="E325" s="8" t="n">
        <x:v>0</x:v>
      </x:c>
      <x:c r="F325" s="23" t="n">
        <x:v>0.038</x:v>
      </x:c>
      <x:c r="G325" s="8" t="n">
        <x:v>0</x:v>
      </x:c>
      <x:c r="H325" s="8" t="n">
        <x:v>0</x:v>
      </x:c>
      <x:c r="I325" s="8" t="n">
        <x:v>0</x:v>
      </x:c>
      <x:c r="J325" s="8" t="n">
        <x:v>0</x:v>
      </x:c>
      <x:c r="K325" s="8" t="n">
        <x:v>0</x:v>
      </x:c>
      <x:c r="L325" s="8" t="n">
        <x:v>0</x:v>
      </x:c>
      <x:c r="M325" s="21" t="n">
        <x:f>E325+K325-I325-J325-L325</x:f>
        <x:v>0</x:v>
      </x:c>
    </x:row>
    <x:row r="326" ht="36" customHeight="1">
      <x:c r="A326" s="8" t="str">
        <x:v>Cash-first</x:v>
      </x:c>
      <x:c r="B326" s="8" t="str">
        <x:v>Moderate benchmark</x:v>
      </x:c>
      <x:c r="C326" s="8" t="str">
        <x:v>Atlas finance lease</x:v>
      </x:c>
      <x:c r="D326" s="22" t="n">
        <x:v>5</x:v>
      </x:c>
      <x:c r="E326" s="8" t="n">
        <x:v>16</x:v>
      </x:c>
      <x:c r="F326" s="23" t="n">
        <x:v>0.05</x:v>
      </x:c>
      <x:c r="G326" s="8" t="n">
        <x:v>0.8</x:v>
      </x:c>
      <x:c r="H326" s="8" t="n">
        <x:v>16</x:v>
      </x:c>
      <x:c r="I326" s="8" t="n">
        <x:v>16</x:v>
      </x:c>
      <x:c r="J326" s="8" t="n">
        <x:v>0</x:v>
      </x:c>
      <x:c r="K326" s="8" t="n">
        <x:v>0</x:v>
      </x:c>
      <x:c r="L326" s="8" t="n">
        <x:v>0</x:v>
      </x:c>
      <x:c r="M326" s="21" t="n">
        <x:f>E326+K326-I326-J326-L326</x:f>
        <x:v>0</x:v>
      </x:c>
    </x:row>
    <x:row r="327" ht="36" customHeight="1">
      <x:c r="A327" s="8" t="str">
        <x:v>Cash-first</x:v>
      </x:c>
      <x:c r="B327" s="8" t="str">
        <x:v>Moderate benchmark</x:v>
      </x:c>
      <x:c r="C327" s="8" t="str">
        <x:v>Beacon notes</x:v>
      </x:c>
      <x:c r="D327" s="22" t="n">
        <x:v>5</x:v>
      </x:c>
      <x:c r="E327" s="8" t="n">
        <x:v>0</x:v>
      </x:c>
      <x:c r="F327" s="23" t="n">
        <x:v>0.0475</x:v>
      </x:c>
      <x:c r="G327" s="8" t="n">
        <x:v>0</x:v>
      </x:c>
      <x:c r="H327" s="8" t="n">
        <x:v>0</x:v>
      </x:c>
      <x:c r="I327" s="8" t="n">
        <x:v>0</x:v>
      </x:c>
      <x:c r="J327" s="8" t="n">
        <x:v>0</x:v>
      </x:c>
      <x:c r="K327" s="8" t="n">
        <x:v>0</x:v>
      </x:c>
      <x:c r="L327" s="8" t="n">
        <x:v>0</x:v>
      </x:c>
      <x:c r="M327" s="21" t="n">
        <x:f>E327+K327-I327-J327-L327</x:f>
        <x:v>0</x:v>
      </x:c>
    </x:row>
    <x:row r="328" ht="36" customHeight="1">
      <x:c r="A328" s="8" t="str">
        <x:v>Cash-first</x:v>
      </x:c>
      <x:c r="B328" s="8" t="str">
        <x:v>Moderate benchmark</x:v>
      </x:c>
      <x:c r="C328" s="8" t="str">
        <x:v>Acquisition term</x:v>
      </x:c>
      <x:c r="D328" s="22" t="n">
        <x:v>5</x:v>
      </x:c>
      <x:c r="E328" s="8" t="n">
        <x:v>532.6894571217389</x:v>
      </x:c>
      <x:c r="F328" s="23" t="n">
        <x:v>0.07</x:v>
      </x:c>
      <x:c r="G328" s="8" t="n">
        <x:v>37.288261998521726</x:v>
      </x:c>
      <x:c r="H328" s="8" t="n">
        <x:v>532.6894571217389</x:v>
      </x:c>
      <x:c r="I328" s="8" t="n">
        <x:v>532.6894571217389</x:v>
      </x:c>
      <x:c r="J328" s="8" t="n">
        <x:v>0</x:v>
      </x:c>
      <x:c r="K328" s="8" t="n">
        <x:v>0</x:v>
      </x:c>
      <x:c r="L328" s="8" t="n">
        <x:v>0</x:v>
      </x:c>
      <x:c r="M328" s="21" t="n">
        <x:f>E328+K328-I328-J328-L328</x:f>
        <x:v>0</x:v>
      </x:c>
    </x:row>
    <x:row r="329" ht="36" customHeight="1">
      <x:c r="A329" s="8" t="str">
        <x:v>Cash-first</x:v>
      </x:c>
      <x:c r="B329" s="8" t="str">
        <x:v>Moderate benchmark</x:v>
      </x:c>
      <x:c r="C329" s="8" t="str">
        <x:v>Committed revolver</x:v>
      </x:c>
      <x:c r="D329" s="22" t="n">
        <x:v>5</x:v>
      </x:c>
      <x:c r="E329" s="8" t="n">
        <x:v>373.12846104987193</x:v>
      </x:c>
      <x:c r="F329" s="23" t="n">
        <x:v>0.0675</x:v>
      </x:c>
      <x:c r="G329" s="8" t="n">
        <x:v>25.18617112086636</x:v>
      </x:c>
      <x:c r="H329" s="8" t="n">
        <x:v>373.12846104987193</x:v>
      </x:c>
      <x:c r="I329" s="8" t="n">
        <x:v>373.12846104987193</x:v>
      </x:c>
      <x:c r="J329" s="8" t="n">
        <x:v>0</x:v>
      </x:c>
      <x:c r="K329" s="8" t="n">
        <x:v>0</x:v>
      </x:c>
      <x:c r="L329" s="8" t="n">
        <x:v>0</x:v>
      </x:c>
      <x:c r="M329" s="21" t="n">
        <x:f>E329+K329-I329-J329-L329</x:f>
        <x:v>0</x:v>
      </x:c>
    </x:row>
    <x:row r="330" ht="36" customHeight="1">
      <x:c r="A330" s="8" t="str">
        <x:v>Liquidity-first</x:v>
      </x:c>
      <x:c r="B330" s="8" t="str">
        <x:v>Moderate benchmark</x:v>
      </x:c>
      <x:c r="C330" s="8" t="str">
        <x:v>Atlas notes</x:v>
      </x:c>
      <x:c r="D330" s="22" t="n">
        <x:v>1</x:v>
      </x:c>
      <x:c r="E330" s="8" t="n">
        <x:v>900</x:v>
      </x:c>
      <x:c r="F330" s="23" t="n">
        <x:v>0.038</x:v>
      </x:c>
      <x:c r="G330" s="8" t="n">
        <x:v>34.199999999999996</x:v>
      </x:c>
      <x:c r="H330" s="8" t="n">
        <x:v>0</x:v>
      </x:c>
      <x:c r="I330" s="8" t="n">
        <x:v>0</x:v>
      </x:c>
      <x:c r="J330" s="8" t="n">
        <x:v>0</x:v>
      </x:c>
      <x:c r="K330" s="8" t="n">
        <x:v>0</x:v>
      </x:c>
      <x:c r="L330" s="8" t="n">
        <x:v>0</x:v>
      </x:c>
      <x:c r="M330" s="21" t="n">
        <x:f>E330+K330-I330-J330-L330</x:f>
        <x:v>900</x:v>
      </x:c>
    </x:row>
    <x:row r="331" ht="36" customHeight="1">
      <x:c r="A331" s="8" t="str">
        <x:v>Liquidity-first</x:v>
      </x:c>
      <x:c r="B331" s="8" t="str">
        <x:v>Moderate benchmark</x:v>
      </x:c>
      <x:c r="C331" s="8" t="str">
        <x:v>Atlas finance lease</x:v>
      </x:c>
      <x:c r="D331" s="22" t="n">
        <x:v>1</x:v>
      </x:c>
      <x:c r="E331" s="8" t="n">
        <x:v>80</x:v>
      </x:c>
      <x:c r="F331" s="23" t="n">
        <x:v>0.05</x:v>
      </x:c>
      <x:c r="G331" s="8" t="n">
        <x:v>4</x:v>
      </x:c>
      <x:c r="H331" s="8" t="n">
        <x:v>16</x:v>
      </x:c>
      <x:c r="I331" s="8" t="n">
        <x:v>16</x:v>
      </x:c>
      <x:c r="J331" s="8" t="n">
        <x:v>0</x:v>
      </x:c>
      <x:c r="K331" s="8" t="n">
        <x:v>0</x:v>
      </x:c>
      <x:c r="L331" s="8" t="n">
        <x:v>0</x:v>
      </x:c>
      <x:c r="M331" s="21" t="n">
        <x:f>E331+K331-I331-J331-L331</x:f>
        <x:v>64</x:v>
      </x:c>
    </x:row>
    <x:row r="332" ht="36" customHeight="1">
      <x:c r="A332" s="8" t="str">
        <x:v>Liquidity-first</x:v>
      </x:c>
      <x:c r="B332" s="8" t="str">
        <x:v>Moderate benchmark</x:v>
      </x:c>
      <x:c r="C332" s="8" t="str">
        <x:v>Beacon notes</x:v>
      </x:c>
      <x:c r="D332" s="22" t="n">
        <x:v>1</x:v>
      </x:c>
      <x:c r="E332" s="8" t="n">
        <x:v>350</x:v>
      </x:c>
      <x:c r="F332" s="23" t="n">
        <x:v>0.0475</x:v>
      </x:c>
      <x:c r="G332" s="8" t="n">
        <x:v>16.625</x:v>
      </x:c>
      <x:c r="H332" s="8" t="n">
        <x:v>0</x:v>
      </x:c>
      <x:c r="I332" s="8" t="n">
        <x:v>0</x:v>
      </x:c>
      <x:c r="J332" s="8" t="n">
        <x:v>0</x:v>
      </x:c>
      <x:c r="K332" s="8" t="n">
        <x:v>0</x:v>
      </x:c>
      <x:c r="L332" s="8" t="n">
        <x:v>0</x:v>
      </x:c>
      <x:c r="M332" s="21" t="n">
        <x:f>E332+K332-I332-J332-L332</x:f>
        <x:v>350</x:v>
      </x:c>
    </x:row>
    <x:row r="333" ht="36" customHeight="1">
      <x:c r="A333" s="8" t="str">
        <x:v>Liquidity-first</x:v>
      </x:c>
      <x:c r="B333" s="8" t="str">
        <x:v>Moderate benchmark</x:v>
      </x:c>
      <x:c r="C333" s="8" t="str">
        <x:v>Acquisition term</x:v>
      </x:c>
      <x:c r="D333" s="22" t="n">
        <x:v>1</x:v>
      </x:c>
      <x:c r="E333" s="8" t="n">
        <x:v>2223.3502538071066</x:v>
      </x:c>
      <x:c r="F333" s="23" t="n">
        <x:v>0.07500000000000001</x:v>
      </x:c>
      <x:c r="G333" s="8" t="n">
        <x:v>166.75126903553303</x:v>
      </x:c>
      <x:c r="H333" s="8" t="n">
        <x:v>44.46700507614213</x:v>
      </x:c>
      <x:c r="I333" s="8" t="n">
        <x:v>44.46700507614213</x:v>
      </x:c>
      <x:c r="J333" s="8" t="n">
        <x:v>1051.2150054759747</x:v>
      </x:c>
      <x:c r="K333" s="8" t="n">
        <x:v>0</x:v>
      </x:c>
      <x:c r="L333" s="8" t="n">
        <x:v>0</x:v>
      </x:c>
      <x:c r="M333" s="21" t="n">
        <x:f>E333+K333-I333-J333-L333</x:f>
        <x:v>1127.6682432549899</x:v>
      </x:c>
    </x:row>
    <x:row r="334" ht="36" customHeight="1">
      <x:c r="A334" s="8" t="str">
        <x:v>Liquidity-first</x:v>
      </x:c>
      <x:c r="B334" s="8" t="str">
        <x:v>Moderate benchmark</x:v>
      </x:c>
      <x:c r="C334" s="8" t="str">
        <x:v>Committed revolver</x:v>
      </x:c>
      <x:c r="D334" s="22" t="n">
        <x:v>1</x:v>
      </x:c>
      <x:c r="E334" s="8" t="n">
        <x:v>0</x:v>
      </x:c>
      <x:c r="F334" s="23" t="n">
        <x:v>0.07250000000000001</x:v>
      </x:c>
      <x:c r="G334" s="8" t="n">
        <x:v>0</x:v>
      </x:c>
      <x:c r="H334" s="8" t="n">
        <x:v>0</x:v>
      </x:c>
      <x:c r="I334" s="8" t="n">
        <x:v>0</x:v>
      </x:c>
      <x:c r="J334" s="8" t="n">
        <x:v>0</x:v>
      </x:c>
      <x:c r="K334" s="8" t="n">
        <x:v>0</x:v>
      </x:c>
      <x:c r="L334" s="8" t="n">
        <x:v>0</x:v>
      </x:c>
      <x:c r="M334" s="21" t="n">
        <x:f>E334+K334-I334-J334-L334</x:f>
        <x:v>0</x:v>
      </x:c>
    </x:row>
    <x:row r="335" ht="36" customHeight="1">
      <x:c r="A335" s="8" t="str">
        <x:v>Liquidity-first</x:v>
      </x:c>
      <x:c r="B335" s="8" t="str">
        <x:v>Moderate benchmark</x:v>
      </x:c>
      <x:c r="C335" s="8" t="str">
        <x:v>Atlas notes</x:v>
      </x:c>
      <x:c r="D335" s="22" t="n">
        <x:v>2</x:v>
      </x:c>
      <x:c r="E335" s="8" t="n">
        <x:v>900</x:v>
      </x:c>
      <x:c r="F335" s="23" t="n">
        <x:v>0.038</x:v>
      </x:c>
      <x:c r="G335" s="8" t="n">
        <x:v>34.199999999999996</x:v>
      </x:c>
      <x:c r="H335" s="8" t="n">
        <x:v>0</x:v>
      </x:c>
      <x:c r="I335" s="8" t="n">
        <x:v>0</x:v>
      </x:c>
      <x:c r="J335" s="8" t="n">
        <x:v>0</x:v>
      </x:c>
      <x:c r="K335" s="8" t="n">
        <x:v>0</x:v>
      </x:c>
      <x:c r="L335" s="8" t="n">
        <x:v>0</x:v>
      </x:c>
      <x:c r="M335" s="21" t="n">
        <x:f>E335+K335-I335-J335-L335</x:f>
        <x:v>900</x:v>
      </x:c>
    </x:row>
    <x:row r="336" ht="36" customHeight="1">
      <x:c r="A336" s="8" t="str">
        <x:v>Liquidity-first</x:v>
      </x:c>
      <x:c r="B336" s="8" t="str">
        <x:v>Moderate benchmark</x:v>
      </x:c>
      <x:c r="C336" s="8" t="str">
        <x:v>Atlas finance lease</x:v>
      </x:c>
      <x:c r="D336" s="22" t="n">
        <x:v>2</x:v>
      </x:c>
      <x:c r="E336" s="8" t="n">
        <x:v>64</x:v>
      </x:c>
      <x:c r="F336" s="23" t="n">
        <x:v>0.05</x:v>
      </x:c>
      <x:c r="G336" s="8" t="n">
        <x:v>3.2</x:v>
      </x:c>
      <x:c r="H336" s="8" t="n">
        <x:v>16</x:v>
      </x:c>
      <x:c r="I336" s="8" t="n">
        <x:v>16</x:v>
      </x:c>
      <x:c r="J336" s="8" t="n">
        <x:v>0</x:v>
      </x:c>
      <x:c r="K336" s="8" t="n">
        <x:v>0</x:v>
      </x:c>
      <x:c r="L336" s="8" t="n">
        <x:v>0</x:v>
      </x:c>
      <x:c r="M336" s="21" t="n">
        <x:f>E336+K336-I336-J336-L336</x:f>
        <x:v>48</x:v>
      </x:c>
    </x:row>
    <x:row r="337" ht="36" customHeight="1">
      <x:c r="A337" s="8" t="str">
        <x:v>Liquidity-first</x:v>
      </x:c>
      <x:c r="B337" s="8" t="str">
        <x:v>Moderate benchmark</x:v>
      </x:c>
      <x:c r="C337" s="8" t="str">
        <x:v>Beacon notes</x:v>
      </x:c>
      <x:c r="D337" s="22" t="n">
        <x:v>2</x:v>
      </x:c>
      <x:c r="E337" s="8" t="n">
        <x:v>350</x:v>
      </x:c>
      <x:c r="F337" s="23" t="n">
        <x:v>0.0475</x:v>
      </x:c>
      <x:c r="G337" s="8" t="n">
        <x:v>16.625</x:v>
      </x:c>
      <x:c r="H337" s="8" t="n">
        <x:v>0</x:v>
      </x:c>
      <x:c r="I337" s="8" t="n">
        <x:v>0</x:v>
      </x:c>
      <x:c r="J337" s="8" t="n">
        <x:v>0</x:v>
      </x:c>
      <x:c r="K337" s="8" t="n">
        <x:v>0</x:v>
      </x:c>
      <x:c r="L337" s="8" t="n">
        <x:v>0</x:v>
      </x:c>
      <x:c r="M337" s="21" t="n">
        <x:f>E337+K337-I337-J337-L337</x:f>
        <x:v>350</x:v>
      </x:c>
    </x:row>
    <x:row r="338" ht="36" customHeight="1">
      <x:c r="A338" s="8" t="str">
        <x:v>Liquidity-first</x:v>
      </x:c>
      <x:c r="B338" s="8" t="str">
        <x:v>Moderate benchmark</x:v>
      </x:c>
      <x:c r="C338" s="8" t="str">
        <x:v>Acquisition term</x:v>
      </x:c>
      <x:c r="D338" s="22" t="n">
        <x:v>2</x:v>
      </x:c>
      <x:c r="E338" s="8" t="n">
        <x:v>1127.6682432549899</x:v>
      </x:c>
      <x:c r="F338" s="23" t="n">
        <x:v>0.07250000000000001</x:v>
      </x:c>
      <x:c r="G338" s="8" t="n">
        <x:v>81.75594763598677</x:v>
      </x:c>
      <x:c r="H338" s="8" t="n">
        <x:v>44.46700507614213</x:v>
      </x:c>
      <x:c r="I338" s="8" t="n">
        <x:v>44.46700507614213</x:v>
      </x:c>
      <x:c r="J338" s="8" t="n">
        <x:v>320.7571018338524</x:v>
      </x:c>
      <x:c r="K338" s="8" t="n">
        <x:v>0</x:v>
      </x:c>
      <x:c r="L338" s="8" t="n">
        <x:v>0</x:v>
      </x:c>
      <x:c r="M338" s="21" t="n">
        <x:f>E338+K338-I338-J338-L338</x:f>
        <x:v>762.4441363449953</x:v>
      </x:c>
    </x:row>
    <x:row r="339" ht="36" customHeight="1">
      <x:c r="A339" s="8" t="str">
        <x:v>Liquidity-first</x:v>
      </x:c>
      <x:c r="B339" s="8" t="str">
        <x:v>Moderate benchmark</x:v>
      </x:c>
      <x:c r="C339" s="8" t="str">
        <x:v>Committed revolver</x:v>
      </x:c>
      <x:c r="D339" s="22" t="n">
        <x:v>2</x:v>
      </x:c>
      <x:c r="E339" s="8" t="n">
        <x:v>0</x:v>
      </x:c>
      <x:c r="F339" s="23" t="n">
        <x:v>0.07</x:v>
      </x:c>
      <x:c r="G339" s="8" t="n">
        <x:v>0</x:v>
      </x:c>
      <x:c r="H339" s="8" t="n">
        <x:v>0</x:v>
      </x:c>
      <x:c r="I339" s="8" t="n">
        <x:v>0</x:v>
      </x:c>
      <x:c r="J339" s="8" t="n">
        <x:v>0</x:v>
      </x:c>
      <x:c r="K339" s="8" t="n">
        <x:v>0</x:v>
      </x:c>
      <x:c r="L339" s="8" t="n">
        <x:v>0</x:v>
      </x:c>
      <x:c r="M339" s="21" t="n">
        <x:f>E339+K339-I339-J339-L339</x:f>
        <x:v>0</x:v>
      </x:c>
    </x:row>
    <x:row r="340" ht="36" customHeight="1">
      <x:c r="A340" s="8" t="str">
        <x:v>Liquidity-first</x:v>
      </x:c>
      <x:c r="B340" s="8" t="str">
        <x:v>Moderate benchmark</x:v>
      </x:c>
      <x:c r="C340" s="8" t="str">
        <x:v>Atlas notes</x:v>
      </x:c>
      <x:c r="D340" s="22" t="n">
        <x:v>3</x:v>
      </x:c>
      <x:c r="E340" s="8" t="n">
        <x:v>900</x:v>
      </x:c>
      <x:c r="F340" s="23" t="n">
        <x:v>0.038</x:v>
      </x:c>
      <x:c r="G340" s="8" t="n">
        <x:v>34.199999999999996</x:v>
      </x:c>
      <x:c r="H340" s="8" t="n">
        <x:v>0</x:v>
      </x:c>
      <x:c r="I340" s="8" t="n">
        <x:v>0</x:v>
      </x:c>
      <x:c r="J340" s="8" t="n">
        <x:v>0</x:v>
      </x:c>
      <x:c r="K340" s="8" t="n">
        <x:v>0</x:v>
      </x:c>
      <x:c r="L340" s="8" t="n">
        <x:v>0</x:v>
      </x:c>
      <x:c r="M340" s="21" t="n">
        <x:f>E340+K340-I340-J340-L340</x:f>
        <x:v>900</x:v>
      </x:c>
    </x:row>
    <x:row r="341" ht="36" customHeight="1">
      <x:c r="A341" s="8" t="str">
        <x:v>Liquidity-first</x:v>
      </x:c>
      <x:c r="B341" s="8" t="str">
        <x:v>Moderate benchmark</x:v>
      </x:c>
      <x:c r="C341" s="8" t="str">
        <x:v>Atlas finance lease</x:v>
      </x:c>
      <x:c r="D341" s="22" t="n">
        <x:v>3</x:v>
      </x:c>
      <x:c r="E341" s="8" t="n">
        <x:v>48</x:v>
      </x:c>
      <x:c r="F341" s="23" t="n">
        <x:v>0.05</x:v>
      </x:c>
      <x:c r="G341" s="8" t="n">
        <x:v>2.4000000000000004</x:v>
      </x:c>
      <x:c r="H341" s="8" t="n">
        <x:v>16</x:v>
      </x:c>
      <x:c r="I341" s="8" t="n">
        <x:v>16</x:v>
      </x:c>
      <x:c r="J341" s="8" t="n">
        <x:v>0</x:v>
      </x:c>
      <x:c r="K341" s="8" t="n">
        <x:v>0</x:v>
      </x:c>
      <x:c r="L341" s="8" t="n">
        <x:v>0</x:v>
      </x:c>
      <x:c r="M341" s="21" t="n">
        <x:f>E341+K341-I341-J341-L341</x:f>
        <x:v>32</x:v>
      </x:c>
    </x:row>
    <x:row r="342" ht="36" customHeight="1">
      <x:c r="A342" s="8" t="str">
        <x:v>Liquidity-first</x:v>
      </x:c>
      <x:c r="B342" s="8" t="str">
        <x:v>Moderate benchmark</x:v>
      </x:c>
      <x:c r="C342" s="8" t="str">
        <x:v>Beacon notes</x:v>
      </x:c>
      <x:c r="D342" s="22" t="n">
        <x:v>3</x:v>
      </x:c>
      <x:c r="E342" s="8" t="n">
        <x:v>350</x:v>
      </x:c>
      <x:c r="F342" s="23" t="n">
        <x:v>0.0475</x:v>
      </x:c>
      <x:c r="G342" s="8" t="n">
        <x:v>16.625</x:v>
      </x:c>
      <x:c r="H342" s="8" t="n">
        <x:v>350</x:v>
      </x:c>
      <x:c r="I342" s="8" t="n">
        <x:v>350</x:v>
      </x:c>
      <x:c r="J342" s="8" t="n">
        <x:v>0</x:v>
      </x:c>
      <x:c r="K342" s="8" t="n">
        <x:v>0</x:v>
      </x:c>
      <x:c r="L342" s="8" t="n">
        <x:v>0</x:v>
      </x:c>
      <x:c r="M342" s="21" t="n">
        <x:f>E342+K342-I342-J342-L342</x:f>
        <x:v>0</x:v>
      </x:c>
    </x:row>
    <x:row r="343" ht="36" customHeight="1">
      <x:c r="A343" s="8" t="str">
        <x:v>Liquidity-first</x:v>
      </x:c>
      <x:c r="B343" s="8" t="str">
        <x:v>Moderate benchmark</x:v>
      </x:c>
      <x:c r="C343" s="8" t="str">
        <x:v>Acquisition term</x:v>
      </x:c>
      <x:c r="D343" s="22" t="n">
        <x:v>3</x:v>
      </x:c>
      <x:c r="E343" s="8" t="n">
        <x:v>762.4441363449953</x:v>
      </x:c>
      <x:c r="F343" s="23" t="n">
        <x:v>0.07</x:v>
      </x:c>
      <x:c r="G343" s="8" t="n">
        <x:v>53.371089544149676</x:v>
      </x:c>
      <x:c r="H343" s="8" t="n">
        <x:v>44.46700507614213</x:v>
      </x:c>
      <x:c r="I343" s="8" t="n">
        <x:v>44.46700507614213</x:v>
      </x:c>
      <x:c r="J343" s="8" t="n">
        <x:v>88.64872084365584</x:v>
      </x:c>
      <x:c r="K343" s="8" t="n">
        <x:v>0</x:v>
      </x:c>
      <x:c r="L343" s="8" t="n">
        <x:v>0</x:v>
      </x:c>
      <x:c r="M343" s="21" t="n">
        <x:f>E343+K343-I343-J343-L343</x:f>
        <x:v>629.3284104251973</x:v>
      </x:c>
    </x:row>
    <x:row r="344" ht="36" customHeight="1">
      <x:c r="A344" s="8" t="str">
        <x:v>Liquidity-first</x:v>
      </x:c>
      <x:c r="B344" s="8" t="str">
        <x:v>Moderate benchmark</x:v>
      </x:c>
      <x:c r="C344" s="8" t="str">
        <x:v>Committed revolver</x:v>
      </x:c>
      <x:c r="D344" s="22" t="n">
        <x:v>3</x:v>
      </x:c>
      <x:c r="E344" s="8" t="n">
        <x:v>0</x:v>
      </x:c>
      <x:c r="F344" s="23" t="n">
        <x:v>0.0675</x:v>
      </x:c>
      <x:c r="G344" s="8" t="n">
        <x:v>0</x:v>
      </x:c>
      <x:c r="H344" s="8" t="n">
        <x:v>0</x:v>
      </x:c>
      <x:c r="I344" s="8" t="n">
        <x:v>0</x:v>
      </x:c>
      <x:c r="J344" s="8" t="n">
        <x:v>0</x:v>
      </x:c>
      <x:c r="K344" s="8" t="n">
        <x:v>0</x:v>
      </x:c>
      <x:c r="L344" s="8" t="n">
        <x:v>0</x:v>
      </x:c>
      <x:c r="M344" s="21" t="n">
        <x:f>E344+K344-I344-J344-L344</x:f>
        <x:v>0</x:v>
      </x:c>
    </x:row>
    <x:row r="345" ht="36" customHeight="1">
      <x:c r="A345" s="8" t="str">
        <x:v>Liquidity-first</x:v>
      </x:c>
      <x:c r="B345" s="8" t="str">
        <x:v>Moderate benchmark</x:v>
      </x:c>
      <x:c r="C345" s="8" t="str">
        <x:v>Atlas notes</x:v>
      </x:c>
      <x:c r="D345" s="22" t="n">
        <x:v>4</x:v>
      </x:c>
      <x:c r="E345" s="8" t="n">
        <x:v>900</x:v>
      </x:c>
      <x:c r="F345" s="23" t="n">
        <x:v>0.038</x:v>
      </x:c>
      <x:c r="G345" s="8" t="n">
        <x:v>34.199999999999996</x:v>
      </x:c>
      <x:c r="H345" s="8" t="n">
        <x:v>900</x:v>
      </x:c>
      <x:c r="I345" s="8" t="n">
        <x:v>900</x:v>
      </x:c>
      <x:c r="J345" s="8" t="n">
        <x:v>0</x:v>
      </x:c>
      <x:c r="K345" s="8" t="n">
        <x:v>0</x:v>
      </x:c>
      <x:c r="L345" s="8" t="n">
        <x:v>0</x:v>
      </x:c>
      <x:c r="M345" s="21" t="n">
        <x:f>E345+K345-I345-J345-L345</x:f>
        <x:v>0</x:v>
      </x:c>
    </x:row>
    <x:row r="346" ht="36" customHeight="1">
      <x:c r="A346" s="8" t="str">
        <x:v>Liquidity-first</x:v>
      </x:c>
      <x:c r="B346" s="8" t="str">
        <x:v>Moderate benchmark</x:v>
      </x:c>
      <x:c r="C346" s="8" t="str">
        <x:v>Atlas finance lease</x:v>
      </x:c>
      <x:c r="D346" s="22" t="n">
        <x:v>4</x:v>
      </x:c>
      <x:c r="E346" s="8" t="n">
        <x:v>32</x:v>
      </x:c>
      <x:c r="F346" s="23" t="n">
        <x:v>0.05</x:v>
      </x:c>
      <x:c r="G346" s="8" t="n">
        <x:v>1.6</x:v>
      </x:c>
      <x:c r="H346" s="8" t="n">
        <x:v>16</x:v>
      </x:c>
      <x:c r="I346" s="8" t="n">
        <x:v>16</x:v>
      </x:c>
      <x:c r="J346" s="8" t="n">
        <x:v>0</x:v>
      </x:c>
      <x:c r="K346" s="8" t="n">
        <x:v>0</x:v>
      </x:c>
      <x:c r="L346" s="8" t="n">
        <x:v>0</x:v>
      </x:c>
      <x:c r="M346" s="21" t="n">
        <x:f>E346+K346-I346-J346-L346</x:f>
        <x:v>16</x:v>
      </x:c>
    </x:row>
    <x:row r="347" ht="36" customHeight="1">
      <x:c r="A347" s="8" t="str">
        <x:v>Liquidity-first</x:v>
      </x:c>
      <x:c r="B347" s="8" t="str">
        <x:v>Moderate benchmark</x:v>
      </x:c>
      <x:c r="C347" s="8" t="str">
        <x:v>Beacon notes</x:v>
      </x:c>
      <x:c r="D347" s="22" t="n">
        <x:v>4</x:v>
      </x:c>
      <x:c r="E347" s="8" t="n">
        <x:v>0</x:v>
      </x:c>
      <x:c r="F347" s="23" t="n">
        <x:v>0.0475</x:v>
      </x:c>
      <x:c r="G347" s="8" t="n">
        <x:v>0</x:v>
      </x:c>
      <x:c r="H347" s="8" t="n">
        <x:v>0</x:v>
      </x:c>
      <x:c r="I347" s="8" t="n">
        <x:v>0</x:v>
      </x:c>
      <x:c r="J347" s="8" t="n">
        <x:v>0</x:v>
      </x:c>
      <x:c r="K347" s="8" t="n">
        <x:v>0</x:v>
      </x:c>
      <x:c r="L347" s="8" t="n">
        <x:v>0</x:v>
      </x:c>
      <x:c r="M347" s="21" t="n">
        <x:f>E347+K347-I347-J347-L347</x:f>
        <x:v>0</x:v>
      </x:c>
    </x:row>
    <x:row r="348" ht="36" customHeight="1">
      <x:c r="A348" s="8" t="str">
        <x:v>Liquidity-first</x:v>
      </x:c>
      <x:c r="B348" s="8" t="str">
        <x:v>Moderate benchmark</x:v>
      </x:c>
      <x:c r="C348" s="8" t="str">
        <x:v>Acquisition term</x:v>
      </x:c>
      <x:c r="D348" s="22" t="n">
        <x:v>4</x:v>
      </x:c>
      <x:c r="E348" s="8" t="n">
        <x:v>629.3284104251973</x:v>
      </x:c>
      <x:c r="F348" s="23" t="n">
        <x:v>0.07</x:v>
      </x:c>
      <x:c r="G348" s="8" t="n">
        <x:v>44.05298872976381</x:v>
      </x:c>
      <x:c r="H348" s="8" t="n">
        <x:v>44.46700507614213</x:v>
      </x:c>
      <x:c r="I348" s="8" t="n">
        <x:v>44.46700507614213</x:v>
      </x:c>
      <x:c r="J348" s="8" t="n">
        <x:v>0</x:v>
      </x:c>
      <x:c r="K348" s="8" t="n">
        <x:v>0</x:v>
      </x:c>
      <x:c r="L348" s="8" t="n">
        <x:v>0</x:v>
      </x:c>
      <x:c r="M348" s="21" t="n">
        <x:f>E348+K348-I348-J348-L348</x:f>
        <x:v>584.8614053490551</x:v>
      </x:c>
    </x:row>
    <x:row r="349" ht="36" customHeight="1">
      <x:c r="A349" s="8" t="str">
        <x:v>Liquidity-first</x:v>
      </x:c>
      <x:c r="B349" s="8" t="str">
        <x:v>Moderate benchmark</x:v>
      </x:c>
      <x:c r="C349" s="8" t="str">
        <x:v>Committed revolver</x:v>
      </x:c>
      <x:c r="D349" s="22" t="n">
        <x:v>4</x:v>
      </x:c>
      <x:c r="E349" s="8" t="n">
        <x:v>0</x:v>
      </x:c>
      <x:c r="F349" s="23" t="n">
        <x:v>0.0675</x:v>
      </x:c>
      <x:c r="G349" s="8" t="n">
        <x:v>0</x:v>
      </x:c>
      <x:c r="H349" s="8" t="n">
        <x:v>0</x:v>
      </x:c>
      <x:c r="I349" s="8" t="n">
        <x:v>0</x:v>
      </x:c>
      <x:c r="J349" s="8" t="n">
        <x:v>0</x:v>
      </x:c>
      <x:c r="K349" s="8" t="n">
        <x:v>394.459874118608</x:v>
      </x:c>
      <x:c r="L349" s="8" t="n">
        <x:v>0</x:v>
      </x:c>
      <x:c r="M349" s="21" t="n">
        <x:f>E349+K349-I349-J349-L349</x:f>
        <x:v>394.459874118608</x:v>
      </x:c>
    </x:row>
    <x:row r="350" ht="36" customHeight="1">
      <x:c r="A350" s="8" t="str">
        <x:v>Liquidity-first</x:v>
      </x:c>
      <x:c r="B350" s="8" t="str">
        <x:v>Moderate benchmark</x:v>
      </x:c>
      <x:c r="C350" s="8" t="str">
        <x:v>Atlas notes</x:v>
      </x:c>
      <x:c r="D350" s="22" t="n">
        <x:v>5</x:v>
      </x:c>
      <x:c r="E350" s="8" t="n">
        <x:v>0</x:v>
      </x:c>
      <x:c r="F350" s="23" t="n">
        <x:v>0.038</x:v>
      </x:c>
      <x:c r="G350" s="8" t="n">
        <x:v>0</x:v>
      </x:c>
      <x:c r="H350" s="8" t="n">
        <x:v>0</x:v>
      </x:c>
      <x:c r="I350" s="8" t="n">
        <x:v>0</x:v>
      </x:c>
      <x:c r="J350" s="8" t="n">
        <x:v>0</x:v>
      </x:c>
      <x:c r="K350" s="8" t="n">
        <x:v>0</x:v>
      </x:c>
      <x:c r="L350" s="8" t="n">
        <x:v>0</x:v>
      </x:c>
      <x:c r="M350" s="21" t="n">
        <x:f>E350+K350-I350-J350-L350</x:f>
        <x:v>0</x:v>
      </x:c>
    </x:row>
    <x:row r="351" ht="36" customHeight="1">
      <x:c r="A351" s="8" t="str">
        <x:v>Liquidity-first</x:v>
      </x:c>
      <x:c r="B351" s="8" t="str">
        <x:v>Moderate benchmark</x:v>
      </x:c>
      <x:c r="C351" s="8" t="str">
        <x:v>Atlas finance lease</x:v>
      </x:c>
      <x:c r="D351" s="22" t="n">
        <x:v>5</x:v>
      </x:c>
      <x:c r="E351" s="8" t="n">
        <x:v>16</x:v>
      </x:c>
      <x:c r="F351" s="23" t="n">
        <x:v>0.05</x:v>
      </x:c>
      <x:c r="G351" s="8" t="n">
        <x:v>0.8</x:v>
      </x:c>
      <x:c r="H351" s="8" t="n">
        <x:v>16</x:v>
      </x:c>
      <x:c r="I351" s="8" t="n">
        <x:v>16</x:v>
      </x:c>
      <x:c r="J351" s="8" t="n">
        <x:v>0</x:v>
      </x:c>
      <x:c r="K351" s="8" t="n">
        <x:v>0</x:v>
      </x:c>
      <x:c r="L351" s="8" t="n">
        <x:v>0</x:v>
      </x:c>
      <x:c r="M351" s="21" t="n">
        <x:f>E351+K351-I351-J351-L351</x:f>
        <x:v>0</x:v>
      </x:c>
    </x:row>
    <x:row r="352" ht="36" customHeight="1">
      <x:c r="A352" s="8" t="str">
        <x:v>Liquidity-first</x:v>
      </x:c>
      <x:c r="B352" s="8" t="str">
        <x:v>Moderate benchmark</x:v>
      </x:c>
      <x:c r="C352" s="8" t="str">
        <x:v>Beacon notes</x:v>
      </x:c>
      <x:c r="D352" s="22" t="n">
        <x:v>5</x:v>
      </x:c>
      <x:c r="E352" s="8" t="n">
        <x:v>0</x:v>
      </x:c>
      <x:c r="F352" s="23" t="n">
        <x:v>0.0475</x:v>
      </x:c>
      <x:c r="G352" s="8" t="n">
        <x:v>0</x:v>
      </x:c>
      <x:c r="H352" s="8" t="n">
        <x:v>0</x:v>
      </x:c>
      <x:c r="I352" s="8" t="n">
        <x:v>0</x:v>
      </x:c>
      <x:c r="J352" s="8" t="n">
        <x:v>0</x:v>
      </x:c>
      <x:c r="K352" s="8" t="n">
        <x:v>0</x:v>
      </x:c>
      <x:c r="L352" s="8" t="n">
        <x:v>0</x:v>
      </x:c>
      <x:c r="M352" s="21" t="n">
        <x:f>E352+K352-I352-J352-L352</x:f>
        <x:v>0</x:v>
      </x:c>
    </x:row>
    <x:row r="353" ht="36" customHeight="1">
      <x:c r="A353" s="8" t="str">
        <x:v>Liquidity-first</x:v>
      </x:c>
      <x:c r="B353" s="8" t="str">
        <x:v>Moderate benchmark</x:v>
      </x:c>
      <x:c r="C353" s="8" t="str">
        <x:v>Acquisition term</x:v>
      </x:c>
      <x:c r="D353" s="22" t="n">
        <x:v>5</x:v>
      </x:c>
      <x:c r="E353" s="8" t="n">
        <x:v>584.8614053490551</x:v>
      </x:c>
      <x:c r="F353" s="23" t="n">
        <x:v>0.07</x:v>
      </x:c>
      <x:c r="G353" s="8" t="n">
        <x:v>40.94029837443386</x:v>
      </x:c>
      <x:c r="H353" s="8" t="n">
        <x:v>584.8614053490551</x:v>
      </x:c>
      <x:c r="I353" s="8" t="n">
        <x:v>584.8614053490551</x:v>
      </x:c>
      <x:c r="J353" s="8" t="n">
        <x:v>0</x:v>
      </x:c>
      <x:c r="K353" s="8" t="n">
        <x:v>0</x:v>
      </x:c>
      <x:c r="L353" s="8" t="n">
        <x:v>0</x:v>
      </x:c>
      <x:c r="M353" s="21" t="n">
        <x:f>E353+K353-I353-J353-L353</x:f>
        <x:v>0</x:v>
      </x:c>
    </x:row>
    <x:row r="354" ht="36" customHeight="1">
      <x:c r="A354" s="8" t="str">
        <x:v>Liquidity-first</x:v>
      </x:c>
      <x:c r="B354" s="8" t="str">
        <x:v>Moderate benchmark</x:v>
      </x:c>
      <x:c r="C354" s="8" t="str">
        <x:v>Committed revolver</x:v>
      </x:c>
      <x:c r="D354" s="22" t="n">
        <x:v>5</x:v>
      </x:c>
      <x:c r="E354" s="8" t="n">
        <x:v>394.459874118608</x:v>
      </x:c>
      <x:c r="F354" s="23" t="n">
        <x:v>0.0675</x:v>
      </x:c>
      <x:c r="G354" s="8" t="n">
        <x:v>26.626041503006043</x:v>
      </x:c>
      <x:c r="H354" s="8" t="n">
        <x:v>394.459874118608</x:v>
      </x:c>
      <x:c r="I354" s="8" t="n">
        <x:v>394.459874118608</x:v>
      </x:c>
      <x:c r="J354" s="8" t="n">
        <x:v>0</x:v>
      </x:c>
      <x:c r="K354" s="8" t="n">
        <x:v>0</x:v>
      </x:c>
      <x:c r="L354" s="8" t="n">
        <x:v>0</x:v>
      </x:c>
      <x:c r="M354" s="21" t="n">
        <x:f>E354+K354-I354-J354-L354</x:f>
        <x:v>0</x:v>
      </x:c>
    </x:row>
    <x:row r="355" ht="36" customHeight="1">
      <x:c r="A355" s="8" t="str">
        <x:v>Mixed consideration</x:v>
      </x:c>
      <x:c r="B355" s="8" t="str">
        <x:v>Moderate benchmark</x:v>
      </x:c>
      <x:c r="C355" s="8" t="str">
        <x:v>Atlas notes</x:v>
      </x:c>
      <x:c r="D355" s="22" t="n">
        <x:v>1</x:v>
      </x:c>
      <x:c r="E355" s="8" t="n">
        <x:v>900</x:v>
      </x:c>
      <x:c r="F355" s="23" t="n">
        <x:v>0.038</x:v>
      </x:c>
      <x:c r="G355" s="8" t="n">
        <x:v>34.199999999999996</x:v>
      </x:c>
      <x:c r="H355" s="8" t="n">
        <x:v>0</x:v>
      </x:c>
      <x:c r="I355" s="8" t="n">
        <x:v>0</x:v>
      </x:c>
      <x:c r="J355" s="8" t="n">
        <x:v>0</x:v>
      </x:c>
      <x:c r="K355" s="8" t="n">
        <x:v>0</x:v>
      </x:c>
      <x:c r="L355" s="8" t="n">
        <x:v>0</x:v>
      </x:c>
      <x:c r="M355" s="21" t="n">
        <x:f>E355+K355-I355-J355-L355</x:f>
        <x:v>900</x:v>
      </x:c>
    </x:row>
    <x:row r="356" ht="36" customHeight="1">
      <x:c r="A356" s="8" t="str">
        <x:v>Mixed consideration</x:v>
      </x:c>
      <x:c r="B356" s="8" t="str">
        <x:v>Moderate benchmark</x:v>
      </x:c>
      <x:c r="C356" s="8" t="str">
        <x:v>Atlas finance lease</x:v>
      </x:c>
      <x:c r="D356" s="22" t="n">
        <x:v>1</x:v>
      </x:c>
      <x:c r="E356" s="8" t="n">
        <x:v>80</x:v>
      </x:c>
      <x:c r="F356" s="23" t="n">
        <x:v>0.05</x:v>
      </x:c>
      <x:c r="G356" s="8" t="n">
        <x:v>4</x:v>
      </x:c>
      <x:c r="H356" s="8" t="n">
        <x:v>16</x:v>
      </x:c>
      <x:c r="I356" s="8" t="n">
        <x:v>16</x:v>
      </x:c>
      <x:c r="J356" s="8" t="n">
        <x:v>29.0449547145534</x:v>
      </x:c>
      <x:c r="K356" s="8" t="n">
        <x:v>0</x:v>
      </x:c>
      <x:c r="L356" s="8" t="n">
        <x:v>0</x:v>
      </x:c>
      <x:c r="M356" s="21" t="n">
        <x:f>E356+K356-I356-J356-L356</x:f>
        <x:v>34.9550452854466</x:v>
      </x:c>
    </x:row>
    <x:row r="357" ht="36" customHeight="1">
      <x:c r="A357" s="8" t="str">
        <x:v>Mixed consideration</x:v>
      </x:c>
      <x:c r="B357" s="8" t="str">
        <x:v>Moderate benchmark</x:v>
      </x:c>
      <x:c r="C357" s="8" t="str">
        <x:v>Beacon notes</x:v>
      </x:c>
      <x:c r="D357" s="22" t="n">
        <x:v>1</x:v>
      </x:c>
      <x:c r="E357" s="8" t="n">
        <x:v>350</x:v>
      </x:c>
      <x:c r="F357" s="23" t="n">
        <x:v>0.0475</x:v>
      </x:c>
      <x:c r="G357" s="8" t="n">
        <x:v>16.625</x:v>
      </x:c>
      <x:c r="H357" s="8" t="n">
        <x:v>0</x:v>
      </x:c>
      <x:c r="I357" s="8" t="n">
        <x:v>0</x:v>
      </x:c>
      <x:c r="J357" s="8" t="n">
        <x:v>0</x:v>
      </x:c>
      <x:c r="K357" s="8" t="n">
        <x:v>0</x:v>
      </x:c>
      <x:c r="L357" s="8" t="n">
        <x:v>0</x:v>
      </x:c>
      <x:c r="M357" s="21" t="n">
        <x:f>E357+K357-I357-J357-L357</x:f>
        <x:v>350</x:v>
      </x:c>
    </x:row>
    <x:row r="358" ht="36" customHeight="1">
      <x:c r="A358" s="8" t="str">
        <x:v>Mixed consideration</x:v>
      </x:c>
      <x:c r="B358" s="8" t="str">
        <x:v>Moderate benchmark</x:v>
      </x:c>
      <x:c r="C358" s="8" t="str">
        <x:v>Acquisition term</x:v>
      </x:c>
      <x:c r="D358" s="22" t="n">
        <x:v>1</x:v>
      </x:c>
      <x:c r="E358" s="8" t="n">
        <x:v>304.56852791878174</x:v>
      </x:c>
      <x:c r="F358" s="23" t="n">
        <x:v>0.07500000000000001</x:v>
      </x:c>
      <x:c r="G358" s="8" t="n">
        <x:v>22.842639593908633</x:v>
      </x:c>
      <x:c r="H358" s="8" t="n">
        <x:v>6.091370558375635</x:v>
      </x:c>
      <x:c r="I358" s="8" t="n">
        <x:v>6.091370558375635</x:v>
      </x:c>
      <x:c r="J358" s="8" t="n">
        <x:v>298.4771573604061</x:v>
      </x:c>
      <x:c r="K358" s="8" t="n">
        <x:v>0</x:v>
      </x:c>
      <x:c r="L358" s="8" t="n">
        <x:v>0</x:v>
      </x:c>
      <x:c r="M358" s="21" t="n">
        <x:f>E358+K358-I358-J358-L358</x:f>
        <x:v>0</x:v>
      </x:c>
    </x:row>
    <x:row r="359" ht="36" customHeight="1">
      <x:c r="A359" s="8" t="str">
        <x:v>Mixed consideration</x:v>
      </x:c>
      <x:c r="B359" s="8" t="str">
        <x:v>Moderate benchmark</x:v>
      </x:c>
      <x:c r="C359" s="8" t="str">
        <x:v>Committed revolver</x:v>
      </x:c>
      <x:c r="D359" s="22" t="n">
        <x:v>1</x:v>
      </x:c>
      <x:c r="E359" s="8" t="n">
        <x:v>0</x:v>
      </x:c>
      <x:c r="F359" s="23" t="n">
        <x:v>0.07250000000000001</x:v>
      </x:c>
      <x:c r="G359" s="8" t="n">
        <x:v>0</x:v>
      </x:c>
      <x:c r="H359" s="8" t="n">
        <x:v>0</x:v>
      </x:c>
      <x:c r="I359" s="8" t="n">
        <x:v>0</x:v>
      </x:c>
      <x:c r="J359" s="8" t="n">
        <x:v>0</x:v>
      </x:c>
      <x:c r="K359" s="8" t="n">
        <x:v>0</x:v>
      </x:c>
      <x:c r="L359" s="8" t="n">
        <x:v>0</x:v>
      </x:c>
      <x:c r="M359" s="21" t="n">
        <x:f>E359+K359-I359-J359-L359</x:f>
        <x:v>0</x:v>
      </x:c>
    </x:row>
    <x:row r="360" ht="36" customHeight="1">
      <x:c r="A360" s="8" t="str">
        <x:v>Mixed consideration</x:v>
      </x:c>
      <x:c r="B360" s="8" t="str">
        <x:v>Moderate benchmark</x:v>
      </x:c>
      <x:c r="C360" s="8" t="str">
        <x:v>Atlas notes</x:v>
      </x:c>
      <x:c r="D360" s="22" t="n">
        <x:v>2</x:v>
      </x:c>
      <x:c r="E360" s="8" t="n">
        <x:v>900</x:v>
      </x:c>
      <x:c r="F360" s="23" t="n">
        <x:v>0.038</x:v>
      </x:c>
      <x:c r="G360" s="8" t="n">
        <x:v>34.199999999999996</x:v>
      </x:c>
      <x:c r="H360" s="8" t="n">
        <x:v>0</x:v>
      </x:c>
      <x:c r="I360" s="8" t="n">
        <x:v>0</x:v>
      </x:c>
      <x:c r="J360" s="8" t="n">
        <x:v>58.67520815333347</x:v>
      </x:c>
      <x:c r="K360" s="8" t="n">
        <x:v>0</x:v>
      </x:c>
      <x:c r="L360" s="8" t="n">
        <x:v>0</x:v>
      </x:c>
      <x:c r="M360" s="21" t="n">
        <x:f>E360+K360-I360-J360-L360</x:f>
        <x:v>841.3247918466666</x:v>
      </x:c>
    </x:row>
    <x:row r="361" ht="36" customHeight="1">
      <x:c r="A361" s="8" t="str">
        <x:v>Mixed consideration</x:v>
      </x:c>
      <x:c r="B361" s="8" t="str">
        <x:v>Moderate benchmark</x:v>
      </x:c>
      <x:c r="C361" s="8" t="str">
        <x:v>Atlas finance lease</x:v>
      </x:c>
      <x:c r="D361" s="22" t="n">
        <x:v>2</x:v>
      </x:c>
      <x:c r="E361" s="8" t="n">
        <x:v>34.9550452854466</x:v>
      </x:c>
      <x:c r="F361" s="23" t="n">
        <x:v>0.05</x:v>
      </x:c>
      <x:c r="G361" s="8" t="n">
        <x:v>1.7477522642723302</x:v>
      </x:c>
      <x:c r="H361" s="8" t="n">
        <x:v>16</x:v>
      </x:c>
      <x:c r="I361" s="8" t="n">
        <x:v>16</x:v>
      </x:c>
      <x:c r="J361" s="8" t="n">
        <x:v>18.9550452854466</x:v>
      </x:c>
      <x:c r="K361" s="8" t="n">
        <x:v>0</x:v>
      </x:c>
      <x:c r="L361" s="8" t="n">
        <x:v>0</x:v>
      </x:c>
      <x:c r="M361" s="21" t="n">
        <x:f>E361+K361-I361-J361-L361</x:f>
        <x:v>0</x:v>
      </x:c>
    </x:row>
    <x:row r="362" ht="36" customHeight="1">
      <x:c r="A362" s="8" t="str">
        <x:v>Mixed consideration</x:v>
      </x:c>
      <x:c r="B362" s="8" t="str">
        <x:v>Moderate benchmark</x:v>
      </x:c>
      <x:c r="C362" s="8" t="str">
        <x:v>Beacon notes</x:v>
      </x:c>
      <x:c r="D362" s="22" t="n">
        <x:v>2</x:v>
      </x:c>
      <x:c r="E362" s="8" t="n">
        <x:v>350</x:v>
      </x:c>
      <x:c r="F362" s="23" t="n">
        <x:v>0.0475</x:v>
      </x:c>
      <x:c r="G362" s="8" t="n">
        <x:v>16.625</x:v>
      </x:c>
      <x:c r="H362" s="8" t="n">
        <x:v>0</x:v>
      </x:c>
      <x:c r="I362" s="8" t="n">
        <x:v>0</x:v>
      </x:c>
      <x:c r="J362" s="8" t="n">
        <x:v>350</x:v>
      </x:c>
      <x:c r="K362" s="8" t="n">
        <x:v>0</x:v>
      </x:c>
      <x:c r="L362" s="8" t="n">
        <x:v>0</x:v>
      </x:c>
      <x:c r="M362" s="21" t="n">
        <x:f>E362+K362-I362-J362-L362</x:f>
        <x:v>0</x:v>
      </x:c>
    </x:row>
    <x:row r="363" ht="36" customHeight="1">
      <x:c r="A363" s="8" t="str">
        <x:v>Mixed consideration</x:v>
      </x:c>
      <x:c r="B363" s="8" t="str">
        <x:v>Moderate benchmark</x:v>
      </x:c>
      <x:c r="C363" s="8" t="str">
        <x:v>Acquisition term</x:v>
      </x:c>
      <x:c r="D363" s="22" t="n">
        <x:v>2</x:v>
      </x:c>
      <x:c r="E363" s="8" t="n">
        <x:v>0</x:v>
      </x:c>
      <x:c r="F363" s="23" t="n">
        <x:v>0.07250000000000001</x:v>
      </x:c>
      <x:c r="G363" s="8" t="n">
        <x:v>0</x:v>
      </x:c>
      <x:c r="H363" s="8" t="n">
        <x:v>0</x:v>
      </x:c>
      <x:c r="I363" s="8" t="n">
        <x:v>0</x:v>
      </x:c>
      <x:c r="J363" s="8" t="n">
        <x:v>0</x:v>
      </x:c>
      <x:c r="K363" s="8" t="n">
        <x:v>0</x:v>
      </x:c>
      <x:c r="L363" s="8" t="n">
        <x:v>0</x:v>
      </x:c>
      <x:c r="M363" s="21" t="n">
        <x:f>E363+K363-I363-J363-L363</x:f>
        <x:v>0</x:v>
      </x:c>
    </x:row>
    <x:row r="364" ht="36" customHeight="1">
      <x:c r="A364" s="8" t="str">
        <x:v>Mixed consideration</x:v>
      </x:c>
      <x:c r="B364" s="8" t="str">
        <x:v>Moderate benchmark</x:v>
      </x:c>
      <x:c r="C364" s="8" t="str">
        <x:v>Committed revolver</x:v>
      </x:c>
      <x:c r="D364" s="22" t="n">
        <x:v>2</x:v>
      </x:c>
      <x:c r="E364" s="8" t="n">
        <x:v>0</x:v>
      </x:c>
      <x:c r="F364" s="23" t="n">
        <x:v>0.07</x:v>
      </x:c>
      <x:c r="G364" s="8" t="n">
        <x:v>0</x:v>
      </x:c>
      <x:c r="H364" s="8" t="n">
        <x:v>0</x:v>
      </x:c>
      <x:c r="I364" s="8" t="n">
        <x:v>0</x:v>
      </x:c>
      <x:c r="J364" s="8" t="n">
        <x:v>0</x:v>
      </x:c>
      <x:c r="K364" s="8" t="n">
        <x:v>0</x:v>
      </x:c>
      <x:c r="L364" s="8" t="n">
        <x:v>0</x:v>
      </x:c>
      <x:c r="M364" s="21" t="n">
        <x:f>E364+K364-I364-J364-L364</x:f>
        <x:v>0</x:v>
      </x:c>
    </x:row>
    <x:row r="365" ht="36" customHeight="1">
      <x:c r="A365" s="8" t="str">
        <x:v>Mixed consideration</x:v>
      </x:c>
      <x:c r="B365" s="8" t="str">
        <x:v>Moderate benchmark</x:v>
      </x:c>
      <x:c r="C365" s="8" t="str">
        <x:v>Atlas notes</x:v>
      </x:c>
      <x:c r="D365" s="22" t="n">
        <x:v>3</x:v>
      </x:c>
      <x:c r="E365" s="8" t="n">
        <x:v>841.3247918466666</x:v>
      </x:c>
      <x:c r="F365" s="23" t="n">
        <x:v>0.038</x:v>
      </x:c>
      <x:c r="G365" s="8" t="n">
        <x:v>31.97034209017333</x:v>
      </x:c>
      <x:c r="H365" s="8" t="n">
        <x:v>0</x:v>
      </x:c>
      <x:c r="I365" s="8" t="n">
        <x:v>0</x:v>
      </x:c>
      <x:c r="J365" s="8" t="n">
        <x:v>555.0850365102801</x:v>
      </x:c>
      <x:c r="K365" s="8" t="n">
        <x:v>0</x:v>
      </x:c>
      <x:c r="L365" s="8" t="n">
        <x:v>0</x:v>
      </x:c>
      <x:c r="M365" s="21" t="n">
        <x:f>E365+K365-I365-J365-L365</x:f>
        <x:v>286.23975533638645</x:v>
      </x:c>
    </x:row>
    <x:row r="366" ht="36" customHeight="1">
      <x:c r="A366" s="8" t="str">
        <x:v>Mixed consideration</x:v>
      </x:c>
      <x:c r="B366" s="8" t="str">
        <x:v>Moderate benchmark</x:v>
      </x:c>
      <x:c r="C366" s="8" t="str">
        <x:v>Atlas finance lease</x:v>
      </x:c>
      <x:c r="D366" s="22" t="n">
        <x:v>3</x:v>
      </x:c>
      <x:c r="E366" s="8" t="n">
        <x:v>0</x:v>
      </x:c>
      <x:c r="F366" s="23" t="n">
        <x:v>0.05</x:v>
      </x:c>
      <x:c r="G366" s="8" t="n">
        <x:v>0</x:v>
      </x:c>
      <x:c r="H366" s="8" t="n">
        <x:v>0</x:v>
      </x:c>
      <x:c r="I366" s="8" t="n">
        <x:v>0</x:v>
      </x:c>
      <x:c r="J366" s="8" t="n">
        <x:v>0</x:v>
      </x:c>
      <x:c r="K366" s="8" t="n">
        <x:v>0</x:v>
      </x:c>
      <x:c r="L366" s="8" t="n">
        <x:v>0</x:v>
      </x:c>
      <x:c r="M366" s="21" t="n">
        <x:f>E366+K366-I366-J366-L366</x:f>
        <x:v>0</x:v>
      </x:c>
    </x:row>
    <x:row r="367" ht="36" customHeight="1">
      <x:c r="A367" s="8" t="str">
        <x:v>Mixed consideration</x:v>
      </x:c>
      <x:c r="B367" s="8" t="str">
        <x:v>Moderate benchmark</x:v>
      </x:c>
      <x:c r="C367" s="8" t="str">
        <x:v>Beacon notes</x:v>
      </x:c>
      <x:c r="D367" s="22" t="n">
        <x:v>3</x:v>
      </x:c>
      <x:c r="E367" s="8" t="n">
        <x:v>0</x:v>
      </x:c>
      <x:c r="F367" s="23" t="n">
        <x:v>0.0475</x:v>
      </x:c>
      <x:c r="G367" s="8" t="n">
        <x:v>0</x:v>
      </x:c>
      <x:c r="H367" s="8" t="n">
        <x:v>0</x:v>
      </x:c>
      <x:c r="I367" s="8" t="n">
        <x:v>0</x:v>
      </x:c>
      <x:c r="J367" s="8" t="n">
        <x:v>0</x:v>
      </x:c>
      <x:c r="K367" s="8" t="n">
        <x:v>0</x:v>
      </x:c>
      <x:c r="L367" s="8" t="n">
        <x:v>0</x:v>
      </x:c>
      <x:c r="M367" s="21" t="n">
        <x:f>E367+K367-I367-J367-L367</x:f>
        <x:v>0</x:v>
      </x:c>
    </x:row>
    <x:row r="368" ht="36" customHeight="1">
      <x:c r="A368" s="8" t="str">
        <x:v>Mixed consideration</x:v>
      </x:c>
      <x:c r="B368" s="8" t="str">
        <x:v>Moderate benchmark</x:v>
      </x:c>
      <x:c r="C368" s="8" t="str">
        <x:v>Acquisition term</x:v>
      </x:c>
      <x:c r="D368" s="22" t="n">
        <x:v>3</x:v>
      </x:c>
      <x:c r="E368" s="8" t="n">
        <x:v>0</x:v>
      </x:c>
      <x:c r="F368" s="23" t="n">
        <x:v>0.07</x:v>
      </x:c>
      <x:c r="G368" s="8" t="n">
        <x:v>0</x:v>
      </x:c>
      <x:c r="H368" s="8" t="n">
        <x:v>0</x:v>
      </x:c>
      <x:c r="I368" s="8" t="n">
        <x:v>0</x:v>
      </x:c>
      <x:c r="J368" s="8" t="n">
        <x:v>0</x:v>
      </x:c>
      <x:c r="K368" s="8" t="n">
        <x:v>0</x:v>
      </x:c>
      <x:c r="L368" s="8" t="n">
        <x:v>0</x:v>
      </x:c>
      <x:c r="M368" s="21" t="n">
        <x:f>E368+K368-I368-J368-L368</x:f>
        <x:v>0</x:v>
      </x:c>
    </x:row>
    <x:row r="369" ht="36" customHeight="1">
      <x:c r="A369" s="8" t="str">
        <x:v>Mixed consideration</x:v>
      </x:c>
      <x:c r="B369" s="8" t="str">
        <x:v>Moderate benchmark</x:v>
      </x:c>
      <x:c r="C369" s="8" t="str">
        <x:v>Committed revolver</x:v>
      </x:c>
      <x:c r="D369" s="22" t="n">
        <x:v>3</x:v>
      </x:c>
      <x:c r="E369" s="8" t="n">
        <x:v>0</x:v>
      </x:c>
      <x:c r="F369" s="23" t="n">
        <x:v>0.0675</x:v>
      </x:c>
      <x:c r="G369" s="8" t="n">
        <x:v>0</x:v>
      </x:c>
      <x:c r="H369" s="8" t="n">
        <x:v>0</x:v>
      </x:c>
      <x:c r="I369" s="8" t="n">
        <x:v>0</x:v>
      </x:c>
      <x:c r="J369" s="8" t="n">
        <x:v>0</x:v>
      </x:c>
      <x:c r="K369" s="8" t="n">
        <x:v>0</x:v>
      </x:c>
      <x:c r="L369" s="8" t="n">
        <x:v>0</x:v>
      </x:c>
      <x:c r="M369" s="21" t="n">
        <x:f>E369+K369-I369-J369-L369</x:f>
        <x:v>0</x:v>
      </x:c>
    </x:row>
    <x:row r="370" ht="36" customHeight="1">
      <x:c r="A370" s="8" t="str">
        <x:v>Mixed consideration</x:v>
      </x:c>
      <x:c r="B370" s="8" t="str">
        <x:v>Moderate benchmark</x:v>
      </x:c>
      <x:c r="C370" s="8" t="str">
        <x:v>Atlas notes</x:v>
      </x:c>
      <x:c r="D370" s="22" t="n">
        <x:v>4</x:v>
      </x:c>
      <x:c r="E370" s="8" t="n">
        <x:v>286.23975533638645</x:v>
      </x:c>
      <x:c r="F370" s="23" t="n">
        <x:v>0.038</x:v>
      </x:c>
      <x:c r="G370" s="8" t="n">
        <x:v>10.877110702782685</x:v>
      </x:c>
      <x:c r="H370" s="8" t="n">
        <x:v>286.23975533638645</x:v>
      </x:c>
      <x:c r="I370" s="8" t="n">
        <x:v>286.23975533638645</x:v>
      </x:c>
      <x:c r="J370" s="8" t="n">
        <x:v>0</x:v>
      </x:c>
      <x:c r="K370" s="8" t="n">
        <x:v>0</x:v>
      </x:c>
      <x:c r="L370" s="8" t="n">
        <x:v>0</x:v>
      </x:c>
      <x:c r="M370" s="21" t="n">
        <x:f>E370+K370-I370-J370-L370</x:f>
        <x:v>0</x:v>
      </x:c>
    </x:row>
    <x:row r="371" ht="36" customHeight="1">
      <x:c r="A371" s="8" t="str">
        <x:v>Mixed consideration</x:v>
      </x:c>
      <x:c r="B371" s="8" t="str">
        <x:v>Moderate benchmark</x:v>
      </x:c>
      <x:c r="C371" s="8" t="str">
        <x:v>Atlas finance lease</x:v>
      </x:c>
      <x:c r="D371" s="22" t="n">
        <x:v>4</x:v>
      </x:c>
      <x:c r="E371" s="8" t="n">
        <x:v>0</x:v>
      </x:c>
      <x:c r="F371" s="23" t="n">
        <x:v>0.05</x:v>
      </x:c>
      <x:c r="G371" s="8" t="n">
        <x:v>0</x:v>
      </x:c>
      <x:c r="H371" s="8" t="n">
        <x:v>0</x:v>
      </x:c>
      <x:c r="I371" s="8" t="n">
        <x:v>0</x:v>
      </x:c>
      <x:c r="J371" s="8" t="n">
        <x:v>0</x:v>
      </x:c>
      <x:c r="K371" s="8" t="n">
        <x:v>0</x:v>
      </x:c>
      <x:c r="L371" s="8" t="n">
        <x:v>0</x:v>
      </x:c>
      <x:c r="M371" s="21" t="n">
        <x:f>E371+K371-I371-J371-L371</x:f>
        <x:v>0</x:v>
      </x:c>
    </x:row>
    <x:row r="372" ht="36" customHeight="1">
      <x:c r="A372" s="8" t="str">
        <x:v>Mixed consideration</x:v>
      </x:c>
      <x:c r="B372" s="8" t="str">
        <x:v>Moderate benchmark</x:v>
      </x:c>
      <x:c r="C372" s="8" t="str">
        <x:v>Beacon notes</x:v>
      </x:c>
      <x:c r="D372" s="22" t="n">
        <x:v>4</x:v>
      </x:c>
      <x:c r="E372" s="8" t="n">
        <x:v>0</x:v>
      </x:c>
      <x:c r="F372" s="23" t="n">
        <x:v>0.0475</x:v>
      </x:c>
      <x:c r="G372" s="8" t="n">
        <x:v>0</x:v>
      </x:c>
      <x:c r="H372" s="8" t="n">
        <x:v>0</x:v>
      </x:c>
      <x:c r="I372" s="8" t="n">
        <x:v>0</x:v>
      </x:c>
      <x:c r="J372" s="8" t="n">
        <x:v>0</x:v>
      </x:c>
      <x:c r="K372" s="8" t="n">
        <x:v>0</x:v>
      </x:c>
      <x:c r="L372" s="8" t="n">
        <x:v>0</x:v>
      </x:c>
      <x:c r="M372" s="21" t="n">
        <x:f>E372+K372-I372-J372-L372</x:f>
        <x:v>0</x:v>
      </x:c>
    </x:row>
    <x:row r="373" ht="36" customHeight="1">
      <x:c r="A373" s="8" t="str">
        <x:v>Mixed consideration</x:v>
      </x:c>
      <x:c r="B373" s="8" t="str">
        <x:v>Moderate benchmark</x:v>
      </x:c>
      <x:c r="C373" s="8" t="str">
        <x:v>Acquisition term</x:v>
      </x:c>
      <x:c r="D373" s="22" t="n">
        <x:v>4</x:v>
      </x:c>
      <x:c r="E373" s="8" t="n">
        <x:v>0</x:v>
      </x:c>
      <x:c r="F373" s="23" t="n">
        <x:v>0.07</x:v>
      </x:c>
      <x:c r="G373" s="8" t="n">
        <x:v>0</x:v>
      </x:c>
      <x:c r="H373" s="8" t="n">
        <x:v>0</x:v>
      </x:c>
      <x:c r="I373" s="8" t="n">
        <x:v>0</x:v>
      </x:c>
      <x:c r="J373" s="8" t="n">
        <x:v>0</x:v>
      </x:c>
      <x:c r="K373" s="8" t="n">
        <x:v>0</x:v>
      </x:c>
      <x:c r="L373" s="8" t="n">
        <x:v>0</x:v>
      </x:c>
      <x:c r="M373" s="21" t="n">
        <x:f>E373+K373-I373-J373-L373</x:f>
        <x:v>0</x:v>
      </x:c>
    </x:row>
    <x:row r="374" ht="36" customHeight="1">
      <x:c r="A374" s="8" t="str">
        <x:v>Mixed consideration</x:v>
      </x:c>
      <x:c r="B374" s="8" t="str">
        <x:v>Moderate benchmark</x:v>
      </x:c>
      <x:c r="C374" s="8" t="str">
        <x:v>Committed revolver</x:v>
      </x:c>
      <x:c r="D374" s="22" t="n">
        <x:v>4</x:v>
      </x:c>
      <x:c r="E374" s="8" t="n">
        <x:v>0</x:v>
      </x:c>
      <x:c r="F374" s="23" t="n">
        <x:v>0.0675</x:v>
      </x:c>
      <x:c r="G374" s="8" t="n">
        <x:v>0</x:v>
      </x:c>
      <x:c r="H374" s="8" t="n">
        <x:v>0</x:v>
      </x:c>
      <x:c r="I374" s="8" t="n">
        <x:v>0</x:v>
      </x:c>
      <x:c r="J374" s="8" t="n">
        <x:v>0</x:v>
      </x:c>
      <x:c r="K374" s="8" t="n">
        <x:v>0</x:v>
      </x:c>
      <x:c r="L374" s="8" t="n">
        <x:v>0</x:v>
      </x:c>
      <x:c r="M374" s="21" t="n">
        <x:f>E374+K374-I374-J374-L374</x:f>
        <x:v>0</x:v>
      </x:c>
    </x:row>
    <x:row r="375" ht="36" customHeight="1">
      <x:c r="A375" s="8" t="str">
        <x:v>Mixed consideration</x:v>
      </x:c>
      <x:c r="B375" s="8" t="str">
        <x:v>Moderate benchmark</x:v>
      </x:c>
      <x:c r="C375" s="8" t="str">
        <x:v>Atlas notes</x:v>
      </x:c>
      <x:c r="D375" s="22" t="n">
        <x:v>5</x:v>
      </x:c>
      <x:c r="E375" s="8" t="n">
        <x:v>0</x:v>
      </x:c>
      <x:c r="F375" s="23" t="n">
        <x:v>0.038</x:v>
      </x:c>
      <x:c r="G375" s="8" t="n">
        <x:v>0</x:v>
      </x:c>
      <x:c r="H375" s="8" t="n">
        <x:v>0</x:v>
      </x:c>
      <x:c r="I375" s="8" t="n">
        <x:v>0</x:v>
      </x:c>
      <x:c r="J375" s="8" t="n">
        <x:v>0</x:v>
      </x:c>
      <x:c r="K375" s="8" t="n">
        <x:v>0</x:v>
      </x:c>
      <x:c r="L375" s="8" t="n">
        <x:v>0</x:v>
      </x:c>
      <x:c r="M375" s="21" t="n">
        <x:f>E375+K375-I375-J375-L375</x:f>
        <x:v>0</x:v>
      </x:c>
    </x:row>
    <x:row r="376" ht="36" customHeight="1">
      <x:c r="A376" s="8" t="str">
        <x:v>Mixed consideration</x:v>
      </x:c>
      <x:c r="B376" s="8" t="str">
        <x:v>Moderate benchmark</x:v>
      </x:c>
      <x:c r="C376" s="8" t="str">
        <x:v>Atlas finance lease</x:v>
      </x:c>
      <x:c r="D376" s="22" t="n">
        <x:v>5</x:v>
      </x:c>
      <x:c r="E376" s="8" t="n">
        <x:v>0</x:v>
      </x:c>
      <x:c r="F376" s="23" t="n">
        <x:v>0.05</x:v>
      </x:c>
      <x:c r="G376" s="8" t="n">
        <x:v>0</x:v>
      </x:c>
      <x:c r="H376" s="8" t="n">
        <x:v>0</x:v>
      </x:c>
      <x:c r="I376" s="8" t="n">
        <x:v>0</x:v>
      </x:c>
      <x:c r="J376" s="8" t="n">
        <x:v>0</x:v>
      </x:c>
      <x:c r="K376" s="8" t="n">
        <x:v>0</x:v>
      </x:c>
      <x:c r="L376" s="8" t="n">
        <x:v>0</x:v>
      </x:c>
      <x:c r="M376" s="21" t="n">
        <x:f>E376+K376-I376-J376-L376</x:f>
        <x:v>0</x:v>
      </x:c>
    </x:row>
    <x:row r="377" ht="36" customHeight="1">
      <x:c r="A377" s="8" t="str">
        <x:v>Mixed consideration</x:v>
      </x:c>
      <x:c r="B377" s="8" t="str">
        <x:v>Moderate benchmark</x:v>
      </x:c>
      <x:c r="C377" s="8" t="str">
        <x:v>Beacon notes</x:v>
      </x:c>
      <x:c r="D377" s="22" t="n">
        <x:v>5</x:v>
      </x:c>
      <x:c r="E377" s="8" t="n">
        <x:v>0</x:v>
      </x:c>
      <x:c r="F377" s="23" t="n">
        <x:v>0.0475</x:v>
      </x:c>
      <x:c r="G377" s="8" t="n">
        <x:v>0</x:v>
      </x:c>
      <x:c r="H377" s="8" t="n">
        <x:v>0</x:v>
      </x:c>
      <x:c r="I377" s="8" t="n">
        <x:v>0</x:v>
      </x:c>
      <x:c r="J377" s="8" t="n">
        <x:v>0</x:v>
      </x:c>
      <x:c r="K377" s="8" t="n">
        <x:v>0</x:v>
      </x:c>
      <x:c r="L377" s="8" t="n">
        <x:v>0</x:v>
      </x:c>
      <x:c r="M377" s="21" t="n">
        <x:f>E377+K377-I377-J377-L377</x:f>
        <x:v>0</x:v>
      </x:c>
    </x:row>
    <x:row r="378" ht="36" customHeight="1">
      <x:c r="A378" s="8" t="str">
        <x:v>Mixed consideration</x:v>
      </x:c>
      <x:c r="B378" s="8" t="str">
        <x:v>Moderate benchmark</x:v>
      </x:c>
      <x:c r="C378" s="8" t="str">
        <x:v>Acquisition term</x:v>
      </x:c>
      <x:c r="D378" s="22" t="n">
        <x:v>5</x:v>
      </x:c>
      <x:c r="E378" s="8" t="n">
        <x:v>0</x:v>
      </x:c>
      <x:c r="F378" s="23" t="n">
        <x:v>0.07</x:v>
      </x:c>
      <x:c r="G378" s="8" t="n">
        <x:v>0</x:v>
      </x:c>
      <x:c r="H378" s="8" t="n">
        <x:v>0</x:v>
      </x:c>
      <x:c r="I378" s="8" t="n">
        <x:v>0</x:v>
      </x:c>
      <x:c r="J378" s="8" t="n">
        <x:v>0</x:v>
      </x:c>
      <x:c r="K378" s="8" t="n">
        <x:v>0</x:v>
      </x:c>
      <x:c r="L378" s="8" t="n">
        <x:v>0</x:v>
      </x:c>
      <x:c r="M378" s="21" t="n">
        <x:f>E378+K378-I378-J378-L378</x:f>
        <x:v>0</x:v>
      </x:c>
    </x:row>
    <x:row r="379" ht="36" customHeight="1">
      <x:c r="A379" s="8" t="str">
        <x:v>Mixed consideration</x:v>
      </x:c>
      <x:c r="B379" s="8" t="str">
        <x:v>Moderate benchmark</x:v>
      </x:c>
      <x:c r="C379" s="8" t="str">
        <x:v>Committed revolver</x:v>
      </x:c>
      <x:c r="D379" s="22" t="n">
        <x:v>5</x:v>
      </x:c>
      <x:c r="E379" s="8" t="n">
        <x:v>0</x:v>
      </x:c>
      <x:c r="F379" s="23" t="n">
        <x:v>0.0675</x:v>
      </x:c>
      <x:c r="G379" s="8" t="n">
        <x:v>0</x:v>
      </x:c>
      <x:c r="H379" s="8" t="n">
        <x:v>0</x:v>
      </x:c>
      <x:c r="I379" s="8" t="n">
        <x:v>0</x:v>
      </x:c>
      <x:c r="J379" s="8" t="n">
        <x:v>0</x:v>
      </x:c>
      <x:c r="K379" s="8" t="n">
        <x:v>0</x:v>
      </x:c>
      <x:c r="L379" s="8" t="n">
        <x:v>0</x:v>
      </x:c>
      <x:c r="M379" s="21" t="n">
        <x:f>E379+K379-I379-J379-L379</x:f>
        <x:v>0</x:v>
      </x:c>
    </x:row>
    <x:row r="380" ht="36" customHeight="1">
      <x:c r="A380" s="8" t="str">
        <x:v>Cash-first</x:v>
      </x:c>
      <x:c r="B380" s="8" t="str">
        <x:v>Moderate spread</x:v>
      </x:c>
      <x:c r="C380" s="8" t="str">
        <x:v>Atlas notes</x:v>
      </x:c>
      <x:c r="D380" s="22" t="n">
        <x:v>1</x:v>
      </x:c>
      <x:c r="E380" s="8" t="n">
        <x:v>900</x:v>
      </x:c>
      <x:c r="F380" s="23" t="n">
        <x:v>0.038</x:v>
      </x:c>
      <x:c r="G380" s="8" t="n">
        <x:v>34.199999999999996</x:v>
      </x:c>
      <x:c r="H380" s="8" t="n">
        <x:v>0</x:v>
      </x:c>
      <x:c r="I380" s="8" t="n">
        <x:v>0</x:v>
      </x:c>
      <x:c r="J380" s="8" t="n">
        <x:v>0</x:v>
      </x:c>
      <x:c r="K380" s="8" t="n">
        <x:v>0</x:v>
      </x:c>
      <x:c r="L380" s="8" t="n">
        <x:v>0</x:v>
      </x:c>
      <x:c r="M380" s="21" t="n">
        <x:f>E380+K380-I380-J380-L380</x:f>
        <x:v>900</x:v>
      </x:c>
    </x:row>
    <x:row r="381" ht="36" customHeight="1">
      <x:c r="A381" s="8" t="str">
        <x:v>Cash-first</x:v>
      </x:c>
      <x:c r="B381" s="8" t="str">
        <x:v>Moderate spread</x:v>
      </x:c>
      <x:c r="C381" s="8" t="str">
        <x:v>Atlas finance lease</x:v>
      </x:c>
      <x:c r="D381" s="22" t="n">
        <x:v>1</x:v>
      </x:c>
      <x:c r="E381" s="8" t="n">
        <x:v>80</x:v>
      </x:c>
      <x:c r="F381" s="23" t="n">
        <x:v>0.05</x:v>
      </x:c>
      <x:c r="G381" s="8" t="n">
        <x:v>4</x:v>
      </x:c>
      <x:c r="H381" s="8" t="n">
        <x:v>16</x:v>
      </x:c>
      <x:c r="I381" s="8" t="n">
        <x:v>16</x:v>
      </x:c>
      <x:c r="J381" s="8" t="n">
        <x:v>0</x:v>
      </x:c>
      <x:c r="K381" s="8" t="n">
        <x:v>0</x:v>
      </x:c>
      <x:c r="L381" s="8" t="n">
        <x:v>0</x:v>
      </x:c>
      <x:c r="M381" s="21" t="n">
        <x:f>E381+K381-I381-J381-L381</x:f>
        <x:v>64</x:v>
      </x:c>
    </x:row>
    <x:row r="382" ht="36" customHeight="1">
      <x:c r="A382" s="8" t="str">
        <x:v>Cash-first</x:v>
      </x:c>
      <x:c r="B382" s="8" t="str">
        <x:v>Moderate spread</x:v>
      </x:c>
      <x:c r="C382" s="8" t="str">
        <x:v>Beacon notes</x:v>
      </x:c>
      <x:c r="D382" s="22" t="n">
        <x:v>1</x:v>
      </x:c>
      <x:c r="E382" s="8" t="n">
        <x:v>350</x:v>
      </x:c>
      <x:c r="F382" s="23" t="n">
        <x:v>0.0475</x:v>
      </x:c>
      <x:c r="G382" s="8" t="n">
        <x:v>16.625</x:v>
      </x:c>
      <x:c r="H382" s="8" t="n">
        <x:v>0</x:v>
      </x:c>
      <x:c r="I382" s="8" t="n">
        <x:v>0</x:v>
      </x:c>
      <x:c r="J382" s="8" t="n">
        <x:v>0</x:v>
      </x:c>
      <x:c r="K382" s="8" t="n">
        <x:v>0</x:v>
      </x:c>
      <x:c r="L382" s="8" t="n">
        <x:v>0</x:v>
      </x:c>
      <x:c r="M382" s="21" t="n">
        <x:f>E382+K382-I382-J382-L382</x:f>
        <x:v>350</x:v>
      </x:c>
    </x:row>
    <x:row r="383" ht="36" customHeight="1">
      <x:c r="A383" s="8" t="str">
        <x:v>Cash-first</x:v>
      </x:c>
      <x:c r="B383" s="8" t="str">
        <x:v>Moderate spread</x:v>
      </x:c>
      <x:c r="C383" s="8" t="str">
        <x:v>Acquisition term</x:v>
      </x:c>
      <x:c r="D383" s="22" t="n">
        <x:v>1</x:v>
      </x:c>
      <x:c r="E383" s="8" t="n">
        <x:v>1340.1015228426397</x:v>
      </x:c>
      <x:c r="F383" s="23" t="n">
        <x:v>0.075</x:v>
      </x:c>
      <x:c r="G383" s="8" t="n">
        <x:v>100.50761421319798</x:v>
      </x:c>
      <x:c r="H383" s="8" t="n">
        <x:v>26.802030456852794</x:v>
      </x:c>
      <x:c r="I383" s="8" t="n">
        <x:v>26.802030456852794</x:v>
      </x:c>
      <x:c r="J383" s="8" t="n">
        <x:v>248.56272121201562</x:v>
      </x:c>
      <x:c r="K383" s="8" t="n">
        <x:v>0</x:v>
      </x:c>
      <x:c r="L383" s="8" t="n">
        <x:v>0</x:v>
      </x:c>
      <x:c r="M383" s="21" t="n">
        <x:f>E383+K383-I383-J383-L383</x:f>
        <x:v>1064.736771173771</x:v>
      </x:c>
    </x:row>
    <x:row r="384" ht="36" customHeight="1">
      <x:c r="A384" s="8" t="str">
        <x:v>Cash-first</x:v>
      </x:c>
      <x:c r="B384" s="8" t="str">
        <x:v>Moderate spread</x:v>
      </x:c>
      <x:c r="C384" s="8" t="str">
        <x:v>Committed revolver</x:v>
      </x:c>
      <x:c r="D384" s="22" t="n">
        <x:v>1</x:v>
      </x:c>
      <x:c r="E384" s="8" t="n">
        <x:v>0</x:v>
      </x:c>
      <x:c r="F384" s="23" t="n">
        <x:v>0.0625</x:v>
      </x:c>
      <x:c r="G384" s="8" t="n">
        <x:v>0</x:v>
      </x:c>
      <x:c r="H384" s="8" t="n">
        <x:v>0</x:v>
      </x:c>
      <x:c r="I384" s="8" t="n">
        <x:v>0</x:v>
      </x:c>
      <x:c r="J384" s="8" t="n">
        <x:v>0</x:v>
      </x:c>
      <x:c r="K384" s="8" t="n">
        <x:v>0</x:v>
      </x:c>
      <x:c r="L384" s="8" t="n">
        <x:v>0</x:v>
      </x:c>
      <x:c r="M384" s="21" t="n">
        <x:f>E384+K384-I384-J384-L384</x:f>
        <x:v>0</x:v>
      </x:c>
    </x:row>
    <x:row r="385" ht="36" customHeight="1">
      <x:c r="A385" s="8" t="str">
        <x:v>Cash-first</x:v>
      </x:c>
      <x:c r="B385" s="8" t="str">
        <x:v>Moderate spread</x:v>
      </x:c>
      <x:c r="C385" s="8" t="str">
        <x:v>Atlas notes</x:v>
      </x:c>
      <x:c r="D385" s="22" t="n">
        <x:v>2</x:v>
      </x:c>
      <x:c r="E385" s="8" t="n">
        <x:v>900</x:v>
      </x:c>
      <x:c r="F385" s="23" t="n">
        <x:v>0.038</x:v>
      </x:c>
      <x:c r="G385" s="8" t="n">
        <x:v>34.199999999999996</x:v>
      </x:c>
      <x:c r="H385" s="8" t="n">
        <x:v>0</x:v>
      </x:c>
      <x:c r="I385" s="8" t="n">
        <x:v>0</x:v>
      </x:c>
      <x:c r="J385" s="8" t="n">
        <x:v>0</x:v>
      </x:c>
      <x:c r="K385" s="8" t="n">
        <x:v>0</x:v>
      </x:c>
      <x:c r="L385" s="8" t="n">
        <x:v>0</x:v>
      </x:c>
      <x:c r="M385" s="21" t="n">
        <x:f>E385+K385-I385-J385-L385</x:f>
        <x:v>900</x:v>
      </x:c>
    </x:row>
    <x:row r="386" ht="36" customHeight="1">
      <x:c r="A386" s="8" t="str">
        <x:v>Cash-first</x:v>
      </x:c>
      <x:c r="B386" s="8" t="str">
        <x:v>Moderate spread</x:v>
      </x:c>
      <x:c r="C386" s="8" t="str">
        <x:v>Atlas finance lease</x:v>
      </x:c>
      <x:c r="D386" s="22" t="n">
        <x:v>2</x:v>
      </x:c>
      <x:c r="E386" s="8" t="n">
        <x:v>64</x:v>
      </x:c>
      <x:c r="F386" s="23" t="n">
        <x:v>0.05</x:v>
      </x:c>
      <x:c r="G386" s="8" t="n">
        <x:v>3.2</x:v>
      </x:c>
      <x:c r="H386" s="8" t="n">
        <x:v>16</x:v>
      </x:c>
      <x:c r="I386" s="8" t="n">
        <x:v>16</x:v>
      </x:c>
      <x:c r="J386" s="8" t="n">
        <x:v>0</x:v>
      </x:c>
      <x:c r="K386" s="8" t="n">
        <x:v>0</x:v>
      </x:c>
      <x:c r="L386" s="8" t="n">
        <x:v>0</x:v>
      </x:c>
      <x:c r="M386" s="21" t="n">
        <x:f>E386+K386-I386-J386-L386</x:f>
        <x:v>48</x:v>
      </x:c>
    </x:row>
    <x:row r="387" ht="36" customHeight="1">
      <x:c r="A387" s="8" t="str">
        <x:v>Cash-first</x:v>
      </x:c>
      <x:c r="B387" s="8" t="str">
        <x:v>Moderate spread</x:v>
      </x:c>
      <x:c r="C387" s="8" t="str">
        <x:v>Beacon notes</x:v>
      </x:c>
      <x:c r="D387" s="22" t="n">
        <x:v>2</x:v>
      </x:c>
      <x:c r="E387" s="8" t="n">
        <x:v>350</x:v>
      </x:c>
      <x:c r="F387" s="23" t="n">
        <x:v>0.0475</x:v>
      </x:c>
      <x:c r="G387" s="8" t="n">
        <x:v>16.625</x:v>
      </x:c>
      <x:c r="H387" s="8" t="n">
        <x:v>0</x:v>
      </x:c>
      <x:c r="I387" s="8" t="n">
        <x:v>0</x:v>
      </x:c>
      <x:c r="J387" s="8" t="n">
        <x:v>0</x:v>
      </x:c>
      <x:c r="K387" s="8" t="n">
        <x:v>0</x:v>
      </x:c>
      <x:c r="L387" s="8" t="n">
        <x:v>0</x:v>
      </x:c>
      <x:c r="M387" s="21" t="n">
        <x:f>E387+K387-I387-J387-L387</x:f>
        <x:v>350</x:v>
      </x:c>
    </x:row>
    <x:row r="388" ht="36" customHeight="1">
      <x:c r="A388" s="8" t="str">
        <x:v>Cash-first</x:v>
      </x:c>
      <x:c r="B388" s="8" t="str">
        <x:v>Moderate spread</x:v>
      </x:c>
      <x:c r="C388" s="8" t="str">
        <x:v>Acquisition term</x:v>
      </x:c>
      <x:c r="D388" s="22" t="n">
        <x:v>2</x:v>
      </x:c>
      <x:c r="E388" s="8" t="n">
        <x:v>1064.736771173771</x:v>
      </x:c>
      <x:c r="F388" s="23" t="n">
        <x:v>0.0725</x:v>
      </x:c>
      <x:c r="G388" s="8" t="n">
        <x:v>77.1934159100984</x:v>
      </x:c>
      <x:c r="H388" s="8" t="n">
        <x:v>26.802030456852794</x:v>
      </x:c>
      <x:c r="I388" s="8" t="n">
        <x:v>26.802030456852794</x:v>
      </x:c>
      <x:c r="J388" s="8" t="n">
        <x:v>341.84397524755764</x:v>
      </x:c>
      <x:c r="K388" s="8" t="n">
        <x:v>0</x:v>
      </x:c>
      <x:c r="L388" s="8" t="n">
        <x:v>0</x:v>
      </x:c>
      <x:c r="M388" s="21" t="n">
        <x:f>E388+K388-I388-J388-L388</x:f>
        <x:v>696.0907654693606</x:v>
      </x:c>
    </x:row>
    <x:row r="389" ht="36" customHeight="1">
      <x:c r="A389" s="8" t="str">
        <x:v>Cash-first</x:v>
      </x:c>
      <x:c r="B389" s="8" t="str">
        <x:v>Moderate spread</x:v>
      </x:c>
      <x:c r="C389" s="8" t="str">
        <x:v>Committed revolver</x:v>
      </x:c>
      <x:c r="D389" s="22" t="n">
        <x:v>2</x:v>
      </x:c>
      <x:c r="E389" s="8" t="n">
        <x:v>0</x:v>
      </x:c>
      <x:c r="F389" s="23" t="n">
        <x:v>0.06</x:v>
      </x:c>
      <x:c r="G389" s="8" t="n">
        <x:v>0</x:v>
      </x:c>
      <x:c r="H389" s="8" t="n">
        <x:v>0</x:v>
      </x:c>
      <x:c r="I389" s="8" t="n">
        <x:v>0</x:v>
      </x:c>
      <x:c r="J389" s="8" t="n">
        <x:v>0</x:v>
      </x:c>
      <x:c r="K389" s="8" t="n">
        <x:v>0</x:v>
      </x:c>
      <x:c r="L389" s="8" t="n">
        <x:v>0</x:v>
      </x:c>
      <x:c r="M389" s="21" t="n">
        <x:f>E389+K389-I389-J389-L389</x:f>
        <x:v>0</x:v>
      </x:c>
    </x:row>
    <x:row r="390" ht="36" customHeight="1">
      <x:c r="A390" s="8" t="str">
        <x:v>Cash-first</x:v>
      </x:c>
      <x:c r="B390" s="8" t="str">
        <x:v>Moderate spread</x:v>
      </x:c>
      <x:c r="C390" s="8" t="str">
        <x:v>Atlas notes</x:v>
      </x:c>
      <x:c r="D390" s="22" t="n">
        <x:v>3</x:v>
      </x:c>
      <x:c r="E390" s="8" t="n">
        <x:v>900</x:v>
      </x:c>
      <x:c r="F390" s="23" t="n">
        <x:v>0.038</x:v>
      </x:c>
      <x:c r="G390" s="8" t="n">
        <x:v>34.199999999999996</x:v>
      </x:c>
      <x:c r="H390" s="8" t="n">
        <x:v>0</x:v>
      </x:c>
      <x:c r="I390" s="8" t="n">
        <x:v>0</x:v>
      </x:c>
      <x:c r="J390" s="8" t="n">
        <x:v>0</x:v>
      </x:c>
      <x:c r="K390" s="8" t="n">
        <x:v>0</x:v>
      </x:c>
      <x:c r="L390" s="8" t="n">
        <x:v>0</x:v>
      </x:c>
      <x:c r="M390" s="21" t="n">
        <x:f>E390+K390-I390-J390-L390</x:f>
        <x:v>900</x:v>
      </x:c>
    </x:row>
    <x:row r="391" ht="36" customHeight="1">
      <x:c r="A391" s="8" t="str">
        <x:v>Cash-first</x:v>
      </x:c>
      <x:c r="B391" s="8" t="str">
        <x:v>Moderate spread</x:v>
      </x:c>
      <x:c r="C391" s="8" t="str">
        <x:v>Atlas finance lease</x:v>
      </x:c>
      <x:c r="D391" s="22" t="n">
        <x:v>3</x:v>
      </x:c>
      <x:c r="E391" s="8" t="n">
        <x:v>48</x:v>
      </x:c>
      <x:c r="F391" s="23" t="n">
        <x:v>0.05</x:v>
      </x:c>
      <x:c r="G391" s="8" t="n">
        <x:v>2.4000000000000004</x:v>
      </x:c>
      <x:c r="H391" s="8" t="n">
        <x:v>16</x:v>
      </x:c>
      <x:c r="I391" s="8" t="n">
        <x:v>16</x:v>
      </x:c>
      <x:c r="J391" s="8" t="n">
        <x:v>0</x:v>
      </x:c>
      <x:c r="K391" s="8" t="n">
        <x:v>0</x:v>
      </x:c>
      <x:c r="L391" s="8" t="n">
        <x:v>0</x:v>
      </x:c>
      <x:c r="M391" s="21" t="n">
        <x:f>E391+K391-I391-J391-L391</x:f>
        <x:v>32</x:v>
      </x:c>
    </x:row>
    <x:row r="392" ht="36" customHeight="1">
      <x:c r="A392" s="8" t="str">
        <x:v>Cash-first</x:v>
      </x:c>
      <x:c r="B392" s="8" t="str">
        <x:v>Moderate spread</x:v>
      </x:c>
      <x:c r="C392" s="8" t="str">
        <x:v>Beacon notes</x:v>
      </x:c>
      <x:c r="D392" s="22" t="n">
        <x:v>3</x:v>
      </x:c>
      <x:c r="E392" s="8" t="n">
        <x:v>350</x:v>
      </x:c>
      <x:c r="F392" s="23" t="n">
        <x:v>0.0475</x:v>
      </x:c>
      <x:c r="G392" s="8" t="n">
        <x:v>16.625</x:v>
      </x:c>
      <x:c r="H392" s="8" t="n">
        <x:v>350</x:v>
      </x:c>
      <x:c r="I392" s="8" t="n">
        <x:v>350</x:v>
      </x:c>
      <x:c r="J392" s="8" t="n">
        <x:v>0</x:v>
      </x:c>
      <x:c r="K392" s="8" t="n">
        <x:v>0</x:v>
      </x:c>
      <x:c r="L392" s="8" t="n">
        <x:v>0</x:v>
      </x:c>
      <x:c r="M392" s="21" t="n">
        <x:f>E392+K392-I392-J392-L392</x:f>
        <x:v>0</x:v>
      </x:c>
    </x:row>
    <x:row r="393" ht="36" customHeight="1">
      <x:c r="A393" s="8" t="str">
        <x:v>Cash-first</x:v>
      </x:c>
      <x:c r="B393" s="8" t="str">
        <x:v>Moderate spread</x:v>
      </x:c>
      <x:c r="C393" s="8" t="str">
        <x:v>Acquisition term</x:v>
      </x:c>
      <x:c r="D393" s="22" t="n">
        <x:v>3</x:v>
      </x:c>
      <x:c r="E393" s="8" t="n">
        <x:v>696.0907654693606</x:v>
      </x:c>
      <x:c r="F393" s="23" t="n">
        <x:v>0.07</x:v>
      </x:c>
      <x:c r="G393" s="8" t="n">
        <x:v>48.726353582855246</x:v>
      </x:c>
      <x:c r="H393" s="8" t="n">
        <x:v>26.802030456852794</x:v>
      </x:c>
      <x:c r="I393" s="8" t="n">
        <x:v>26.802030456852794</x:v>
      </x:c>
      <x:c r="J393" s="8" t="n">
        <x:v>109.79724743391614</x:v>
      </x:c>
      <x:c r="K393" s="8" t="n">
        <x:v>0</x:v>
      </x:c>
      <x:c r="L393" s="8" t="n">
        <x:v>0</x:v>
      </x:c>
      <x:c r="M393" s="21" t="n">
        <x:f>E393+K393-I393-J393-L393</x:f>
        <x:v>559.4914875785917</x:v>
      </x:c>
    </x:row>
    <x:row r="394" ht="36" customHeight="1">
      <x:c r="A394" s="8" t="str">
        <x:v>Cash-first</x:v>
      </x:c>
      <x:c r="B394" s="8" t="str">
        <x:v>Moderate spread</x:v>
      </x:c>
      <x:c r="C394" s="8" t="str">
        <x:v>Committed revolver</x:v>
      </x:c>
      <x:c r="D394" s="22" t="n">
        <x:v>3</x:v>
      </x:c>
      <x:c r="E394" s="8" t="n">
        <x:v>0</x:v>
      </x:c>
      <x:c r="F394" s="23" t="n">
        <x:v>0.0575</x:v>
      </x:c>
      <x:c r="G394" s="8" t="n">
        <x:v>0</x:v>
      </x:c>
      <x:c r="H394" s="8" t="n">
        <x:v>0</x:v>
      </x:c>
      <x:c r="I394" s="8" t="n">
        <x:v>0</x:v>
      </x:c>
      <x:c r="J394" s="8" t="n">
        <x:v>0</x:v>
      </x:c>
      <x:c r="K394" s="8" t="n">
        <x:v>0</x:v>
      </x:c>
      <x:c r="L394" s="8" t="n">
        <x:v>0</x:v>
      </x:c>
      <x:c r="M394" s="21" t="n">
        <x:f>E394+K394-I394-J394-L394</x:f>
        <x:v>0</x:v>
      </x:c>
    </x:row>
    <x:row r="395" ht="36" customHeight="1">
      <x:c r="A395" s="8" t="str">
        <x:v>Cash-first</x:v>
      </x:c>
      <x:c r="B395" s="8" t="str">
        <x:v>Moderate spread</x:v>
      </x:c>
      <x:c r="C395" s="8" t="str">
        <x:v>Atlas notes</x:v>
      </x:c>
      <x:c r="D395" s="22" t="n">
        <x:v>4</x:v>
      </x:c>
      <x:c r="E395" s="8" t="n">
        <x:v>900</x:v>
      </x:c>
      <x:c r="F395" s="23" t="n">
        <x:v>0.038</x:v>
      </x:c>
      <x:c r="G395" s="8" t="n">
        <x:v>34.199999999999996</x:v>
      </x:c>
      <x:c r="H395" s="8" t="n">
        <x:v>900</x:v>
      </x:c>
      <x:c r="I395" s="8" t="n">
        <x:v>900</x:v>
      </x:c>
      <x:c r="J395" s="8" t="n">
        <x:v>0</x:v>
      </x:c>
      <x:c r="K395" s="8" t="n">
        <x:v>0</x:v>
      </x:c>
      <x:c r="L395" s="8" t="n">
        <x:v>0</x:v>
      </x:c>
      <x:c r="M395" s="21" t="n">
        <x:f>E395+K395-I395-J395-L395</x:f>
        <x:v>0</x:v>
      </x:c>
    </x:row>
    <x:row r="396" ht="36" customHeight="1">
      <x:c r="A396" s="8" t="str">
        <x:v>Cash-first</x:v>
      </x:c>
      <x:c r="B396" s="8" t="str">
        <x:v>Moderate spread</x:v>
      </x:c>
      <x:c r="C396" s="8" t="str">
        <x:v>Atlas finance lease</x:v>
      </x:c>
      <x:c r="D396" s="22" t="n">
        <x:v>4</x:v>
      </x:c>
      <x:c r="E396" s="8" t="n">
        <x:v>32</x:v>
      </x:c>
      <x:c r="F396" s="23" t="n">
        <x:v>0.05</x:v>
      </x:c>
      <x:c r="G396" s="8" t="n">
        <x:v>1.6</x:v>
      </x:c>
      <x:c r="H396" s="8" t="n">
        <x:v>16</x:v>
      </x:c>
      <x:c r="I396" s="8" t="n">
        <x:v>16</x:v>
      </x:c>
      <x:c r="J396" s="8" t="n">
        <x:v>0</x:v>
      </x:c>
      <x:c r="K396" s="8" t="n">
        <x:v>0</x:v>
      </x:c>
      <x:c r="L396" s="8" t="n">
        <x:v>0</x:v>
      </x:c>
      <x:c r="M396" s="21" t="n">
        <x:f>E396+K396-I396-J396-L396</x:f>
        <x:v>16</x:v>
      </x:c>
    </x:row>
    <x:row r="397" ht="36" customHeight="1">
      <x:c r="A397" s="8" t="str">
        <x:v>Cash-first</x:v>
      </x:c>
      <x:c r="B397" s="8" t="str">
        <x:v>Moderate spread</x:v>
      </x:c>
      <x:c r="C397" s="8" t="str">
        <x:v>Beacon notes</x:v>
      </x:c>
      <x:c r="D397" s="22" t="n">
        <x:v>4</x:v>
      </x:c>
      <x:c r="E397" s="8" t="n">
        <x:v>0</x:v>
      </x:c>
      <x:c r="F397" s="23" t="n">
        <x:v>0.0475</x:v>
      </x:c>
      <x:c r="G397" s="8" t="n">
        <x:v>0</x:v>
      </x:c>
      <x:c r="H397" s="8" t="n">
        <x:v>0</x:v>
      </x:c>
      <x:c r="I397" s="8" t="n">
        <x:v>0</x:v>
      </x:c>
      <x:c r="J397" s="8" t="n">
        <x:v>0</x:v>
      </x:c>
      <x:c r="K397" s="8" t="n">
        <x:v>0</x:v>
      </x:c>
      <x:c r="L397" s="8" t="n">
        <x:v>0</x:v>
      </x:c>
      <x:c r="M397" s="21" t="n">
        <x:f>E397+K397-I397-J397-L397</x:f>
        <x:v>0</x:v>
      </x:c>
    </x:row>
    <x:row r="398" ht="36" customHeight="1">
      <x:c r="A398" s="8" t="str">
        <x:v>Cash-first</x:v>
      </x:c>
      <x:c r="B398" s="8" t="str">
        <x:v>Moderate spread</x:v>
      </x:c>
      <x:c r="C398" s="8" t="str">
        <x:v>Acquisition term</x:v>
      </x:c>
      <x:c r="D398" s="22" t="n">
        <x:v>4</x:v>
      </x:c>
      <x:c r="E398" s="8" t="n">
        <x:v>559.4914875785917</x:v>
      </x:c>
      <x:c r="F398" s="23" t="n">
        <x:v>0.07</x:v>
      </x:c>
      <x:c r="G398" s="8" t="n">
        <x:v>39.16440413050142</x:v>
      </x:c>
      <x:c r="H398" s="8" t="n">
        <x:v>26.802030456852794</x:v>
      </x:c>
      <x:c r="I398" s="8" t="n">
        <x:v>26.802030456852794</x:v>
      </x:c>
      <x:c r="J398" s="8" t="n">
        <x:v>0</x:v>
      </x:c>
      <x:c r="K398" s="8" t="n">
        <x:v>0</x:v>
      </x:c>
      <x:c r="L398" s="8" t="n">
        <x:v>0</x:v>
      </x:c>
      <x:c r="M398" s="21" t="n">
        <x:f>E398+K398-I398-J398-L398</x:f>
        <x:v>532.6894571217389</x:v>
      </x:c>
    </x:row>
    <x:row r="399" ht="36" customHeight="1">
      <x:c r="A399" s="8" t="str">
        <x:v>Cash-first</x:v>
      </x:c>
      <x:c r="B399" s="8" t="str">
        <x:v>Moderate spread</x:v>
      </x:c>
      <x:c r="C399" s="8" t="str">
        <x:v>Committed revolver</x:v>
      </x:c>
      <x:c r="D399" s="22" t="n">
        <x:v>4</x:v>
      </x:c>
      <x:c r="E399" s="8" t="n">
        <x:v>0</x:v>
      </x:c>
      <x:c r="F399" s="23" t="n">
        <x:v>0.0575</x:v>
      </x:c>
      <x:c r="G399" s="8" t="n">
        <x:v>0</x:v>
      </x:c>
      <x:c r="H399" s="8" t="n">
        <x:v>0</x:v>
      </x:c>
      <x:c r="I399" s="8" t="n">
        <x:v>0</x:v>
      </x:c>
      <x:c r="J399" s="8" t="n">
        <x:v>0</x:v>
      </x:c>
      <x:c r="K399" s="8" t="n">
        <x:v>373.12846104987193</x:v>
      </x:c>
      <x:c r="L399" s="8" t="n">
        <x:v>0</x:v>
      </x:c>
      <x:c r="M399" s="21" t="n">
        <x:f>E399+K399-I399-J399-L399</x:f>
        <x:v>373.12846104987193</x:v>
      </x:c>
    </x:row>
    <x:row r="400" ht="36" customHeight="1">
      <x:c r="A400" s="8" t="str">
        <x:v>Cash-first</x:v>
      </x:c>
      <x:c r="B400" s="8" t="str">
        <x:v>Moderate spread</x:v>
      </x:c>
      <x:c r="C400" s="8" t="str">
        <x:v>Atlas notes</x:v>
      </x:c>
      <x:c r="D400" s="22" t="n">
        <x:v>5</x:v>
      </x:c>
      <x:c r="E400" s="8" t="n">
        <x:v>0</x:v>
      </x:c>
      <x:c r="F400" s="23" t="n">
        <x:v>0.038</x:v>
      </x:c>
      <x:c r="G400" s="8" t="n">
        <x:v>0</x:v>
      </x:c>
      <x:c r="H400" s="8" t="n">
        <x:v>0</x:v>
      </x:c>
      <x:c r="I400" s="8" t="n">
        <x:v>0</x:v>
      </x:c>
      <x:c r="J400" s="8" t="n">
        <x:v>0</x:v>
      </x:c>
      <x:c r="K400" s="8" t="n">
        <x:v>0</x:v>
      </x:c>
      <x:c r="L400" s="8" t="n">
        <x:v>0</x:v>
      </x:c>
      <x:c r="M400" s="21" t="n">
        <x:f>E400+K400-I400-J400-L400</x:f>
        <x:v>0</x:v>
      </x:c>
    </x:row>
    <x:row r="401" ht="36" customHeight="1">
      <x:c r="A401" s="8" t="str">
        <x:v>Cash-first</x:v>
      </x:c>
      <x:c r="B401" s="8" t="str">
        <x:v>Moderate spread</x:v>
      </x:c>
      <x:c r="C401" s="8" t="str">
        <x:v>Atlas finance lease</x:v>
      </x:c>
      <x:c r="D401" s="22" t="n">
        <x:v>5</x:v>
      </x:c>
      <x:c r="E401" s="8" t="n">
        <x:v>16</x:v>
      </x:c>
      <x:c r="F401" s="23" t="n">
        <x:v>0.05</x:v>
      </x:c>
      <x:c r="G401" s="8" t="n">
        <x:v>0.8</x:v>
      </x:c>
      <x:c r="H401" s="8" t="n">
        <x:v>16</x:v>
      </x:c>
      <x:c r="I401" s="8" t="n">
        <x:v>16</x:v>
      </x:c>
      <x:c r="J401" s="8" t="n">
        <x:v>0</x:v>
      </x:c>
      <x:c r="K401" s="8" t="n">
        <x:v>0</x:v>
      </x:c>
      <x:c r="L401" s="8" t="n">
        <x:v>0</x:v>
      </x:c>
      <x:c r="M401" s="21" t="n">
        <x:f>E401+K401-I401-J401-L401</x:f>
        <x:v>0</x:v>
      </x:c>
    </x:row>
    <x:row r="402" ht="36" customHeight="1">
      <x:c r="A402" s="8" t="str">
        <x:v>Cash-first</x:v>
      </x:c>
      <x:c r="B402" s="8" t="str">
        <x:v>Moderate spread</x:v>
      </x:c>
      <x:c r="C402" s="8" t="str">
        <x:v>Beacon notes</x:v>
      </x:c>
      <x:c r="D402" s="22" t="n">
        <x:v>5</x:v>
      </x:c>
      <x:c r="E402" s="8" t="n">
        <x:v>0</x:v>
      </x:c>
      <x:c r="F402" s="23" t="n">
        <x:v>0.0475</x:v>
      </x:c>
      <x:c r="G402" s="8" t="n">
        <x:v>0</x:v>
      </x:c>
      <x:c r="H402" s="8" t="n">
        <x:v>0</x:v>
      </x:c>
      <x:c r="I402" s="8" t="n">
        <x:v>0</x:v>
      </x:c>
      <x:c r="J402" s="8" t="n">
        <x:v>0</x:v>
      </x:c>
      <x:c r="K402" s="8" t="n">
        <x:v>0</x:v>
      </x:c>
      <x:c r="L402" s="8" t="n">
        <x:v>0</x:v>
      </x:c>
      <x:c r="M402" s="21" t="n">
        <x:f>E402+K402-I402-J402-L402</x:f>
        <x:v>0</x:v>
      </x:c>
    </x:row>
    <x:row r="403" ht="36" customHeight="1">
      <x:c r="A403" s="8" t="str">
        <x:v>Cash-first</x:v>
      </x:c>
      <x:c r="B403" s="8" t="str">
        <x:v>Moderate spread</x:v>
      </x:c>
      <x:c r="C403" s="8" t="str">
        <x:v>Acquisition term</x:v>
      </x:c>
      <x:c r="D403" s="22" t="n">
        <x:v>5</x:v>
      </x:c>
      <x:c r="E403" s="8" t="n">
        <x:v>532.6894571217389</x:v>
      </x:c>
      <x:c r="F403" s="23" t="n">
        <x:v>0.07</x:v>
      </x:c>
      <x:c r="G403" s="8" t="n">
        <x:v>37.288261998521726</x:v>
      </x:c>
      <x:c r="H403" s="8" t="n">
        <x:v>532.6894571217389</x:v>
      </x:c>
      <x:c r="I403" s="8" t="n">
        <x:v>532.6894571217389</x:v>
      </x:c>
      <x:c r="J403" s="8" t="n">
        <x:v>0</x:v>
      </x:c>
      <x:c r="K403" s="8" t="n">
        <x:v>0</x:v>
      </x:c>
      <x:c r="L403" s="8" t="n">
        <x:v>0</x:v>
      </x:c>
      <x:c r="M403" s="21" t="n">
        <x:f>E403+K403-I403-J403-L403</x:f>
        <x:v>0</x:v>
      </x:c>
    </x:row>
    <x:row r="404" ht="36" customHeight="1">
      <x:c r="A404" s="8" t="str">
        <x:v>Cash-first</x:v>
      </x:c>
      <x:c r="B404" s="8" t="str">
        <x:v>Moderate spread</x:v>
      </x:c>
      <x:c r="C404" s="8" t="str">
        <x:v>Committed revolver</x:v>
      </x:c>
      <x:c r="D404" s="22" t="n">
        <x:v>5</x:v>
      </x:c>
      <x:c r="E404" s="8" t="n">
        <x:v>373.12846104987193</x:v>
      </x:c>
      <x:c r="F404" s="23" t="n">
        <x:v>0.0575</x:v>
      </x:c>
      <x:c r="G404" s="8" t="n">
        <x:v>21.454886510367636</x:v>
      </x:c>
      <x:c r="H404" s="8" t="n">
        <x:v>373.12846104987193</x:v>
      </x:c>
      <x:c r="I404" s="8" t="n">
        <x:v>373.12846104987193</x:v>
      </x:c>
      <x:c r="J404" s="8" t="n">
        <x:v>0</x:v>
      </x:c>
      <x:c r="K404" s="8" t="n">
        <x:v>0</x:v>
      </x:c>
      <x:c r="L404" s="8" t="n">
        <x:v>0</x:v>
      </x:c>
      <x:c r="M404" s="21" t="n">
        <x:f>E404+K404-I404-J404-L404</x:f>
        <x:v>0</x:v>
      </x:c>
    </x:row>
    <x:row r="405" ht="36" customHeight="1">
      <x:c r="A405" s="8" t="str">
        <x:v>Liquidity-first</x:v>
      </x:c>
      <x:c r="B405" s="8" t="str">
        <x:v>Moderate spread</x:v>
      </x:c>
      <x:c r="C405" s="8" t="str">
        <x:v>Atlas notes</x:v>
      </x:c>
      <x:c r="D405" s="22" t="n">
        <x:v>1</x:v>
      </x:c>
      <x:c r="E405" s="8" t="n">
        <x:v>900</x:v>
      </x:c>
      <x:c r="F405" s="23" t="n">
        <x:v>0.038</x:v>
      </x:c>
      <x:c r="G405" s="8" t="n">
        <x:v>34.199999999999996</x:v>
      </x:c>
      <x:c r="H405" s="8" t="n">
        <x:v>0</x:v>
      </x:c>
      <x:c r="I405" s="8" t="n">
        <x:v>0</x:v>
      </x:c>
      <x:c r="J405" s="8" t="n">
        <x:v>0</x:v>
      </x:c>
      <x:c r="K405" s="8" t="n">
        <x:v>0</x:v>
      </x:c>
      <x:c r="L405" s="8" t="n">
        <x:v>0</x:v>
      </x:c>
      <x:c r="M405" s="21" t="n">
        <x:f>E405+K405-I405-J405-L405</x:f>
        <x:v>900</x:v>
      </x:c>
    </x:row>
    <x:row r="406" ht="36" customHeight="1">
      <x:c r="A406" s="8" t="str">
        <x:v>Liquidity-first</x:v>
      </x:c>
      <x:c r="B406" s="8" t="str">
        <x:v>Moderate spread</x:v>
      </x:c>
      <x:c r="C406" s="8" t="str">
        <x:v>Atlas finance lease</x:v>
      </x:c>
      <x:c r="D406" s="22" t="n">
        <x:v>1</x:v>
      </x:c>
      <x:c r="E406" s="8" t="n">
        <x:v>80</x:v>
      </x:c>
      <x:c r="F406" s="23" t="n">
        <x:v>0.05</x:v>
      </x:c>
      <x:c r="G406" s="8" t="n">
        <x:v>4</x:v>
      </x:c>
      <x:c r="H406" s="8" t="n">
        <x:v>16</x:v>
      </x:c>
      <x:c r="I406" s="8" t="n">
        <x:v>16</x:v>
      </x:c>
      <x:c r="J406" s="8" t="n">
        <x:v>0</x:v>
      </x:c>
      <x:c r="K406" s="8" t="n">
        <x:v>0</x:v>
      </x:c>
      <x:c r="L406" s="8" t="n">
        <x:v>0</x:v>
      </x:c>
      <x:c r="M406" s="21" t="n">
        <x:f>E406+K406-I406-J406-L406</x:f>
        <x:v>64</x:v>
      </x:c>
    </x:row>
    <x:row r="407" ht="36" customHeight="1">
      <x:c r="A407" s="8" t="str">
        <x:v>Liquidity-first</x:v>
      </x:c>
      <x:c r="B407" s="8" t="str">
        <x:v>Moderate spread</x:v>
      </x:c>
      <x:c r="C407" s="8" t="str">
        <x:v>Beacon notes</x:v>
      </x:c>
      <x:c r="D407" s="22" t="n">
        <x:v>1</x:v>
      </x:c>
      <x:c r="E407" s="8" t="n">
        <x:v>350</x:v>
      </x:c>
      <x:c r="F407" s="23" t="n">
        <x:v>0.0475</x:v>
      </x:c>
      <x:c r="G407" s="8" t="n">
        <x:v>16.625</x:v>
      </x:c>
      <x:c r="H407" s="8" t="n">
        <x:v>0</x:v>
      </x:c>
      <x:c r="I407" s="8" t="n">
        <x:v>0</x:v>
      </x:c>
      <x:c r="J407" s="8" t="n">
        <x:v>0</x:v>
      </x:c>
      <x:c r="K407" s="8" t="n">
        <x:v>0</x:v>
      </x:c>
      <x:c r="L407" s="8" t="n">
        <x:v>0</x:v>
      </x:c>
      <x:c r="M407" s="21" t="n">
        <x:f>E407+K407-I407-J407-L407</x:f>
        <x:v>350</x:v>
      </x:c>
    </x:row>
    <x:row r="408" ht="36" customHeight="1">
      <x:c r="A408" s="8" t="str">
        <x:v>Liquidity-first</x:v>
      </x:c>
      <x:c r="B408" s="8" t="str">
        <x:v>Moderate spread</x:v>
      </x:c>
      <x:c r="C408" s="8" t="str">
        <x:v>Acquisition term</x:v>
      </x:c>
      <x:c r="D408" s="22" t="n">
        <x:v>1</x:v>
      </x:c>
      <x:c r="E408" s="8" t="n">
        <x:v>2223.3502538071066</x:v>
      </x:c>
      <x:c r="F408" s="23" t="n">
        <x:v>0.075</x:v>
      </x:c>
      <x:c r="G408" s="8" t="n">
        <x:v>166.751269035533</x:v>
      </x:c>
      <x:c r="H408" s="8" t="n">
        <x:v>44.46700507614213</x:v>
      </x:c>
      <x:c r="I408" s="8" t="n">
        <x:v>44.46700507614213</x:v>
      </x:c>
      <x:c r="J408" s="8" t="n">
        <x:v>1051.2150054759747</x:v>
      </x:c>
      <x:c r="K408" s="8" t="n">
        <x:v>0</x:v>
      </x:c>
      <x:c r="L408" s="8" t="n">
        <x:v>0</x:v>
      </x:c>
      <x:c r="M408" s="21" t="n">
        <x:f>E408+K408-I408-J408-L408</x:f>
        <x:v>1127.6682432549899</x:v>
      </x:c>
    </x:row>
    <x:row r="409" ht="36" customHeight="1">
      <x:c r="A409" s="8" t="str">
        <x:v>Liquidity-first</x:v>
      </x:c>
      <x:c r="B409" s="8" t="str">
        <x:v>Moderate spread</x:v>
      </x:c>
      <x:c r="C409" s="8" t="str">
        <x:v>Committed revolver</x:v>
      </x:c>
      <x:c r="D409" s="22" t="n">
        <x:v>1</x:v>
      </x:c>
      <x:c r="E409" s="8" t="n">
        <x:v>0</x:v>
      </x:c>
      <x:c r="F409" s="23" t="n">
        <x:v>0.0625</x:v>
      </x:c>
      <x:c r="G409" s="8" t="n">
        <x:v>0</x:v>
      </x:c>
      <x:c r="H409" s="8" t="n">
        <x:v>0</x:v>
      </x:c>
      <x:c r="I409" s="8" t="n">
        <x:v>0</x:v>
      </x:c>
      <x:c r="J409" s="8" t="n">
        <x:v>0</x:v>
      </x:c>
      <x:c r="K409" s="8" t="n">
        <x:v>0</x:v>
      </x:c>
      <x:c r="L409" s="8" t="n">
        <x:v>0</x:v>
      </x:c>
      <x:c r="M409" s="21" t="n">
        <x:f>E409+K409-I409-J409-L409</x:f>
        <x:v>0</x:v>
      </x:c>
    </x:row>
    <x:row r="410" ht="36" customHeight="1">
      <x:c r="A410" s="8" t="str">
        <x:v>Liquidity-first</x:v>
      </x:c>
      <x:c r="B410" s="8" t="str">
        <x:v>Moderate spread</x:v>
      </x:c>
      <x:c r="C410" s="8" t="str">
        <x:v>Atlas notes</x:v>
      </x:c>
      <x:c r="D410" s="22" t="n">
        <x:v>2</x:v>
      </x:c>
      <x:c r="E410" s="8" t="n">
        <x:v>900</x:v>
      </x:c>
      <x:c r="F410" s="23" t="n">
        <x:v>0.038</x:v>
      </x:c>
      <x:c r="G410" s="8" t="n">
        <x:v>34.199999999999996</x:v>
      </x:c>
      <x:c r="H410" s="8" t="n">
        <x:v>0</x:v>
      </x:c>
      <x:c r="I410" s="8" t="n">
        <x:v>0</x:v>
      </x:c>
      <x:c r="J410" s="8" t="n">
        <x:v>0</x:v>
      </x:c>
      <x:c r="K410" s="8" t="n">
        <x:v>0</x:v>
      </x:c>
      <x:c r="L410" s="8" t="n">
        <x:v>0</x:v>
      </x:c>
      <x:c r="M410" s="21" t="n">
        <x:f>E410+K410-I410-J410-L410</x:f>
        <x:v>900</x:v>
      </x:c>
    </x:row>
    <x:row r="411" ht="36" customHeight="1">
      <x:c r="A411" s="8" t="str">
        <x:v>Liquidity-first</x:v>
      </x:c>
      <x:c r="B411" s="8" t="str">
        <x:v>Moderate spread</x:v>
      </x:c>
      <x:c r="C411" s="8" t="str">
        <x:v>Atlas finance lease</x:v>
      </x:c>
      <x:c r="D411" s="22" t="n">
        <x:v>2</x:v>
      </x:c>
      <x:c r="E411" s="8" t="n">
        <x:v>64</x:v>
      </x:c>
      <x:c r="F411" s="23" t="n">
        <x:v>0.05</x:v>
      </x:c>
      <x:c r="G411" s="8" t="n">
        <x:v>3.2</x:v>
      </x:c>
      <x:c r="H411" s="8" t="n">
        <x:v>16</x:v>
      </x:c>
      <x:c r="I411" s="8" t="n">
        <x:v>16</x:v>
      </x:c>
      <x:c r="J411" s="8" t="n">
        <x:v>0</x:v>
      </x:c>
      <x:c r="K411" s="8" t="n">
        <x:v>0</x:v>
      </x:c>
      <x:c r="L411" s="8" t="n">
        <x:v>0</x:v>
      </x:c>
      <x:c r="M411" s="21" t="n">
        <x:f>E411+K411-I411-J411-L411</x:f>
        <x:v>48</x:v>
      </x:c>
    </x:row>
    <x:row r="412" ht="36" customHeight="1">
      <x:c r="A412" s="8" t="str">
        <x:v>Liquidity-first</x:v>
      </x:c>
      <x:c r="B412" s="8" t="str">
        <x:v>Moderate spread</x:v>
      </x:c>
      <x:c r="C412" s="8" t="str">
        <x:v>Beacon notes</x:v>
      </x:c>
      <x:c r="D412" s="22" t="n">
        <x:v>2</x:v>
      </x:c>
      <x:c r="E412" s="8" t="n">
        <x:v>350</x:v>
      </x:c>
      <x:c r="F412" s="23" t="n">
        <x:v>0.0475</x:v>
      </x:c>
      <x:c r="G412" s="8" t="n">
        <x:v>16.625</x:v>
      </x:c>
      <x:c r="H412" s="8" t="n">
        <x:v>0</x:v>
      </x:c>
      <x:c r="I412" s="8" t="n">
        <x:v>0</x:v>
      </x:c>
      <x:c r="J412" s="8" t="n">
        <x:v>0</x:v>
      </x:c>
      <x:c r="K412" s="8" t="n">
        <x:v>0</x:v>
      </x:c>
      <x:c r="L412" s="8" t="n">
        <x:v>0</x:v>
      </x:c>
      <x:c r="M412" s="21" t="n">
        <x:f>E412+K412-I412-J412-L412</x:f>
        <x:v>350</x:v>
      </x:c>
    </x:row>
    <x:row r="413" ht="36" customHeight="1">
      <x:c r="A413" s="8" t="str">
        <x:v>Liquidity-first</x:v>
      </x:c>
      <x:c r="B413" s="8" t="str">
        <x:v>Moderate spread</x:v>
      </x:c>
      <x:c r="C413" s="8" t="str">
        <x:v>Acquisition term</x:v>
      </x:c>
      <x:c r="D413" s="22" t="n">
        <x:v>2</x:v>
      </x:c>
      <x:c r="E413" s="8" t="n">
        <x:v>1127.6682432549899</x:v>
      </x:c>
      <x:c r="F413" s="23" t="n">
        <x:v>0.0725</x:v>
      </x:c>
      <x:c r="G413" s="8" t="n">
        <x:v>81.75594763598676</x:v>
      </x:c>
      <x:c r="H413" s="8" t="n">
        <x:v>44.46700507614213</x:v>
      </x:c>
      <x:c r="I413" s="8" t="n">
        <x:v>44.46700507614213</x:v>
      </x:c>
      <x:c r="J413" s="8" t="n">
        <x:v>320.7571018338524</x:v>
      </x:c>
      <x:c r="K413" s="8" t="n">
        <x:v>0</x:v>
      </x:c>
      <x:c r="L413" s="8" t="n">
        <x:v>0</x:v>
      </x:c>
      <x:c r="M413" s="21" t="n">
        <x:f>E413+K413-I413-J413-L413</x:f>
        <x:v>762.4441363449953</x:v>
      </x:c>
    </x:row>
    <x:row r="414" ht="36" customHeight="1">
      <x:c r="A414" s="8" t="str">
        <x:v>Liquidity-first</x:v>
      </x:c>
      <x:c r="B414" s="8" t="str">
        <x:v>Moderate spread</x:v>
      </x:c>
      <x:c r="C414" s="8" t="str">
        <x:v>Committed revolver</x:v>
      </x:c>
      <x:c r="D414" s="22" t="n">
        <x:v>2</x:v>
      </x:c>
      <x:c r="E414" s="8" t="n">
        <x:v>0</x:v>
      </x:c>
      <x:c r="F414" s="23" t="n">
        <x:v>0.06</x:v>
      </x:c>
      <x:c r="G414" s="8" t="n">
        <x:v>0</x:v>
      </x:c>
      <x:c r="H414" s="8" t="n">
        <x:v>0</x:v>
      </x:c>
      <x:c r="I414" s="8" t="n">
        <x:v>0</x:v>
      </x:c>
      <x:c r="J414" s="8" t="n">
        <x:v>0</x:v>
      </x:c>
      <x:c r="K414" s="8" t="n">
        <x:v>0</x:v>
      </x:c>
      <x:c r="L414" s="8" t="n">
        <x:v>0</x:v>
      </x:c>
      <x:c r="M414" s="21" t="n">
        <x:f>E414+K414-I414-J414-L414</x:f>
        <x:v>0</x:v>
      </x:c>
    </x:row>
    <x:row r="415" ht="36" customHeight="1">
      <x:c r="A415" s="8" t="str">
        <x:v>Liquidity-first</x:v>
      </x:c>
      <x:c r="B415" s="8" t="str">
        <x:v>Moderate spread</x:v>
      </x:c>
      <x:c r="C415" s="8" t="str">
        <x:v>Atlas notes</x:v>
      </x:c>
      <x:c r="D415" s="22" t="n">
        <x:v>3</x:v>
      </x:c>
      <x:c r="E415" s="8" t="n">
        <x:v>900</x:v>
      </x:c>
      <x:c r="F415" s="23" t="n">
        <x:v>0.038</x:v>
      </x:c>
      <x:c r="G415" s="8" t="n">
        <x:v>34.199999999999996</x:v>
      </x:c>
      <x:c r="H415" s="8" t="n">
        <x:v>0</x:v>
      </x:c>
      <x:c r="I415" s="8" t="n">
        <x:v>0</x:v>
      </x:c>
      <x:c r="J415" s="8" t="n">
        <x:v>0</x:v>
      </x:c>
      <x:c r="K415" s="8" t="n">
        <x:v>0</x:v>
      </x:c>
      <x:c r="L415" s="8" t="n">
        <x:v>0</x:v>
      </x:c>
      <x:c r="M415" s="21" t="n">
        <x:f>E415+K415-I415-J415-L415</x:f>
        <x:v>900</x:v>
      </x:c>
    </x:row>
    <x:row r="416" ht="36" customHeight="1">
      <x:c r="A416" s="8" t="str">
        <x:v>Liquidity-first</x:v>
      </x:c>
      <x:c r="B416" s="8" t="str">
        <x:v>Moderate spread</x:v>
      </x:c>
      <x:c r="C416" s="8" t="str">
        <x:v>Atlas finance lease</x:v>
      </x:c>
      <x:c r="D416" s="22" t="n">
        <x:v>3</x:v>
      </x:c>
      <x:c r="E416" s="8" t="n">
        <x:v>48</x:v>
      </x:c>
      <x:c r="F416" s="23" t="n">
        <x:v>0.05</x:v>
      </x:c>
      <x:c r="G416" s="8" t="n">
        <x:v>2.4000000000000004</x:v>
      </x:c>
      <x:c r="H416" s="8" t="n">
        <x:v>16</x:v>
      </x:c>
      <x:c r="I416" s="8" t="n">
        <x:v>16</x:v>
      </x:c>
      <x:c r="J416" s="8" t="n">
        <x:v>0</x:v>
      </x:c>
      <x:c r="K416" s="8" t="n">
        <x:v>0</x:v>
      </x:c>
      <x:c r="L416" s="8" t="n">
        <x:v>0</x:v>
      </x:c>
      <x:c r="M416" s="21" t="n">
        <x:f>E416+K416-I416-J416-L416</x:f>
        <x:v>32</x:v>
      </x:c>
    </x:row>
    <x:row r="417" ht="36" customHeight="1">
      <x:c r="A417" s="8" t="str">
        <x:v>Liquidity-first</x:v>
      </x:c>
      <x:c r="B417" s="8" t="str">
        <x:v>Moderate spread</x:v>
      </x:c>
      <x:c r="C417" s="8" t="str">
        <x:v>Beacon notes</x:v>
      </x:c>
      <x:c r="D417" s="22" t="n">
        <x:v>3</x:v>
      </x:c>
      <x:c r="E417" s="8" t="n">
        <x:v>350</x:v>
      </x:c>
      <x:c r="F417" s="23" t="n">
        <x:v>0.0475</x:v>
      </x:c>
      <x:c r="G417" s="8" t="n">
        <x:v>16.625</x:v>
      </x:c>
      <x:c r="H417" s="8" t="n">
        <x:v>350</x:v>
      </x:c>
      <x:c r="I417" s="8" t="n">
        <x:v>350</x:v>
      </x:c>
      <x:c r="J417" s="8" t="n">
        <x:v>0</x:v>
      </x:c>
      <x:c r="K417" s="8" t="n">
        <x:v>0</x:v>
      </x:c>
      <x:c r="L417" s="8" t="n">
        <x:v>0</x:v>
      </x:c>
      <x:c r="M417" s="21" t="n">
        <x:f>E417+K417-I417-J417-L417</x:f>
        <x:v>0</x:v>
      </x:c>
    </x:row>
    <x:row r="418" ht="36" customHeight="1">
      <x:c r="A418" s="8" t="str">
        <x:v>Liquidity-first</x:v>
      </x:c>
      <x:c r="B418" s="8" t="str">
        <x:v>Moderate spread</x:v>
      </x:c>
      <x:c r="C418" s="8" t="str">
        <x:v>Acquisition term</x:v>
      </x:c>
      <x:c r="D418" s="22" t="n">
        <x:v>3</x:v>
      </x:c>
      <x:c r="E418" s="8" t="n">
        <x:v>762.4441363449953</x:v>
      </x:c>
      <x:c r="F418" s="23" t="n">
        <x:v>0.07</x:v>
      </x:c>
      <x:c r="G418" s="8" t="n">
        <x:v>53.371089544149676</x:v>
      </x:c>
      <x:c r="H418" s="8" t="n">
        <x:v>44.46700507614213</x:v>
      </x:c>
      <x:c r="I418" s="8" t="n">
        <x:v>44.46700507614213</x:v>
      </x:c>
      <x:c r="J418" s="8" t="n">
        <x:v>88.64872084365584</x:v>
      </x:c>
      <x:c r="K418" s="8" t="n">
        <x:v>0</x:v>
      </x:c>
      <x:c r="L418" s="8" t="n">
        <x:v>0</x:v>
      </x:c>
      <x:c r="M418" s="21" t="n">
        <x:f>E418+K418-I418-J418-L418</x:f>
        <x:v>629.3284104251973</x:v>
      </x:c>
    </x:row>
    <x:row r="419" ht="36" customHeight="1">
      <x:c r="A419" s="8" t="str">
        <x:v>Liquidity-first</x:v>
      </x:c>
      <x:c r="B419" s="8" t="str">
        <x:v>Moderate spread</x:v>
      </x:c>
      <x:c r="C419" s="8" t="str">
        <x:v>Committed revolver</x:v>
      </x:c>
      <x:c r="D419" s="22" t="n">
        <x:v>3</x:v>
      </x:c>
      <x:c r="E419" s="8" t="n">
        <x:v>0</x:v>
      </x:c>
      <x:c r="F419" s="23" t="n">
        <x:v>0.0575</x:v>
      </x:c>
      <x:c r="G419" s="8" t="n">
        <x:v>0</x:v>
      </x:c>
      <x:c r="H419" s="8" t="n">
        <x:v>0</x:v>
      </x:c>
      <x:c r="I419" s="8" t="n">
        <x:v>0</x:v>
      </x:c>
      <x:c r="J419" s="8" t="n">
        <x:v>0</x:v>
      </x:c>
      <x:c r="K419" s="8" t="n">
        <x:v>0</x:v>
      </x:c>
      <x:c r="L419" s="8" t="n">
        <x:v>0</x:v>
      </x:c>
      <x:c r="M419" s="21" t="n">
        <x:f>E419+K419-I419-J419-L419</x:f>
        <x:v>0</x:v>
      </x:c>
    </x:row>
    <x:row r="420" ht="36" customHeight="1">
      <x:c r="A420" s="8" t="str">
        <x:v>Liquidity-first</x:v>
      </x:c>
      <x:c r="B420" s="8" t="str">
        <x:v>Moderate spread</x:v>
      </x:c>
      <x:c r="C420" s="8" t="str">
        <x:v>Atlas notes</x:v>
      </x:c>
      <x:c r="D420" s="22" t="n">
        <x:v>4</x:v>
      </x:c>
      <x:c r="E420" s="8" t="n">
        <x:v>900</x:v>
      </x:c>
      <x:c r="F420" s="23" t="n">
        <x:v>0.038</x:v>
      </x:c>
      <x:c r="G420" s="8" t="n">
        <x:v>34.199999999999996</x:v>
      </x:c>
      <x:c r="H420" s="8" t="n">
        <x:v>900</x:v>
      </x:c>
      <x:c r="I420" s="8" t="n">
        <x:v>900</x:v>
      </x:c>
      <x:c r="J420" s="8" t="n">
        <x:v>0</x:v>
      </x:c>
      <x:c r="K420" s="8" t="n">
        <x:v>0</x:v>
      </x:c>
      <x:c r="L420" s="8" t="n">
        <x:v>0</x:v>
      </x:c>
      <x:c r="M420" s="21" t="n">
        <x:f>E420+K420-I420-J420-L420</x:f>
        <x:v>0</x:v>
      </x:c>
    </x:row>
    <x:row r="421" ht="36" customHeight="1">
      <x:c r="A421" s="8" t="str">
        <x:v>Liquidity-first</x:v>
      </x:c>
      <x:c r="B421" s="8" t="str">
        <x:v>Moderate spread</x:v>
      </x:c>
      <x:c r="C421" s="8" t="str">
        <x:v>Atlas finance lease</x:v>
      </x:c>
      <x:c r="D421" s="22" t="n">
        <x:v>4</x:v>
      </x:c>
      <x:c r="E421" s="8" t="n">
        <x:v>32</x:v>
      </x:c>
      <x:c r="F421" s="23" t="n">
        <x:v>0.05</x:v>
      </x:c>
      <x:c r="G421" s="8" t="n">
        <x:v>1.6</x:v>
      </x:c>
      <x:c r="H421" s="8" t="n">
        <x:v>16</x:v>
      </x:c>
      <x:c r="I421" s="8" t="n">
        <x:v>16</x:v>
      </x:c>
      <x:c r="J421" s="8" t="n">
        <x:v>0</x:v>
      </x:c>
      <x:c r="K421" s="8" t="n">
        <x:v>0</x:v>
      </x:c>
      <x:c r="L421" s="8" t="n">
        <x:v>0</x:v>
      </x:c>
      <x:c r="M421" s="21" t="n">
        <x:f>E421+K421-I421-J421-L421</x:f>
        <x:v>16</x:v>
      </x:c>
    </x:row>
    <x:row r="422" ht="36" customHeight="1">
      <x:c r="A422" s="8" t="str">
        <x:v>Liquidity-first</x:v>
      </x:c>
      <x:c r="B422" s="8" t="str">
        <x:v>Moderate spread</x:v>
      </x:c>
      <x:c r="C422" s="8" t="str">
        <x:v>Beacon notes</x:v>
      </x:c>
      <x:c r="D422" s="22" t="n">
        <x:v>4</x:v>
      </x:c>
      <x:c r="E422" s="8" t="n">
        <x:v>0</x:v>
      </x:c>
      <x:c r="F422" s="23" t="n">
        <x:v>0.0475</x:v>
      </x:c>
      <x:c r="G422" s="8" t="n">
        <x:v>0</x:v>
      </x:c>
      <x:c r="H422" s="8" t="n">
        <x:v>0</x:v>
      </x:c>
      <x:c r="I422" s="8" t="n">
        <x:v>0</x:v>
      </x:c>
      <x:c r="J422" s="8" t="n">
        <x:v>0</x:v>
      </x:c>
      <x:c r="K422" s="8" t="n">
        <x:v>0</x:v>
      </x:c>
      <x:c r="L422" s="8" t="n">
        <x:v>0</x:v>
      </x:c>
      <x:c r="M422" s="21" t="n">
        <x:f>E422+K422-I422-J422-L422</x:f>
        <x:v>0</x:v>
      </x:c>
    </x:row>
    <x:row r="423" ht="36" customHeight="1">
      <x:c r="A423" s="8" t="str">
        <x:v>Liquidity-first</x:v>
      </x:c>
      <x:c r="B423" s="8" t="str">
        <x:v>Moderate spread</x:v>
      </x:c>
      <x:c r="C423" s="8" t="str">
        <x:v>Acquisition term</x:v>
      </x:c>
      <x:c r="D423" s="22" t="n">
        <x:v>4</x:v>
      </x:c>
      <x:c r="E423" s="8" t="n">
        <x:v>629.3284104251973</x:v>
      </x:c>
      <x:c r="F423" s="23" t="n">
        <x:v>0.07</x:v>
      </x:c>
      <x:c r="G423" s="8" t="n">
        <x:v>44.05298872976381</x:v>
      </x:c>
      <x:c r="H423" s="8" t="n">
        <x:v>44.46700507614213</x:v>
      </x:c>
      <x:c r="I423" s="8" t="n">
        <x:v>44.46700507614213</x:v>
      </x:c>
      <x:c r="J423" s="8" t="n">
        <x:v>0</x:v>
      </x:c>
      <x:c r="K423" s="8" t="n">
        <x:v>0</x:v>
      </x:c>
      <x:c r="L423" s="8" t="n">
        <x:v>0</x:v>
      </x:c>
      <x:c r="M423" s="21" t="n">
        <x:f>E423+K423-I423-J423-L423</x:f>
        <x:v>584.8614053490551</x:v>
      </x:c>
    </x:row>
    <x:row r="424" ht="36" customHeight="1">
      <x:c r="A424" s="8" t="str">
        <x:v>Liquidity-first</x:v>
      </x:c>
      <x:c r="B424" s="8" t="str">
        <x:v>Moderate spread</x:v>
      </x:c>
      <x:c r="C424" s="8" t="str">
        <x:v>Committed revolver</x:v>
      </x:c>
      <x:c r="D424" s="22" t="n">
        <x:v>4</x:v>
      </x:c>
      <x:c r="E424" s="8" t="n">
        <x:v>0</x:v>
      </x:c>
      <x:c r="F424" s="23" t="n">
        <x:v>0.0575</x:v>
      </x:c>
      <x:c r="G424" s="8" t="n">
        <x:v>0</x:v>
      </x:c>
      <x:c r="H424" s="8" t="n">
        <x:v>0</x:v>
      </x:c>
      <x:c r="I424" s="8" t="n">
        <x:v>0</x:v>
      </x:c>
      <x:c r="J424" s="8" t="n">
        <x:v>0</x:v>
      </x:c>
      <x:c r="K424" s="8" t="n">
        <x:v>394.459874118608</x:v>
      </x:c>
      <x:c r="L424" s="8" t="n">
        <x:v>0</x:v>
      </x:c>
      <x:c r="M424" s="21" t="n">
        <x:f>E424+K424-I424-J424-L424</x:f>
        <x:v>394.459874118608</x:v>
      </x:c>
    </x:row>
    <x:row r="425" ht="36" customHeight="1">
      <x:c r="A425" s="8" t="str">
        <x:v>Liquidity-first</x:v>
      </x:c>
      <x:c r="B425" s="8" t="str">
        <x:v>Moderate spread</x:v>
      </x:c>
      <x:c r="C425" s="8" t="str">
        <x:v>Atlas notes</x:v>
      </x:c>
      <x:c r="D425" s="22" t="n">
        <x:v>5</x:v>
      </x:c>
      <x:c r="E425" s="8" t="n">
        <x:v>0</x:v>
      </x:c>
      <x:c r="F425" s="23" t="n">
        <x:v>0.038</x:v>
      </x:c>
      <x:c r="G425" s="8" t="n">
        <x:v>0</x:v>
      </x:c>
      <x:c r="H425" s="8" t="n">
        <x:v>0</x:v>
      </x:c>
      <x:c r="I425" s="8" t="n">
        <x:v>0</x:v>
      </x:c>
      <x:c r="J425" s="8" t="n">
        <x:v>0</x:v>
      </x:c>
      <x:c r="K425" s="8" t="n">
        <x:v>0</x:v>
      </x:c>
      <x:c r="L425" s="8" t="n">
        <x:v>0</x:v>
      </x:c>
      <x:c r="M425" s="21" t="n">
        <x:f>E425+K425-I425-J425-L425</x:f>
        <x:v>0</x:v>
      </x:c>
    </x:row>
    <x:row r="426" ht="36" customHeight="1">
      <x:c r="A426" s="8" t="str">
        <x:v>Liquidity-first</x:v>
      </x:c>
      <x:c r="B426" s="8" t="str">
        <x:v>Moderate spread</x:v>
      </x:c>
      <x:c r="C426" s="8" t="str">
        <x:v>Atlas finance lease</x:v>
      </x:c>
      <x:c r="D426" s="22" t="n">
        <x:v>5</x:v>
      </x:c>
      <x:c r="E426" s="8" t="n">
        <x:v>16</x:v>
      </x:c>
      <x:c r="F426" s="23" t="n">
        <x:v>0.05</x:v>
      </x:c>
      <x:c r="G426" s="8" t="n">
        <x:v>0.8</x:v>
      </x:c>
      <x:c r="H426" s="8" t="n">
        <x:v>16</x:v>
      </x:c>
      <x:c r="I426" s="8" t="n">
        <x:v>16</x:v>
      </x:c>
      <x:c r="J426" s="8" t="n">
        <x:v>0</x:v>
      </x:c>
      <x:c r="K426" s="8" t="n">
        <x:v>0</x:v>
      </x:c>
      <x:c r="L426" s="8" t="n">
        <x:v>0</x:v>
      </x:c>
      <x:c r="M426" s="21" t="n">
        <x:f>E426+K426-I426-J426-L426</x:f>
        <x:v>0</x:v>
      </x:c>
    </x:row>
    <x:row r="427" ht="36" customHeight="1">
      <x:c r="A427" s="8" t="str">
        <x:v>Liquidity-first</x:v>
      </x:c>
      <x:c r="B427" s="8" t="str">
        <x:v>Moderate spread</x:v>
      </x:c>
      <x:c r="C427" s="8" t="str">
        <x:v>Beacon notes</x:v>
      </x:c>
      <x:c r="D427" s="22" t="n">
        <x:v>5</x:v>
      </x:c>
      <x:c r="E427" s="8" t="n">
        <x:v>0</x:v>
      </x:c>
      <x:c r="F427" s="23" t="n">
        <x:v>0.0475</x:v>
      </x:c>
      <x:c r="G427" s="8" t="n">
        <x:v>0</x:v>
      </x:c>
      <x:c r="H427" s="8" t="n">
        <x:v>0</x:v>
      </x:c>
      <x:c r="I427" s="8" t="n">
        <x:v>0</x:v>
      </x:c>
      <x:c r="J427" s="8" t="n">
        <x:v>0</x:v>
      </x:c>
      <x:c r="K427" s="8" t="n">
        <x:v>0</x:v>
      </x:c>
      <x:c r="L427" s="8" t="n">
        <x:v>0</x:v>
      </x:c>
      <x:c r="M427" s="21" t="n">
        <x:f>E427+K427-I427-J427-L427</x:f>
        <x:v>0</x:v>
      </x:c>
    </x:row>
    <x:row r="428" ht="36" customHeight="1">
      <x:c r="A428" s="8" t="str">
        <x:v>Liquidity-first</x:v>
      </x:c>
      <x:c r="B428" s="8" t="str">
        <x:v>Moderate spread</x:v>
      </x:c>
      <x:c r="C428" s="8" t="str">
        <x:v>Acquisition term</x:v>
      </x:c>
      <x:c r="D428" s="22" t="n">
        <x:v>5</x:v>
      </x:c>
      <x:c r="E428" s="8" t="n">
        <x:v>584.8614053490551</x:v>
      </x:c>
      <x:c r="F428" s="23" t="n">
        <x:v>0.07</x:v>
      </x:c>
      <x:c r="G428" s="8" t="n">
        <x:v>40.94029837443386</x:v>
      </x:c>
      <x:c r="H428" s="8" t="n">
        <x:v>584.8614053490551</x:v>
      </x:c>
      <x:c r="I428" s="8" t="n">
        <x:v>584.8614053490551</x:v>
      </x:c>
      <x:c r="J428" s="8" t="n">
        <x:v>0</x:v>
      </x:c>
      <x:c r="K428" s="8" t="n">
        <x:v>0</x:v>
      </x:c>
      <x:c r="L428" s="8" t="n">
        <x:v>0</x:v>
      </x:c>
      <x:c r="M428" s="21" t="n">
        <x:f>E428+K428-I428-J428-L428</x:f>
        <x:v>0</x:v>
      </x:c>
    </x:row>
    <x:row r="429" ht="36" customHeight="1">
      <x:c r="A429" s="8" t="str">
        <x:v>Liquidity-first</x:v>
      </x:c>
      <x:c r="B429" s="8" t="str">
        <x:v>Moderate spread</x:v>
      </x:c>
      <x:c r="C429" s="8" t="str">
        <x:v>Committed revolver</x:v>
      </x:c>
      <x:c r="D429" s="22" t="n">
        <x:v>5</x:v>
      </x:c>
      <x:c r="E429" s="8" t="n">
        <x:v>394.459874118608</x:v>
      </x:c>
      <x:c r="F429" s="23" t="n">
        <x:v>0.0575</x:v>
      </x:c>
      <x:c r="G429" s="8" t="n">
        <x:v>22.681442761819962</x:v>
      </x:c>
      <x:c r="H429" s="8" t="n">
        <x:v>394.459874118608</x:v>
      </x:c>
      <x:c r="I429" s="8" t="n">
        <x:v>394.459874118608</x:v>
      </x:c>
      <x:c r="J429" s="8" t="n">
        <x:v>0</x:v>
      </x:c>
      <x:c r="K429" s="8" t="n">
        <x:v>0</x:v>
      </x:c>
      <x:c r="L429" s="8" t="n">
        <x:v>0</x:v>
      </x:c>
      <x:c r="M429" s="21" t="n">
        <x:f>E429+K429-I429-J429-L429</x:f>
        <x:v>0</x:v>
      </x:c>
    </x:row>
    <x:row r="430" ht="36" customHeight="1">
      <x:c r="A430" s="8" t="str">
        <x:v>Mixed consideration</x:v>
      </x:c>
      <x:c r="B430" s="8" t="str">
        <x:v>Moderate spread</x:v>
      </x:c>
      <x:c r="C430" s="8" t="str">
        <x:v>Atlas notes</x:v>
      </x:c>
      <x:c r="D430" s="22" t="n">
        <x:v>1</x:v>
      </x:c>
      <x:c r="E430" s="8" t="n">
        <x:v>900</x:v>
      </x:c>
      <x:c r="F430" s="23" t="n">
        <x:v>0.038</x:v>
      </x:c>
      <x:c r="G430" s="8" t="n">
        <x:v>34.199999999999996</x:v>
      </x:c>
      <x:c r="H430" s="8" t="n">
        <x:v>0</x:v>
      </x:c>
      <x:c r="I430" s="8" t="n">
        <x:v>0</x:v>
      </x:c>
      <x:c r="J430" s="8" t="n">
        <x:v>0</x:v>
      </x:c>
      <x:c r="K430" s="8" t="n">
        <x:v>0</x:v>
      </x:c>
      <x:c r="L430" s="8" t="n">
        <x:v>0</x:v>
      </x:c>
      <x:c r="M430" s="21" t="n">
        <x:f>E430+K430-I430-J430-L430</x:f>
        <x:v>900</x:v>
      </x:c>
    </x:row>
    <x:row r="431" ht="36" customHeight="1">
      <x:c r="A431" s="8" t="str">
        <x:v>Mixed consideration</x:v>
      </x:c>
      <x:c r="B431" s="8" t="str">
        <x:v>Moderate spread</x:v>
      </x:c>
      <x:c r="C431" s="8" t="str">
        <x:v>Atlas finance lease</x:v>
      </x:c>
      <x:c r="D431" s="22" t="n">
        <x:v>1</x:v>
      </x:c>
      <x:c r="E431" s="8" t="n">
        <x:v>80</x:v>
      </x:c>
      <x:c r="F431" s="23" t="n">
        <x:v>0.05</x:v>
      </x:c>
      <x:c r="G431" s="8" t="n">
        <x:v>4</x:v>
      </x:c>
      <x:c r="H431" s="8" t="n">
        <x:v>16</x:v>
      </x:c>
      <x:c r="I431" s="8" t="n">
        <x:v>16</x:v>
      </x:c>
      <x:c r="J431" s="8" t="n">
        <x:v>29.0449547145534</x:v>
      </x:c>
      <x:c r="K431" s="8" t="n">
        <x:v>0</x:v>
      </x:c>
      <x:c r="L431" s="8" t="n">
        <x:v>0</x:v>
      </x:c>
      <x:c r="M431" s="21" t="n">
        <x:f>E431+K431-I431-J431-L431</x:f>
        <x:v>34.9550452854466</x:v>
      </x:c>
    </x:row>
    <x:row r="432" ht="36" customHeight="1">
      <x:c r="A432" s="8" t="str">
        <x:v>Mixed consideration</x:v>
      </x:c>
      <x:c r="B432" s="8" t="str">
        <x:v>Moderate spread</x:v>
      </x:c>
      <x:c r="C432" s="8" t="str">
        <x:v>Beacon notes</x:v>
      </x:c>
      <x:c r="D432" s="22" t="n">
        <x:v>1</x:v>
      </x:c>
      <x:c r="E432" s="8" t="n">
        <x:v>350</x:v>
      </x:c>
      <x:c r="F432" s="23" t="n">
        <x:v>0.0475</x:v>
      </x:c>
      <x:c r="G432" s="8" t="n">
        <x:v>16.625</x:v>
      </x:c>
      <x:c r="H432" s="8" t="n">
        <x:v>0</x:v>
      </x:c>
      <x:c r="I432" s="8" t="n">
        <x:v>0</x:v>
      </x:c>
      <x:c r="J432" s="8" t="n">
        <x:v>0</x:v>
      </x:c>
      <x:c r="K432" s="8" t="n">
        <x:v>0</x:v>
      </x:c>
      <x:c r="L432" s="8" t="n">
        <x:v>0</x:v>
      </x:c>
      <x:c r="M432" s="21" t="n">
        <x:f>E432+K432-I432-J432-L432</x:f>
        <x:v>350</x:v>
      </x:c>
    </x:row>
    <x:row r="433" ht="36" customHeight="1">
      <x:c r="A433" s="8" t="str">
        <x:v>Mixed consideration</x:v>
      </x:c>
      <x:c r="B433" s="8" t="str">
        <x:v>Moderate spread</x:v>
      </x:c>
      <x:c r="C433" s="8" t="str">
        <x:v>Acquisition term</x:v>
      </x:c>
      <x:c r="D433" s="22" t="n">
        <x:v>1</x:v>
      </x:c>
      <x:c r="E433" s="8" t="n">
        <x:v>304.56852791878174</x:v>
      </x:c>
      <x:c r="F433" s="23" t="n">
        <x:v>0.075</x:v>
      </x:c>
      <x:c r="G433" s="8" t="n">
        <x:v>22.84263959390863</x:v>
      </x:c>
      <x:c r="H433" s="8" t="n">
        <x:v>6.091370558375635</x:v>
      </x:c>
      <x:c r="I433" s="8" t="n">
        <x:v>6.091370558375635</x:v>
      </x:c>
      <x:c r="J433" s="8" t="n">
        <x:v>298.4771573604061</x:v>
      </x:c>
      <x:c r="K433" s="8" t="n">
        <x:v>0</x:v>
      </x:c>
      <x:c r="L433" s="8" t="n">
        <x:v>0</x:v>
      </x:c>
      <x:c r="M433" s="21" t="n">
        <x:f>E433+K433-I433-J433-L433</x:f>
        <x:v>0</x:v>
      </x:c>
    </x:row>
    <x:row r="434" ht="36" customHeight="1">
      <x:c r="A434" s="8" t="str">
        <x:v>Mixed consideration</x:v>
      </x:c>
      <x:c r="B434" s="8" t="str">
        <x:v>Moderate spread</x:v>
      </x:c>
      <x:c r="C434" s="8" t="str">
        <x:v>Committed revolver</x:v>
      </x:c>
      <x:c r="D434" s="22" t="n">
        <x:v>1</x:v>
      </x:c>
      <x:c r="E434" s="8" t="n">
        <x:v>0</x:v>
      </x:c>
      <x:c r="F434" s="23" t="n">
        <x:v>0.0625</x:v>
      </x:c>
      <x:c r="G434" s="8" t="n">
        <x:v>0</x:v>
      </x:c>
      <x:c r="H434" s="8" t="n">
        <x:v>0</x:v>
      </x:c>
      <x:c r="I434" s="8" t="n">
        <x:v>0</x:v>
      </x:c>
      <x:c r="J434" s="8" t="n">
        <x:v>0</x:v>
      </x:c>
      <x:c r="K434" s="8" t="n">
        <x:v>0</x:v>
      </x:c>
      <x:c r="L434" s="8" t="n">
        <x:v>0</x:v>
      </x:c>
      <x:c r="M434" s="21" t="n">
        <x:f>E434+K434-I434-J434-L434</x:f>
        <x:v>0</x:v>
      </x:c>
    </x:row>
    <x:row r="435" ht="36" customHeight="1">
      <x:c r="A435" s="8" t="str">
        <x:v>Mixed consideration</x:v>
      </x:c>
      <x:c r="B435" s="8" t="str">
        <x:v>Moderate spread</x:v>
      </x:c>
      <x:c r="C435" s="8" t="str">
        <x:v>Atlas notes</x:v>
      </x:c>
      <x:c r="D435" s="22" t="n">
        <x:v>2</x:v>
      </x:c>
      <x:c r="E435" s="8" t="n">
        <x:v>900</x:v>
      </x:c>
      <x:c r="F435" s="23" t="n">
        <x:v>0.038</x:v>
      </x:c>
      <x:c r="G435" s="8" t="n">
        <x:v>34.199999999999996</x:v>
      </x:c>
      <x:c r="H435" s="8" t="n">
        <x:v>0</x:v>
      </x:c>
      <x:c r="I435" s="8" t="n">
        <x:v>0</x:v>
      </x:c>
      <x:c r="J435" s="8" t="n">
        <x:v>58.67520815333347</x:v>
      </x:c>
      <x:c r="K435" s="8" t="n">
        <x:v>0</x:v>
      </x:c>
      <x:c r="L435" s="8" t="n">
        <x:v>0</x:v>
      </x:c>
      <x:c r="M435" s="21" t="n">
        <x:f>E435+K435-I435-J435-L435</x:f>
        <x:v>841.3247918466666</x:v>
      </x:c>
    </x:row>
    <x:row r="436" ht="36" customHeight="1">
      <x:c r="A436" s="8" t="str">
        <x:v>Mixed consideration</x:v>
      </x:c>
      <x:c r="B436" s="8" t="str">
        <x:v>Moderate spread</x:v>
      </x:c>
      <x:c r="C436" s="8" t="str">
        <x:v>Atlas finance lease</x:v>
      </x:c>
      <x:c r="D436" s="22" t="n">
        <x:v>2</x:v>
      </x:c>
      <x:c r="E436" s="8" t="n">
        <x:v>34.9550452854466</x:v>
      </x:c>
      <x:c r="F436" s="23" t="n">
        <x:v>0.05</x:v>
      </x:c>
      <x:c r="G436" s="8" t="n">
        <x:v>1.7477522642723302</x:v>
      </x:c>
      <x:c r="H436" s="8" t="n">
        <x:v>16</x:v>
      </x:c>
      <x:c r="I436" s="8" t="n">
        <x:v>16</x:v>
      </x:c>
      <x:c r="J436" s="8" t="n">
        <x:v>18.9550452854466</x:v>
      </x:c>
      <x:c r="K436" s="8" t="n">
        <x:v>0</x:v>
      </x:c>
      <x:c r="L436" s="8" t="n">
        <x:v>0</x:v>
      </x:c>
      <x:c r="M436" s="21" t="n">
        <x:f>E436+K436-I436-J436-L436</x:f>
        <x:v>0</x:v>
      </x:c>
    </x:row>
    <x:row r="437" ht="36" customHeight="1">
      <x:c r="A437" s="8" t="str">
        <x:v>Mixed consideration</x:v>
      </x:c>
      <x:c r="B437" s="8" t="str">
        <x:v>Moderate spread</x:v>
      </x:c>
      <x:c r="C437" s="8" t="str">
        <x:v>Beacon notes</x:v>
      </x:c>
      <x:c r="D437" s="22" t="n">
        <x:v>2</x:v>
      </x:c>
      <x:c r="E437" s="8" t="n">
        <x:v>350</x:v>
      </x:c>
      <x:c r="F437" s="23" t="n">
        <x:v>0.0475</x:v>
      </x:c>
      <x:c r="G437" s="8" t="n">
        <x:v>16.625</x:v>
      </x:c>
      <x:c r="H437" s="8" t="n">
        <x:v>0</x:v>
      </x:c>
      <x:c r="I437" s="8" t="n">
        <x:v>0</x:v>
      </x:c>
      <x:c r="J437" s="8" t="n">
        <x:v>350</x:v>
      </x:c>
      <x:c r="K437" s="8" t="n">
        <x:v>0</x:v>
      </x:c>
      <x:c r="L437" s="8" t="n">
        <x:v>0</x:v>
      </x:c>
      <x:c r="M437" s="21" t="n">
        <x:f>E437+K437-I437-J437-L437</x:f>
        <x:v>0</x:v>
      </x:c>
    </x:row>
    <x:row r="438" ht="36" customHeight="1">
      <x:c r="A438" s="8" t="str">
        <x:v>Mixed consideration</x:v>
      </x:c>
      <x:c r="B438" s="8" t="str">
        <x:v>Moderate spread</x:v>
      </x:c>
      <x:c r="C438" s="8" t="str">
        <x:v>Acquisition term</x:v>
      </x:c>
      <x:c r="D438" s="22" t="n">
        <x:v>2</x:v>
      </x:c>
      <x:c r="E438" s="8" t="n">
        <x:v>0</x:v>
      </x:c>
      <x:c r="F438" s="23" t="n">
        <x:v>0.0725</x:v>
      </x:c>
      <x:c r="G438" s="8" t="n">
        <x:v>0</x:v>
      </x:c>
      <x:c r="H438" s="8" t="n">
        <x:v>0</x:v>
      </x:c>
      <x:c r="I438" s="8" t="n">
        <x:v>0</x:v>
      </x:c>
      <x:c r="J438" s="8" t="n">
        <x:v>0</x:v>
      </x:c>
      <x:c r="K438" s="8" t="n">
        <x:v>0</x:v>
      </x:c>
      <x:c r="L438" s="8" t="n">
        <x:v>0</x:v>
      </x:c>
      <x:c r="M438" s="21" t="n">
        <x:f>E438+K438-I438-J438-L438</x:f>
        <x:v>0</x:v>
      </x:c>
    </x:row>
    <x:row r="439" ht="36" customHeight="1">
      <x:c r="A439" s="8" t="str">
        <x:v>Mixed consideration</x:v>
      </x:c>
      <x:c r="B439" s="8" t="str">
        <x:v>Moderate spread</x:v>
      </x:c>
      <x:c r="C439" s="8" t="str">
        <x:v>Committed revolver</x:v>
      </x:c>
      <x:c r="D439" s="22" t="n">
        <x:v>2</x:v>
      </x:c>
      <x:c r="E439" s="8" t="n">
        <x:v>0</x:v>
      </x:c>
      <x:c r="F439" s="23" t="n">
        <x:v>0.06</x:v>
      </x:c>
      <x:c r="G439" s="8" t="n">
        <x:v>0</x:v>
      </x:c>
      <x:c r="H439" s="8" t="n">
        <x:v>0</x:v>
      </x:c>
      <x:c r="I439" s="8" t="n">
        <x:v>0</x:v>
      </x:c>
      <x:c r="J439" s="8" t="n">
        <x:v>0</x:v>
      </x:c>
      <x:c r="K439" s="8" t="n">
        <x:v>0</x:v>
      </x:c>
      <x:c r="L439" s="8" t="n">
        <x:v>0</x:v>
      </x:c>
      <x:c r="M439" s="21" t="n">
        <x:f>E439+K439-I439-J439-L439</x:f>
        <x:v>0</x:v>
      </x:c>
    </x:row>
    <x:row r="440" ht="36" customHeight="1">
      <x:c r="A440" s="8" t="str">
        <x:v>Mixed consideration</x:v>
      </x:c>
      <x:c r="B440" s="8" t="str">
        <x:v>Moderate spread</x:v>
      </x:c>
      <x:c r="C440" s="8" t="str">
        <x:v>Atlas notes</x:v>
      </x:c>
      <x:c r="D440" s="22" t="n">
        <x:v>3</x:v>
      </x:c>
      <x:c r="E440" s="8" t="n">
        <x:v>841.3247918466666</x:v>
      </x:c>
      <x:c r="F440" s="23" t="n">
        <x:v>0.038</x:v>
      </x:c>
      <x:c r="G440" s="8" t="n">
        <x:v>31.97034209017333</x:v>
      </x:c>
      <x:c r="H440" s="8" t="n">
        <x:v>0</x:v>
      </x:c>
      <x:c r="I440" s="8" t="n">
        <x:v>0</x:v>
      </x:c>
      <x:c r="J440" s="8" t="n">
        <x:v>555.0850365102801</x:v>
      </x:c>
      <x:c r="K440" s="8" t="n">
        <x:v>0</x:v>
      </x:c>
      <x:c r="L440" s="8" t="n">
        <x:v>0</x:v>
      </x:c>
      <x:c r="M440" s="21" t="n">
        <x:f>E440+K440-I440-J440-L440</x:f>
        <x:v>286.23975533638645</x:v>
      </x:c>
    </x:row>
    <x:row r="441" ht="36" customHeight="1">
      <x:c r="A441" s="8" t="str">
        <x:v>Mixed consideration</x:v>
      </x:c>
      <x:c r="B441" s="8" t="str">
        <x:v>Moderate spread</x:v>
      </x:c>
      <x:c r="C441" s="8" t="str">
        <x:v>Atlas finance lease</x:v>
      </x:c>
      <x:c r="D441" s="22" t="n">
        <x:v>3</x:v>
      </x:c>
      <x:c r="E441" s="8" t="n">
        <x:v>0</x:v>
      </x:c>
      <x:c r="F441" s="23" t="n">
        <x:v>0.05</x:v>
      </x:c>
      <x:c r="G441" s="8" t="n">
        <x:v>0</x:v>
      </x:c>
      <x:c r="H441" s="8" t="n">
        <x:v>0</x:v>
      </x:c>
      <x:c r="I441" s="8" t="n">
        <x:v>0</x:v>
      </x:c>
      <x:c r="J441" s="8" t="n">
        <x:v>0</x:v>
      </x:c>
      <x:c r="K441" s="8" t="n">
        <x:v>0</x:v>
      </x:c>
      <x:c r="L441" s="8" t="n">
        <x:v>0</x:v>
      </x:c>
      <x:c r="M441" s="21" t="n">
        <x:f>E441+K441-I441-J441-L441</x:f>
        <x:v>0</x:v>
      </x:c>
    </x:row>
    <x:row r="442" ht="36" customHeight="1">
      <x:c r="A442" s="8" t="str">
        <x:v>Mixed consideration</x:v>
      </x:c>
      <x:c r="B442" s="8" t="str">
        <x:v>Moderate spread</x:v>
      </x:c>
      <x:c r="C442" s="8" t="str">
        <x:v>Beacon notes</x:v>
      </x:c>
      <x:c r="D442" s="22" t="n">
        <x:v>3</x:v>
      </x:c>
      <x:c r="E442" s="8" t="n">
        <x:v>0</x:v>
      </x:c>
      <x:c r="F442" s="23" t="n">
        <x:v>0.0475</x:v>
      </x:c>
      <x:c r="G442" s="8" t="n">
        <x:v>0</x:v>
      </x:c>
      <x:c r="H442" s="8" t="n">
        <x:v>0</x:v>
      </x:c>
      <x:c r="I442" s="8" t="n">
        <x:v>0</x:v>
      </x:c>
      <x:c r="J442" s="8" t="n">
        <x:v>0</x:v>
      </x:c>
      <x:c r="K442" s="8" t="n">
        <x:v>0</x:v>
      </x:c>
      <x:c r="L442" s="8" t="n">
        <x:v>0</x:v>
      </x:c>
      <x:c r="M442" s="21" t="n">
        <x:f>E442+K442-I442-J442-L442</x:f>
        <x:v>0</x:v>
      </x:c>
    </x:row>
    <x:row r="443" ht="36" customHeight="1">
      <x:c r="A443" s="8" t="str">
        <x:v>Mixed consideration</x:v>
      </x:c>
      <x:c r="B443" s="8" t="str">
        <x:v>Moderate spread</x:v>
      </x:c>
      <x:c r="C443" s="8" t="str">
        <x:v>Acquisition term</x:v>
      </x:c>
      <x:c r="D443" s="22" t="n">
        <x:v>3</x:v>
      </x:c>
      <x:c r="E443" s="8" t="n">
        <x:v>0</x:v>
      </x:c>
      <x:c r="F443" s="23" t="n">
        <x:v>0.07</x:v>
      </x:c>
      <x:c r="G443" s="8" t="n">
        <x:v>0</x:v>
      </x:c>
      <x:c r="H443" s="8" t="n">
        <x:v>0</x:v>
      </x:c>
      <x:c r="I443" s="8" t="n">
        <x:v>0</x:v>
      </x:c>
      <x:c r="J443" s="8" t="n">
        <x:v>0</x:v>
      </x:c>
      <x:c r="K443" s="8" t="n">
        <x:v>0</x:v>
      </x:c>
      <x:c r="L443" s="8" t="n">
        <x:v>0</x:v>
      </x:c>
      <x:c r="M443" s="21" t="n">
        <x:f>E443+K443-I443-J443-L443</x:f>
        <x:v>0</x:v>
      </x:c>
    </x:row>
    <x:row r="444" ht="36" customHeight="1">
      <x:c r="A444" s="8" t="str">
        <x:v>Mixed consideration</x:v>
      </x:c>
      <x:c r="B444" s="8" t="str">
        <x:v>Moderate spread</x:v>
      </x:c>
      <x:c r="C444" s="8" t="str">
        <x:v>Committed revolver</x:v>
      </x:c>
      <x:c r="D444" s="22" t="n">
        <x:v>3</x:v>
      </x:c>
      <x:c r="E444" s="8" t="n">
        <x:v>0</x:v>
      </x:c>
      <x:c r="F444" s="23" t="n">
        <x:v>0.0575</x:v>
      </x:c>
      <x:c r="G444" s="8" t="n">
        <x:v>0</x:v>
      </x:c>
      <x:c r="H444" s="8" t="n">
        <x:v>0</x:v>
      </x:c>
      <x:c r="I444" s="8" t="n">
        <x:v>0</x:v>
      </x:c>
      <x:c r="J444" s="8" t="n">
        <x:v>0</x:v>
      </x:c>
      <x:c r="K444" s="8" t="n">
        <x:v>0</x:v>
      </x:c>
      <x:c r="L444" s="8" t="n">
        <x:v>0</x:v>
      </x:c>
      <x:c r="M444" s="21" t="n">
        <x:f>E444+K444-I444-J444-L444</x:f>
        <x:v>0</x:v>
      </x:c>
    </x:row>
    <x:row r="445" ht="36" customHeight="1">
      <x:c r="A445" s="8" t="str">
        <x:v>Mixed consideration</x:v>
      </x:c>
      <x:c r="B445" s="8" t="str">
        <x:v>Moderate spread</x:v>
      </x:c>
      <x:c r="C445" s="8" t="str">
        <x:v>Atlas notes</x:v>
      </x:c>
      <x:c r="D445" s="22" t="n">
        <x:v>4</x:v>
      </x:c>
      <x:c r="E445" s="8" t="n">
        <x:v>286.23975533638645</x:v>
      </x:c>
      <x:c r="F445" s="23" t="n">
        <x:v>0.038</x:v>
      </x:c>
      <x:c r="G445" s="8" t="n">
        <x:v>10.877110702782685</x:v>
      </x:c>
      <x:c r="H445" s="8" t="n">
        <x:v>286.23975533638645</x:v>
      </x:c>
      <x:c r="I445" s="8" t="n">
        <x:v>286.23975533638645</x:v>
      </x:c>
      <x:c r="J445" s="8" t="n">
        <x:v>0</x:v>
      </x:c>
      <x:c r="K445" s="8" t="n">
        <x:v>0</x:v>
      </x:c>
      <x:c r="L445" s="8" t="n">
        <x:v>0</x:v>
      </x:c>
      <x:c r="M445" s="21" t="n">
        <x:f>E445+K445-I445-J445-L445</x:f>
        <x:v>0</x:v>
      </x:c>
    </x:row>
    <x:row r="446" ht="36" customHeight="1">
      <x:c r="A446" s="8" t="str">
        <x:v>Mixed consideration</x:v>
      </x:c>
      <x:c r="B446" s="8" t="str">
        <x:v>Moderate spread</x:v>
      </x:c>
      <x:c r="C446" s="8" t="str">
        <x:v>Atlas finance lease</x:v>
      </x:c>
      <x:c r="D446" s="22" t="n">
        <x:v>4</x:v>
      </x:c>
      <x:c r="E446" s="8" t="n">
        <x:v>0</x:v>
      </x:c>
      <x:c r="F446" s="23" t="n">
        <x:v>0.05</x:v>
      </x:c>
      <x:c r="G446" s="8" t="n">
        <x:v>0</x:v>
      </x:c>
      <x:c r="H446" s="8" t="n">
        <x:v>0</x:v>
      </x:c>
      <x:c r="I446" s="8" t="n">
        <x:v>0</x:v>
      </x:c>
      <x:c r="J446" s="8" t="n">
        <x:v>0</x:v>
      </x:c>
      <x:c r="K446" s="8" t="n">
        <x:v>0</x:v>
      </x:c>
      <x:c r="L446" s="8" t="n">
        <x:v>0</x:v>
      </x:c>
      <x:c r="M446" s="21" t="n">
        <x:f>E446+K446-I446-J446-L446</x:f>
        <x:v>0</x:v>
      </x:c>
    </x:row>
    <x:row r="447" ht="36" customHeight="1">
      <x:c r="A447" s="8" t="str">
        <x:v>Mixed consideration</x:v>
      </x:c>
      <x:c r="B447" s="8" t="str">
        <x:v>Moderate spread</x:v>
      </x:c>
      <x:c r="C447" s="8" t="str">
        <x:v>Beacon notes</x:v>
      </x:c>
      <x:c r="D447" s="22" t="n">
        <x:v>4</x:v>
      </x:c>
      <x:c r="E447" s="8" t="n">
        <x:v>0</x:v>
      </x:c>
      <x:c r="F447" s="23" t="n">
        <x:v>0.0475</x:v>
      </x:c>
      <x:c r="G447" s="8" t="n">
        <x:v>0</x:v>
      </x:c>
      <x:c r="H447" s="8" t="n">
        <x:v>0</x:v>
      </x:c>
      <x:c r="I447" s="8" t="n">
        <x:v>0</x:v>
      </x:c>
      <x:c r="J447" s="8" t="n">
        <x:v>0</x:v>
      </x:c>
      <x:c r="K447" s="8" t="n">
        <x:v>0</x:v>
      </x:c>
      <x:c r="L447" s="8" t="n">
        <x:v>0</x:v>
      </x:c>
      <x:c r="M447" s="21" t="n">
        <x:f>E447+K447-I447-J447-L447</x:f>
        <x:v>0</x:v>
      </x:c>
    </x:row>
    <x:row r="448" ht="36" customHeight="1">
      <x:c r="A448" s="8" t="str">
        <x:v>Mixed consideration</x:v>
      </x:c>
      <x:c r="B448" s="8" t="str">
        <x:v>Moderate spread</x:v>
      </x:c>
      <x:c r="C448" s="8" t="str">
        <x:v>Acquisition term</x:v>
      </x:c>
      <x:c r="D448" s="22" t="n">
        <x:v>4</x:v>
      </x:c>
      <x:c r="E448" s="8" t="n">
        <x:v>0</x:v>
      </x:c>
      <x:c r="F448" s="23" t="n">
        <x:v>0.07</x:v>
      </x:c>
      <x:c r="G448" s="8" t="n">
        <x:v>0</x:v>
      </x:c>
      <x:c r="H448" s="8" t="n">
        <x:v>0</x:v>
      </x:c>
      <x:c r="I448" s="8" t="n">
        <x:v>0</x:v>
      </x:c>
      <x:c r="J448" s="8" t="n">
        <x:v>0</x:v>
      </x:c>
      <x:c r="K448" s="8" t="n">
        <x:v>0</x:v>
      </x:c>
      <x:c r="L448" s="8" t="n">
        <x:v>0</x:v>
      </x:c>
      <x:c r="M448" s="21" t="n">
        <x:f>E448+K448-I448-J448-L448</x:f>
        <x:v>0</x:v>
      </x:c>
    </x:row>
    <x:row r="449" ht="36" customHeight="1">
      <x:c r="A449" s="8" t="str">
        <x:v>Mixed consideration</x:v>
      </x:c>
      <x:c r="B449" s="8" t="str">
        <x:v>Moderate spread</x:v>
      </x:c>
      <x:c r="C449" s="8" t="str">
        <x:v>Committed revolver</x:v>
      </x:c>
      <x:c r="D449" s="22" t="n">
        <x:v>4</x:v>
      </x:c>
      <x:c r="E449" s="8" t="n">
        <x:v>0</x:v>
      </x:c>
      <x:c r="F449" s="23" t="n">
        <x:v>0.0575</x:v>
      </x:c>
      <x:c r="G449" s="8" t="n">
        <x:v>0</x:v>
      </x:c>
      <x:c r="H449" s="8" t="n">
        <x:v>0</x:v>
      </x:c>
      <x:c r="I449" s="8" t="n">
        <x:v>0</x:v>
      </x:c>
      <x:c r="J449" s="8" t="n">
        <x:v>0</x:v>
      </x:c>
      <x:c r="K449" s="8" t="n">
        <x:v>0</x:v>
      </x:c>
      <x:c r="L449" s="8" t="n">
        <x:v>0</x:v>
      </x:c>
      <x:c r="M449" s="21" t="n">
        <x:f>E449+K449-I449-J449-L449</x:f>
        <x:v>0</x:v>
      </x:c>
    </x:row>
    <x:row r="450" ht="36" customHeight="1">
      <x:c r="A450" s="8" t="str">
        <x:v>Mixed consideration</x:v>
      </x:c>
      <x:c r="B450" s="8" t="str">
        <x:v>Moderate spread</x:v>
      </x:c>
      <x:c r="C450" s="8" t="str">
        <x:v>Atlas notes</x:v>
      </x:c>
      <x:c r="D450" s="22" t="n">
        <x:v>5</x:v>
      </x:c>
      <x:c r="E450" s="8" t="n">
        <x:v>0</x:v>
      </x:c>
      <x:c r="F450" s="23" t="n">
        <x:v>0.038</x:v>
      </x:c>
      <x:c r="G450" s="8" t="n">
        <x:v>0</x:v>
      </x:c>
      <x:c r="H450" s="8" t="n">
        <x:v>0</x:v>
      </x:c>
      <x:c r="I450" s="8" t="n">
        <x:v>0</x:v>
      </x:c>
      <x:c r="J450" s="8" t="n">
        <x:v>0</x:v>
      </x:c>
      <x:c r="K450" s="8" t="n">
        <x:v>0</x:v>
      </x:c>
      <x:c r="L450" s="8" t="n">
        <x:v>0</x:v>
      </x:c>
      <x:c r="M450" s="21" t="n">
        <x:f>E450+K450-I450-J450-L450</x:f>
        <x:v>0</x:v>
      </x:c>
    </x:row>
    <x:row r="451" ht="36" customHeight="1">
      <x:c r="A451" s="8" t="str">
        <x:v>Mixed consideration</x:v>
      </x:c>
      <x:c r="B451" s="8" t="str">
        <x:v>Moderate spread</x:v>
      </x:c>
      <x:c r="C451" s="8" t="str">
        <x:v>Atlas finance lease</x:v>
      </x:c>
      <x:c r="D451" s="22" t="n">
        <x:v>5</x:v>
      </x:c>
      <x:c r="E451" s="8" t="n">
        <x:v>0</x:v>
      </x:c>
      <x:c r="F451" s="23" t="n">
        <x:v>0.05</x:v>
      </x:c>
      <x:c r="G451" s="8" t="n">
        <x:v>0</x:v>
      </x:c>
      <x:c r="H451" s="8" t="n">
        <x:v>0</x:v>
      </x:c>
      <x:c r="I451" s="8" t="n">
        <x:v>0</x:v>
      </x:c>
      <x:c r="J451" s="8" t="n">
        <x:v>0</x:v>
      </x:c>
      <x:c r="K451" s="8" t="n">
        <x:v>0</x:v>
      </x:c>
      <x:c r="L451" s="8" t="n">
        <x:v>0</x:v>
      </x:c>
      <x:c r="M451" s="21" t="n">
        <x:f>E451+K451-I451-J451-L451</x:f>
        <x:v>0</x:v>
      </x:c>
    </x:row>
    <x:row r="452" ht="36" customHeight="1">
      <x:c r="A452" s="8" t="str">
        <x:v>Mixed consideration</x:v>
      </x:c>
      <x:c r="B452" s="8" t="str">
        <x:v>Moderate spread</x:v>
      </x:c>
      <x:c r="C452" s="8" t="str">
        <x:v>Beacon notes</x:v>
      </x:c>
      <x:c r="D452" s="22" t="n">
        <x:v>5</x:v>
      </x:c>
      <x:c r="E452" s="8" t="n">
        <x:v>0</x:v>
      </x:c>
      <x:c r="F452" s="23" t="n">
        <x:v>0.0475</x:v>
      </x:c>
      <x:c r="G452" s="8" t="n">
        <x:v>0</x:v>
      </x:c>
      <x:c r="H452" s="8" t="n">
        <x:v>0</x:v>
      </x:c>
      <x:c r="I452" s="8" t="n">
        <x:v>0</x:v>
      </x:c>
      <x:c r="J452" s="8" t="n">
        <x:v>0</x:v>
      </x:c>
      <x:c r="K452" s="8" t="n">
        <x:v>0</x:v>
      </x:c>
      <x:c r="L452" s="8" t="n">
        <x:v>0</x:v>
      </x:c>
      <x:c r="M452" s="21" t="n">
        <x:f>E452+K452-I452-J452-L452</x:f>
        <x:v>0</x:v>
      </x:c>
    </x:row>
    <x:row r="453" ht="36" customHeight="1">
      <x:c r="A453" s="8" t="str">
        <x:v>Mixed consideration</x:v>
      </x:c>
      <x:c r="B453" s="8" t="str">
        <x:v>Moderate spread</x:v>
      </x:c>
      <x:c r="C453" s="8" t="str">
        <x:v>Acquisition term</x:v>
      </x:c>
      <x:c r="D453" s="22" t="n">
        <x:v>5</x:v>
      </x:c>
      <x:c r="E453" s="8" t="n">
        <x:v>0</x:v>
      </x:c>
      <x:c r="F453" s="23" t="n">
        <x:v>0.07</x:v>
      </x:c>
      <x:c r="G453" s="8" t="n">
        <x:v>0</x:v>
      </x:c>
      <x:c r="H453" s="8" t="n">
        <x:v>0</x:v>
      </x:c>
      <x:c r="I453" s="8" t="n">
        <x:v>0</x:v>
      </x:c>
      <x:c r="J453" s="8" t="n">
        <x:v>0</x:v>
      </x:c>
      <x:c r="K453" s="8" t="n">
        <x:v>0</x:v>
      </x:c>
      <x:c r="L453" s="8" t="n">
        <x:v>0</x:v>
      </x:c>
      <x:c r="M453" s="21" t="n">
        <x:f>E453+K453-I453-J453-L453</x:f>
        <x:v>0</x:v>
      </x:c>
    </x:row>
    <x:row r="454" ht="36" customHeight="1">
      <x:c r="A454" s="8" t="str">
        <x:v>Mixed consideration</x:v>
      </x:c>
      <x:c r="B454" s="8" t="str">
        <x:v>Moderate spread</x:v>
      </x:c>
      <x:c r="C454" s="8" t="str">
        <x:v>Committed revolver</x:v>
      </x:c>
      <x:c r="D454" s="22" t="n">
        <x:v>5</x:v>
      </x:c>
      <x:c r="E454" s="8" t="n">
        <x:v>0</x:v>
      </x:c>
      <x:c r="F454" s="23" t="n">
        <x:v>0.0575</x:v>
      </x:c>
      <x:c r="G454" s="8" t="n">
        <x:v>0</x:v>
      </x:c>
      <x:c r="H454" s="8" t="n">
        <x:v>0</x:v>
      </x:c>
      <x:c r="I454" s="8" t="n">
        <x:v>0</x:v>
      </x:c>
      <x:c r="J454" s="8" t="n">
        <x:v>0</x:v>
      </x:c>
      <x:c r="K454" s="8" t="n">
        <x:v>0</x:v>
      </x:c>
      <x:c r="L454" s="8" t="n">
        <x:v>0</x:v>
      </x:c>
      <x:c r="M454" s="21" t="n">
        <x:f>E454+K454-I454-J454-L454</x:f>
        <x:v>0</x:v>
      </x:c>
    </x:row>
    <x:row r="455" ht="36" customHeight="1">
      <x:c r="A455" s="8" t="str">
        <x:v>Cash-first</x:v>
      </x:c>
      <x:c r="B455" s="8" t="str">
        <x:v>Moderate synergies</x:v>
      </x:c>
      <x:c r="C455" s="8" t="str">
        <x:v>Atlas notes</x:v>
      </x:c>
      <x:c r="D455" s="22" t="n">
        <x:v>1</x:v>
      </x:c>
      <x:c r="E455" s="8" t="n">
        <x:v>900</x:v>
      </x:c>
      <x:c r="F455" s="23" t="n">
        <x:v>0.038</x:v>
      </x:c>
      <x:c r="G455" s="8" t="n">
        <x:v>34.199999999999996</x:v>
      </x:c>
      <x:c r="H455" s="8" t="n">
        <x:v>0</x:v>
      </x:c>
      <x:c r="I455" s="8" t="n">
        <x:v>0</x:v>
      </x:c>
      <x:c r="J455" s="8" t="n">
        <x:v>0</x:v>
      </x:c>
      <x:c r="K455" s="8" t="n">
        <x:v>0</x:v>
      </x:c>
      <x:c r="L455" s="8" t="n">
        <x:v>0</x:v>
      </x:c>
      <x:c r="M455" s="21" t="n">
        <x:f>E455+K455-I455-J455-L455</x:f>
        <x:v>900</x:v>
      </x:c>
    </x:row>
    <x:row r="456" ht="36" customHeight="1">
      <x:c r="A456" s="8" t="str">
        <x:v>Cash-first</x:v>
      </x:c>
      <x:c r="B456" s="8" t="str">
        <x:v>Moderate synergies</x:v>
      </x:c>
      <x:c r="C456" s="8" t="str">
        <x:v>Atlas finance lease</x:v>
      </x:c>
      <x:c r="D456" s="22" t="n">
        <x:v>1</x:v>
      </x:c>
      <x:c r="E456" s="8" t="n">
        <x:v>80</x:v>
      </x:c>
      <x:c r="F456" s="23" t="n">
        <x:v>0.05</x:v>
      </x:c>
      <x:c r="G456" s="8" t="n">
        <x:v>4</x:v>
      </x:c>
      <x:c r="H456" s="8" t="n">
        <x:v>16</x:v>
      </x:c>
      <x:c r="I456" s="8" t="n">
        <x:v>16</x:v>
      </x:c>
      <x:c r="J456" s="8" t="n">
        <x:v>0</x:v>
      </x:c>
      <x:c r="K456" s="8" t="n">
        <x:v>0</x:v>
      </x:c>
      <x:c r="L456" s="8" t="n">
        <x:v>0</x:v>
      </x:c>
      <x:c r="M456" s="21" t="n">
        <x:f>E456+K456-I456-J456-L456</x:f>
        <x:v>64</x:v>
      </x:c>
    </x:row>
    <x:row r="457" ht="36" customHeight="1">
      <x:c r="A457" s="8" t="str">
        <x:v>Cash-first</x:v>
      </x:c>
      <x:c r="B457" s="8" t="str">
        <x:v>Moderate synergies</x:v>
      </x:c>
      <x:c r="C457" s="8" t="str">
        <x:v>Beacon notes</x:v>
      </x:c>
      <x:c r="D457" s="22" t="n">
        <x:v>1</x:v>
      </x:c>
      <x:c r="E457" s="8" t="n">
        <x:v>350</x:v>
      </x:c>
      <x:c r="F457" s="23" t="n">
        <x:v>0.0475</x:v>
      </x:c>
      <x:c r="G457" s="8" t="n">
        <x:v>16.625</x:v>
      </x:c>
      <x:c r="H457" s="8" t="n">
        <x:v>0</x:v>
      </x:c>
      <x:c r="I457" s="8" t="n">
        <x:v>0</x:v>
      </x:c>
      <x:c r="J457" s="8" t="n">
        <x:v>0</x:v>
      </x:c>
      <x:c r="K457" s="8" t="n">
        <x:v>0</x:v>
      </x:c>
      <x:c r="L457" s="8" t="n">
        <x:v>0</x:v>
      </x:c>
      <x:c r="M457" s="21" t="n">
        <x:f>E457+K457-I457-J457-L457</x:f>
        <x:v>350</x:v>
      </x:c>
    </x:row>
    <x:row r="458" ht="36" customHeight="1">
      <x:c r="A458" s="8" t="str">
        <x:v>Cash-first</x:v>
      </x:c>
      <x:c r="B458" s="8" t="str">
        <x:v>Moderate synergies</x:v>
      </x:c>
      <x:c r="C458" s="8" t="str">
        <x:v>Acquisition term</x:v>
      </x:c>
      <x:c r="D458" s="22" t="n">
        <x:v>1</x:v>
      </x:c>
      <x:c r="E458" s="8" t="n">
        <x:v>1340.1015228426397</x:v>
      </x:c>
      <x:c r="F458" s="23" t="n">
        <x:v>0.065</x:v>
      </x:c>
      <x:c r="G458" s="8" t="n">
        <x:v>87.10659898477158</x:v>
      </x:c>
      <x:c r="H458" s="8" t="n">
        <x:v>26.802030456852794</x:v>
      </x:c>
      <x:c r="I458" s="8" t="n">
        <x:v>26.802030456852794</x:v>
      </x:c>
      <x:c r="J458" s="8" t="n">
        <x:v>243.61348263333537</x:v>
      </x:c>
      <x:c r="K458" s="8" t="n">
        <x:v>0</x:v>
      </x:c>
      <x:c r="L458" s="8" t="n">
        <x:v>0</x:v>
      </x:c>
      <x:c r="M458" s="21" t="n">
        <x:f>E458+K458-I458-J458-L458</x:f>
        <x:v>1069.6860097524514</x:v>
      </x:c>
    </x:row>
    <x:row r="459" ht="36" customHeight="1">
      <x:c r="A459" s="8" t="str">
        <x:v>Cash-first</x:v>
      </x:c>
      <x:c r="B459" s="8" t="str">
        <x:v>Moderate synergies</x:v>
      </x:c>
      <x:c r="C459" s="8" t="str">
        <x:v>Committed revolver</x:v>
      </x:c>
      <x:c r="D459" s="22" t="n">
        <x:v>1</x:v>
      </x:c>
      <x:c r="E459" s="8" t="n">
        <x:v>0</x:v>
      </x:c>
      <x:c r="F459" s="23" t="n">
        <x:v>0.0625</x:v>
      </x:c>
      <x:c r="G459" s="8" t="n">
        <x:v>0</x:v>
      </x:c>
      <x:c r="H459" s="8" t="n">
        <x:v>0</x:v>
      </x:c>
      <x:c r="I459" s="8" t="n">
        <x:v>0</x:v>
      </x:c>
      <x:c r="J459" s="8" t="n">
        <x:v>0</x:v>
      </x:c>
      <x:c r="K459" s="8" t="n">
        <x:v>0</x:v>
      </x:c>
      <x:c r="L459" s="8" t="n">
        <x:v>0</x:v>
      </x:c>
      <x:c r="M459" s="21" t="n">
        <x:f>E459+K459-I459-J459-L459</x:f>
        <x:v>0</x:v>
      </x:c>
    </x:row>
    <x:row r="460" ht="36" customHeight="1">
      <x:c r="A460" s="8" t="str">
        <x:v>Cash-first</x:v>
      </x:c>
      <x:c r="B460" s="8" t="str">
        <x:v>Moderate synergies</x:v>
      </x:c>
      <x:c r="C460" s="8" t="str">
        <x:v>Atlas notes</x:v>
      </x:c>
      <x:c r="D460" s="22" t="n">
        <x:v>2</x:v>
      </x:c>
      <x:c r="E460" s="8" t="n">
        <x:v>900</x:v>
      </x:c>
      <x:c r="F460" s="23" t="n">
        <x:v>0.038</x:v>
      </x:c>
      <x:c r="G460" s="8" t="n">
        <x:v>34.199999999999996</x:v>
      </x:c>
      <x:c r="H460" s="8" t="n">
        <x:v>0</x:v>
      </x:c>
      <x:c r="I460" s="8" t="n">
        <x:v>0</x:v>
      </x:c>
      <x:c r="J460" s="8" t="n">
        <x:v>0</x:v>
      </x:c>
      <x:c r="K460" s="8" t="n">
        <x:v>0</x:v>
      </x:c>
      <x:c r="L460" s="8" t="n">
        <x:v>0</x:v>
      </x:c>
      <x:c r="M460" s="21" t="n">
        <x:f>E460+K460-I460-J460-L460</x:f>
        <x:v>900</x:v>
      </x:c>
    </x:row>
    <x:row r="461" ht="36" customHeight="1">
      <x:c r="A461" s="8" t="str">
        <x:v>Cash-first</x:v>
      </x:c>
      <x:c r="B461" s="8" t="str">
        <x:v>Moderate synergies</x:v>
      </x:c>
      <x:c r="C461" s="8" t="str">
        <x:v>Atlas finance lease</x:v>
      </x:c>
      <x:c r="D461" s="22" t="n">
        <x:v>2</x:v>
      </x:c>
      <x:c r="E461" s="8" t="n">
        <x:v>64</x:v>
      </x:c>
      <x:c r="F461" s="23" t="n">
        <x:v>0.05</x:v>
      </x:c>
      <x:c r="G461" s="8" t="n">
        <x:v>3.2</x:v>
      </x:c>
      <x:c r="H461" s="8" t="n">
        <x:v>16</x:v>
      </x:c>
      <x:c r="I461" s="8" t="n">
        <x:v>16</x:v>
      </x:c>
      <x:c r="J461" s="8" t="n">
        <x:v>0</x:v>
      </x:c>
      <x:c r="K461" s="8" t="n">
        <x:v>0</x:v>
      </x:c>
      <x:c r="L461" s="8" t="n">
        <x:v>0</x:v>
      </x:c>
      <x:c r="M461" s="21" t="n">
        <x:f>E461+K461-I461-J461-L461</x:f>
        <x:v>48</x:v>
      </x:c>
    </x:row>
    <x:row r="462" ht="36" customHeight="1">
      <x:c r="A462" s="8" t="str">
        <x:v>Cash-first</x:v>
      </x:c>
      <x:c r="B462" s="8" t="str">
        <x:v>Moderate synergies</x:v>
      </x:c>
      <x:c r="C462" s="8" t="str">
        <x:v>Beacon notes</x:v>
      </x:c>
      <x:c r="D462" s="22" t="n">
        <x:v>2</x:v>
      </x:c>
      <x:c r="E462" s="8" t="n">
        <x:v>350</x:v>
      </x:c>
      <x:c r="F462" s="23" t="n">
        <x:v>0.0475</x:v>
      </x:c>
      <x:c r="G462" s="8" t="n">
        <x:v>16.625</x:v>
      </x:c>
      <x:c r="H462" s="8" t="n">
        <x:v>0</x:v>
      </x:c>
      <x:c r="I462" s="8" t="n">
        <x:v>0</x:v>
      </x:c>
      <x:c r="J462" s="8" t="n">
        <x:v>0</x:v>
      </x:c>
      <x:c r="K462" s="8" t="n">
        <x:v>0</x:v>
      </x:c>
      <x:c r="L462" s="8" t="n">
        <x:v>0</x:v>
      </x:c>
      <x:c r="M462" s="21" t="n">
        <x:f>E462+K462-I462-J462-L462</x:f>
        <x:v>350</x:v>
      </x:c>
    </x:row>
    <x:row r="463" ht="36" customHeight="1">
      <x:c r="A463" s="8" t="str">
        <x:v>Cash-first</x:v>
      </x:c>
      <x:c r="B463" s="8" t="str">
        <x:v>Moderate synergies</x:v>
      </x:c>
      <x:c r="C463" s="8" t="str">
        <x:v>Acquisition term</x:v>
      </x:c>
      <x:c r="D463" s="22" t="n">
        <x:v>2</x:v>
      </x:c>
      <x:c r="E463" s="8" t="n">
        <x:v>1069.6860097524514</x:v>
      </x:c>
      <x:c r="F463" s="23" t="n">
        <x:v>0.0625</x:v>
      </x:c>
      <x:c r="G463" s="8" t="n">
        <x:v>66.85537560952821</x:v>
      </x:c>
      <x:c r="H463" s="8" t="n">
        <x:v>26.802030456852794</x:v>
      </x:c>
      <x:c r="I463" s="8" t="n">
        <x:v>26.802030456852794</x:v>
      </x:c>
      <x:c r="J463" s="8" t="n">
        <x:v>312.0975054729854</x:v>
      </x:c>
      <x:c r="K463" s="8" t="n">
        <x:v>0</x:v>
      </x:c>
      <x:c r="L463" s="8" t="n">
        <x:v>0</x:v>
      </x:c>
      <x:c r="M463" s="21" t="n">
        <x:f>E463+K463-I463-J463-L463</x:f>
        <x:v>730.7864738226131</x:v>
      </x:c>
    </x:row>
    <x:row r="464" ht="36" customHeight="1">
      <x:c r="A464" s="8" t="str">
        <x:v>Cash-first</x:v>
      </x:c>
      <x:c r="B464" s="8" t="str">
        <x:v>Moderate synergies</x:v>
      </x:c>
      <x:c r="C464" s="8" t="str">
        <x:v>Committed revolver</x:v>
      </x:c>
      <x:c r="D464" s="22" t="n">
        <x:v>2</x:v>
      </x:c>
      <x:c r="E464" s="8" t="n">
        <x:v>0</x:v>
      </x:c>
      <x:c r="F464" s="23" t="n">
        <x:v>0.06</x:v>
      </x:c>
      <x:c r="G464" s="8" t="n">
        <x:v>0</x:v>
      </x:c>
      <x:c r="H464" s="8" t="n">
        <x:v>0</x:v>
      </x:c>
      <x:c r="I464" s="8" t="n">
        <x:v>0</x:v>
      </x:c>
      <x:c r="J464" s="8" t="n">
        <x:v>0</x:v>
      </x:c>
      <x:c r="K464" s="8" t="n">
        <x:v>0</x:v>
      </x:c>
      <x:c r="L464" s="8" t="n">
        <x:v>0</x:v>
      </x:c>
      <x:c r="M464" s="21" t="n">
        <x:f>E464+K464-I464-J464-L464</x:f>
        <x:v>0</x:v>
      </x:c>
    </x:row>
    <x:row r="465" ht="36" customHeight="1">
      <x:c r="A465" s="8" t="str">
        <x:v>Cash-first</x:v>
      </x:c>
      <x:c r="B465" s="8" t="str">
        <x:v>Moderate synergies</x:v>
      </x:c>
      <x:c r="C465" s="8" t="str">
        <x:v>Atlas notes</x:v>
      </x:c>
      <x:c r="D465" s="22" t="n">
        <x:v>3</x:v>
      </x:c>
      <x:c r="E465" s="8" t="n">
        <x:v>900</x:v>
      </x:c>
      <x:c r="F465" s="23" t="n">
        <x:v>0.038</x:v>
      </x:c>
      <x:c r="G465" s="8" t="n">
        <x:v>34.199999999999996</x:v>
      </x:c>
      <x:c r="H465" s="8" t="n">
        <x:v>0</x:v>
      </x:c>
      <x:c r="I465" s="8" t="n">
        <x:v>0</x:v>
      </x:c>
      <x:c r="J465" s="8" t="n">
        <x:v>0</x:v>
      </x:c>
      <x:c r="K465" s="8" t="n">
        <x:v>0</x:v>
      </x:c>
      <x:c r="L465" s="8" t="n">
        <x:v>0</x:v>
      </x:c>
      <x:c r="M465" s="21" t="n">
        <x:f>E465+K465-I465-J465-L465</x:f>
        <x:v>900</x:v>
      </x:c>
    </x:row>
    <x:row r="466" ht="36" customHeight="1">
      <x:c r="A466" s="8" t="str">
        <x:v>Cash-first</x:v>
      </x:c>
      <x:c r="B466" s="8" t="str">
        <x:v>Moderate synergies</x:v>
      </x:c>
      <x:c r="C466" s="8" t="str">
        <x:v>Atlas finance lease</x:v>
      </x:c>
      <x:c r="D466" s="22" t="n">
        <x:v>3</x:v>
      </x:c>
      <x:c r="E466" s="8" t="n">
        <x:v>48</x:v>
      </x:c>
      <x:c r="F466" s="23" t="n">
        <x:v>0.05</x:v>
      </x:c>
      <x:c r="G466" s="8" t="n">
        <x:v>2.4000000000000004</x:v>
      </x:c>
      <x:c r="H466" s="8" t="n">
        <x:v>16</x:v>
      </x:c>
      <x:c r="I466" s="8" t="n">
        <x:v>16</x:v>
      </x:c>
      <x:c r="J466" s="8" t="n">
        <x:v>0</x:v>
      </x:c>
      <x:c r="K466" s="8" t="n">
        <x:v>0</x:v>
      </x:c>
      <x:c r="L466" s="8" t="n">
        <x:v>0</x:v>
      </x:c>
      <x:c r="M466" s="21" t="n">
        <x:f>E466+K466-I466-J466-L466</x:f>
        <x:v>32</x:v>
      </x:c>
    </x:row>
    <x:row r="467" ht="36" customHeight="1">
      <x:c r="A467" s="8" t="str">
        <x:v>Cash-first</x:v>
      </x:c>
      <x:c r="B467" s="8" t="str">
        <x:v>Moderate synergies</x:v>
      </x:c>
      <x:c r="C467" s="8" t="str">
        <x:v>Beacon notes</x:v>
      </x:c>
      <x:c r="D467" s="22" t="n">
        <x:v>3</x:v>
      </x:c>
      <x:c r="E467" s="8" t="n">
        <x:v>350</x:v>
      </x:c>
      <x:c r="F467" s="23" t="n">
        <x:v>0.0475</x:v>
      </x:c>
      <x:c r="G467" s="8" t="n">
        <x:v>16.625</x:v>
      </x:c>
      <x:c r="H467" s="8" t="n">
        <x:v>350</x:v>
      </x:c>
      <x:c r="I467" s="8" t="n">
        <x:v>350</x:v>
      </x:c>
      <x:c r="J467" s="8" t="n">
        <x:v>0</x:v>
      </x:c>
      <x:c r="K467" s="8" t="n">
        <x:v>0</x:v>
      </x:c>
      <x:c r="L467" s="8" t="n">
        <x:v>0</x:v>
      </x:c>
      <x:c r="M467" s="21" t="n">
        <x:f>E467+K467-I467-J467-L467</x:f>
        <x:v>0</x:v>
      </x:c>
    </x:row>
    <x:row r="468" ht="36" customHeight="1">
      <x:c r="A468" s="8" t="str">
        <x:v>Cash-first</x:v>
      </x:c>
      <x:c r="B468" s="8" t="str">
        <x:v>Moderate synergies</x:v>
      </x:c>
      <x:c r="C468" s="8" t="str">
        <x:v>Acquisition term</x:v>
      </x:c>
      <x:c r="D468" s="22" t="n">
        <x:v>3</x:v>
      </x:c>
      <x:c r="E468" s="8" t="n">
        <x:v>730.7864738226131</x:v>
      </x:c>
      <x:c r="F468" s="23" t="n">
        <x:v>0.060000000000000005</x:v>
      </x:c>
      <x:c r="G468" s="8" t="n">
        <x:v>43.847188429356784</x:v>
      </x:c>
      <x:c r="H468" s="8" t="n">
        <x:v>26.802030456852794</x:v>
      </x:c>
      <x:c r="I468" s="8" t="n">
        <x:v>26.802030456852794</x:v>
      </x:c>
      <x:c r="J468" s="8" t="n">
        <x:v>60.956621299039966</x:v>
      </x:c>
      <x:c r="K468" s="8" t="n">
        <x:v>0</x:v>
      </x:c>
      <x:c r="L468" s="8" t="n">
        <x:v>0</x:v>
      </x:c>
      <x:c r="M468" s="21" t="n">
        <x:f>E468+K468-I468-J468-L468</x:f>
        <x:v>643.0278220667203</x:v>
      </x:c>
    </x:row>
    <x:row r="469" ht="36" customHeight="1">
      <x:c r="A469" s="8" t="str">
        <x:v>Cash-first</x:v>
      </x:c>
      <x:c r="B469" s="8" t="str">
        <x:v>Moderate synergies</x:v>
      </x:c>
      <x:c r="C469" s="8" t="str">
        <x:v>Committed revolver</x:v>
      </x:c>
      <x:c r="D469" s="22" t="n">
        <x:v>3</x:v>
      </x:c>
      <x:c r="E469" s="8" t="n">
        <x:v>0</x:v>
      </x:c>
      <x:c r="F469" s="23" t="n">
        <x:v>0.0575</x:v>
      </x:c>
      <x:c r="G469" s="8" t="n">
        <x:v>0</x:v>
      </x:c>
      <x:c r="H469" s="8" t="n">
        <x:v>0</x:v>
      </x:c>
      <x:c r="I469" s="8" t="n">
        <x:v>0</x:v>
      </x:c>
      <x:c r="J469" s="8" t="n">
        <x:v>0</x:v>
      </x:c>
      <x:c r="K469" s="8" t="n">
        <x:v>0</x:v>
      </x:c>
      <x:c r="L469" s="8" t="n">
        <x:v>0</x:v>
      </x:c>
      <x:c r="M469" s="21" t="n">
        <x:f>E469+K469-I469-J469-L469</x:f>
        <x:v>0</x:v>
      </x:c>
    </x:row>
    <x:row r="470" ht="36" customHeight="1">
      <x:c r="A470" s="8" t="str">
        <x:v>Cash-first</x:v>
      </x:c>
      <x:c r="B470" s="8" t="str">
        <x:v>Moderate synergies</x:v>
      </x:c>
      <x:c r="C470" s="8" t="str">
        <x:v>Atlas notes</x:v>
      </x:c>
      <x:c r="D470" s="22" t="n">
        <x:v>4</x:v>
      </x:c>
      <x:c r="E470" s="8" t="n">
        <x:v>900</x:v>
      </x:c>
      <x:c r="F470" s="23" t="n">
        <x:v>0.038</x:v>
      </x:c>
      <x:c r="G470" s="8" t="n">
        <x:v>34.199999999999996</x:v>
      </x:c>
      <x:c r="H470" s="8" t="n">
        <x:v>900</x:v>
      </x:c>
      <x:c r="I470" s="8" t="n">
        <x:v>900</x:v>
      </x:c>
      <x:c r="J470" s="8" t="n">
        <x:v>0</x:v>
      </x:c>
      <x:c r="K470" s="8" t="n">
        <x:v>0</x:v>
      </x:c>
      <x:c r="L470" s="8" t="n">
        <x:v>0</x:v>
      </x:c>
      <x:c r="M470" s="21" t="n">
        <x:f>E470+K470-I470-J470-L470</x:f>
        <x:v>0</x:v>
      </x:c>
    </x:row>
    <x:row r="471" ht="36" customHeight="1">
      <x:c r="A471" s="8" t="str">
        <x:v>Cash-first</x:v>
      </x:c>
      <x:c r="B471" s="8" t="str">
        <x:v>Moderate synergies</x:v>
      </x:c>
      <x:c r="C471" s="8" t="str">
        <x:v>Atlas finance lease</x:v>
      </x:c>
      <x:c r="D471" s="22" t="n">
        <x:v>4</x:v>
      </x:c>
      <x:c r="E471" s="8" t="n">
        <x:v>32</x:v>
      </x:c>
      <x:c r="F471" s="23" t="n">
        <x:v>0.05</x:v>
      </x:c>
      <x:c r="G471" s="8" t="n">
        <x:v>1.6</x:v>
      </x:c>
      <x:c r="H471" s="8" t="n">
        <x:v>16</x:v>
      </x:c>
      <x:c r="I471" s="8" t="n">
        <x:v>16</x:v>
      </x:c>
      <x:c r="J471" s="8" t="n">
        <x:v>0</x:v>
      </x:c>
      <x:c r="K471" s="8" t="n">
        <x:v>0</x:v>
      </x:c>
      <x:c r="L471" s="8" t="n">
        <x:v>0</x:v>
      </x:c>
      <x:c r="M471" s="21" t="n">
        <x:f>E471+K471-I471-J471-L471</x:f>
        <x:v>16</x:v>
      </x:c>
    </x:row>
    <x:row r="472" ht="36" customHeight="1">
      <x:c r="A472" s="8" t="str">
        <x:v>Cash-first</x:v>
      </x:c>
      <x:c r="B472" s="8" t="str">
        <x:v>Moderate synergies</x:v>
      </x:c>
      <x:c r="C472" s="8" t="str">
        <x:v>Beacon notes</x:v>
      </x:c>
      <x:c r="D472" s="22" t="n">
        <x:v>4</x:v>
      </x:c>
      <x:c r="E472" s="8" t="n">
        <x:v>0</x:v>
      </x:c>
      <x:c r="F472" s="23" t="n">
        <x:v>0.0475</x:v>
      </x:c>
      <x:c r="G472" s="8" t="n">
        <x:v>0</x:v>
      </x:c>
      <x:c r="H472" s="8" t="n">
        <x:v>0</x:v>
      </x:c>
      <x:c r="I472" s="8" t="n">
        <x:v>0</x:v>
      </x:c>
      <x:c r="J472" s="8" t="n">
        <x:v>0</x:v>
      </x:c>
      <x:c r="K472" s="8" t="n">
        <x:v>0</x:v>
      </x:c>
      <x:c r="L472" s="8" t="n">
        <x:v>0</x:v>
      </x:c>
      <x:c r="M472" s="21" t="n">
        <x:f>E472+K472-I472-J472-L472</x:f>
        <x:v>0</x:v>
      </x:c>
    </x:row>
    <x:row r="473" ht="36" customHeight="1">
      <x:c r="A473" s="8" t="str">
        <x:v>Cash-first</x:v>
      </x:c>
      <x:c r="B473" s="8" t="str">
        <x:v>Moderate synergies</x:v>
      </x:c>
      <x:c r="C473" s="8" t="str">
        <x:v>Acquisition term</x:v>
      </x:c>
      <x:c r="D473" s="22" t="n">
        <x:v>4</x:v>
      </x:c>
      <x:c r="E473" s="8" t="n">
        <x:v>643.0278220667203</x:v>
      </x:c>
      <x:c r="F473" s="23" t="n">
        <x:v>0.060000000000000005</x:v>
      </x:c>
      <x:c r="G473" s="8" t="n">
        <x:v>38.58166932400322</x:v>
      </x:c>
      <x:c r="H473" s="8" t="n">
        <x:v>26.802030456852794</x:v>
      </x:c>
      <x:c r="I473" s="8" t="n">
        <x:v>26.802030456852794</x:v>
      </x:c>
      <x:c r="J473" s="8" t="n">
        <x:v>0</x:v>
      </x:c>
      <x:c r="K473" s="8" t="n">
        <x:v>0</x:v>
      </x:c>
      <x:c r="L473" s="8" t="n">
        <x:v>0</x:v>
      </x:c>
      <x:c r="M473" s="21" t="n">
        <x:f>E473+K473-I473-J473-L473</x:f>
        <x:v>616.2257916098675</x:v>
      </x:c>
    </x:row>
    <x:row r="474" ht="36" customHeight="1">
      <x:c r="A474" s="8" t="str">
        <x:v>Cash-first</x:v>
      </x:c>
      <x:c r="B474" s="8" t="str">
        <x:v>Moderate synergies</x:v>
      </x:c>
      <x:c r="C474" s="8" t="str">
        <x:v>Committed revolver</x:v>
      </x:c>
      <x:c r="D474" s="22" t="n">
        <x:v>4</x:v>
      </x:c>
      <x:c r="E474" s="8" t="n">
        <x:v>0</x:v>
      </x:c>
      <x:c r="F474" s="23" t="n">
        <x:v>0.0575</x:v>
      </x:c>
      <x:c r="G474" s="8" t="n">
        <x:v>0</x:v>
      </x:c>
      <x:c r="H474" s="8" t="n">
        <x:v>0</x:v>
      </x:c>
      <x:c r="I474" s="8" t="n">
        <x:v>0</x:v>
      </x:c>
      <x:c r="J474" s="8" t="n">
        <x:v>0</x:v>
      </x:c>
      <x:c r="K474" s="8" t="n">
        <x:v>410.1914099449982</x:v>
      </x:c>
      <x:c r="L474" s="8" t="n">
        <x:v>0</x:v>
      </x:c>
      <x:c r="M474" s="21" t="n">
        <x:f>E474+K474-I474-J474-L474</x:f>
        <x:v>410.1914099449982</x:v>
      </x:c>
    </x:row>
    <x:row r="475" ht="36" customHeight="1">
      <x:c r="A475" s="8" t="str">
        <x:v>Cash-first</x:v>
      </x:c>
      <x:c r="B475" s="8" t="str">
        <x:v>Moderate synergies</x:v>
      </x:c>
      <x:c r="C475" s="8" t="str">
        <x:v>Atlas notes</x:v>
      </x:c>
      <x:c r="D475" s="22" t="n">
        <x:v>5</x:v>
      </x:c>
      <x:c r="E475" s="8" t="n">
        <x:v>0</x:v>
      </x:c>
      <x:c r="F475" s="23" t="n">
        <x:v>0.038</x:v>
      </x:c>
      <x:c r="G475" s="8" t="n">
        <x:v>0</x:v>
      </x:c>
      <x:c r="H475" s="8" t="n">
        <x:v>0</x:v>
      </x:c>
      <x:c r="I475" s="8" t="n">
        <x:v>0</x:v>
      </x:c>
      <x:c r="J475" s="8" t="n">
        <x:v>0</x:v>
      </x:c>
      <x:c r="K475" s="8" t="n">
        <x:v>0</x:v>
      </x:c>
      <x:c r="L475" s="8" t="n">
        <x:v>0</x:v>
      </x:c>
      <x:c r="M475" s="21" t="n">
        <x:f>E475+K475-I475-J475-L475</x:f>
        <x:v>0</x:v>
      </x:c>
    </x:row>
    <x:row r="476" ht="36" customHeight="1">
      <x:c r="A476" s="8" t="str">
        <x:v>Cash-first</x:v>
      </x:c>
      <x:c r="B476" s="8" t="str">
        <x:v>Moderate synergies</x:v>
      </x:c>
      <x:c r="C476" s="8" t="str">
        <x:v>Atlas finance lease</x:v>
      </x:c>
      <x:c r="D476" s="22" t="n">
        <x:v>5</x:v>
      </x:c>
      <x:c r="E476" s="8" t="n">
        <x:v>16</x:v>
      </x:c>
      <x:c r="F476" s="23" t="n">
        <x:v>0.05</x:v>
      </x:c>
      <x:c r="G476" s="8" t="n">
        <x:v>0.8</x:v>
      </x:c>
      <x:c r="H476" s="8" t="n">
        <x:v>16</x:v>
      </x:c>
      <x:c r="I476" s="8" t="n">
        <x:v>16</x:v>
      </x:c>
      <x:c r="J476" s="8" t="n">
        <x:v>0</x:v>
      </x:c>
      <x:c r="K476" s="8" t="n">
        <x:v>0</x:v>
      </x:c>
      <x:c r="L476" s="8" t="n">
        <x:v>0</x:v>
      </x:c>
      <x:c r="M476" s="21" t="n">
        <x:f>E476+K476-I476-J476-L476</x:f>
        <x:v>0</x:v>
      </x:c>
    </x:row>
    <x:row r="477" ht="36" customHeight="1">
      <x:c r="A477" s="8" t="str">
        <x:v>Cash-first</x:v>
      </x:c>
      <x:c r="B477" s="8" t="str">
        <x:v>Moderate synergies</x:v>
      </x:c>
      <x:c r="C477" s="8" t="str">
        <x:v>Beacon notes</x:v>
      </x:c>
      <x:c r="D477" s="22" t="n">
        <x:v>5</x:v>
      </x:c>
      <x:c r="E477" s="8" t="n">
        <x:v>0</x:v>
      </x:c>
      <x:c r="F477" s="23" t="n">
        <x:v>0.0475</x:v>
      </x:c>
      <x:c r="G477" s="8" t="n">
        <x:v>0</x:v>
      </x:c>
      <x:c r="H477" s="8" t="n">
        <x:v>0</x:v>
      </x:c>
      <x:c r="I477" s="8" t="n">
        <x:v>0</x:v>
      </x:c>
      <x:c r="J477" s="8" t="n">
        <x:v>0</x:v>
      </x:c>
      <x:c r="K477" s="8" t="n">
        <x:v>0</x:v>
      </x:c>
      <x:c r="L477" s="8" t="n">
        <x:v>0</x:v>
      </x:c>
      <x:c r="M477" s="21" t="n">
        <x:f>E477+K477-I477-J477-L477</x:f>
        <x:v>0</x:v>
      </x:c>
    </x:row>
    <x:row r="478" ht="36" customHeight="1">
      <x:c r="A478" s="8" t="str">
        <x:v>Cash-first</x:v>
      </x:c>
      <x:c r="B478" s="8" t="str">
        <x:v>Moderate synergies</x:v>
      </x:c>
      <x:c r="C478" s="8" t="str">
        <x:v>Acquisition term</x:v>
      </x:c>
      <x:c r="D478" s="22" t="n">
        <x:v>5</x:v>
      </x:c>
      <x:c r="E478" s="8" t="n">
        <x:v>616.2257916098675</x:v>
      </x:c>
      <x:c r="F478" s="23" t="n">
        <x:v>0.060000000000000005</x:v>
      </x:c>
      <x:c r="G478" s="8" t="n">
        <x:v>36.973547496592055</x:v>
      </x:c>
      <x:c r="H478" s="8" t="n">
        <x:v>616.2257916098675</x:v>
      </x:c>
      <x:c r="I478" s="8" t="n">
        <x:v>616.2257916098675</x:v>
      </x:c>
      <x:c r="J478" s="8" t="n">
        <x:v>0</x:v>
      </x:c>
      <x:c r="K478" s="8" t="n">
        <x:v>0</x:v>
      </x:c>
      <x:c r="L478" s="8" t="n">
        <x:v>0</x:v>
      </x:c>
      <x:c r="M478" s="21" t="n">
        <x:f>E478+K478-I478-J478-L478</x:f>
        <x:v>0</x:v>
      </x:c>
    </x:row>
    <x:row r="479" ht="36" customHeight="1">
      <x:c r="A479" s="8" t="str">
        <x:v>Cash-first</x:v>
      </x:c>
      <x:c r="B479" s="8" t="str">
        <x:v>Moderate synergies</x:v>
      </x:c>
      <x:c r="C479" s="8" t="str">
        <x:v>Committed revolver</x:v>
      </x:c>
      <x:c r="D479" s="22" t="n">
        <x:v>5</x:v>
      </x:c>
      <x:c r="E479" s="8" t="n">
        <x:v>410.1914099449982</x:v>
      </x:c>
      <x:c r="F479" s="23" t="n">
        <x:v>0.0575</x:v>
      </x:c>
      <x:c r="G479" s="8" t="n">
        <x:v>23.5860060718374</x:v>
      </x:c>
      <x:c r="H479" s="8" t="n">
        <x:v>410.1914099449982</x:v>
      </x:c>
      <x:c r="I479" s="8" t="n">
        <x:v>410.1914099449982</x:v>
      </x:c>
      <x:c r="J479" s="8" t="n">
        <x:v>0</x:v>
      </x:c>
      <x:c r="K479" s="8" t="n">
        <x:v>0</x:v>
      </x:c>
      <x:c r="L479" s="8" t="n">
        <x:v>0</x:v>
      </x:c>
      <x:c r="M479" s="21" t="n">
        <x:f>E479+K479-I479-J479-L479</x:f>
        <x:v>0</x:v>
      </x:c>
    </x:row>
    <x:row r="480" ht="36" customHeight="1">
      <x:c r="A480" s="8" t="str">
        <x:v>Liquidity-first</x:v>
      </x:c>
      <x:c r="B480" s="8" t="str">
        <x:v>Moderate synergies</x:v>
      </x:c>
      <x:c r="C480" s="8" t="str">
        <x:v>Atlas notes</x:v>
      </x:c>
      <x:c r="D480" s="22" t="n">
        <x:v>1</x:v>
      </x:c>
      <x:c r="E480" s="8" t="n">
        <x:v>900</x:v>
      </x:c>
      <x:c r="F480" s="23" t="n">
        <x:v>0.038</x:v>
      </x:c>
      <x:c r="G480" s="8" t="n">
        <x:v>34.199999999999996</x:v>
      </x:c>
      <x:c r="H480" s="8" t="n">
        <x:v>0</x:v>
      </x:c>
      <x:c r="I480" s="8" t="n">
        <x:v>0</x:v>
      </x:c>
      <x:c r="J480" s="8" t="n">
        <x:v>0</x:v>
      </x:c>
      <x:c r="K480" s="8" t="n">
        <x:v>0</x:v>
      </x:c>
      <x:c r="L480" s="8" t="n">
        <x:v>0</x:v>
      </x:c>
      <x:c r="M480" s="21" t="n">
        <x:f>E480+K480-I480-J480-L480</x:f>
        <x:v>900</x:v>
      </x:c>
    </x:row>
    <x:row r="481" ht="36" customHeight="1">
      <x:c r="A481" s="8" t="str">
        <x:v>Liquidity-first</x:v>
      </x:c>
      <x:c r="B481" s="8" t="str">
        <x:v>Moderate synergies</x:v>
      </x:c>
      <x:c r="C481" s="8" t="str">
        <x:v>Atlas finance lease</x:v>
      </x:c>
      <x:c r="D481" s="22" t="n">
        <x:v>1</x:v>
      </x:c>
      <x:c r="E481" s="8" t="n">
        <x:v>80</x:v>
      </x:c>
      <x:c r="F481" s="23" t="n">
        <x:v>0.05</x:v>
      </x:c>
      <x:c r="G481" s="8" t="n">
        <x:v>4</x:v>
      </x:c>
      <x:c r="H481" s="8" t="n">
        <x:v>16</x:v>
      </x:c>
      <x:c r="I481" s="8" t="n">
        <x:v>16</x:v>
      </x:c>
      <x:c r="J481" s="8" t="n">
        <x:v>0</x:v>
      </x:c>
      <x:c r="K481" s="8" t="n">
        <x:v>0</x:v>
      </x:c>
      <x:c r="L481" s="8" t="n">
        <x:v>0</x:v>
      </x:c>
      <x:c r="M481" s="21" t="n">
        <x:f>E481+K481-I481-J481-L481</x:f>
        <x:v>64</x:v>
      </x:c>
    </x:row>
    <x:row r="482" ht="36" customHeight="1">
      <x:c r="A482" s="8" t="str">
        <x:v>Liquidity-first</x:v>
      </x:c>
      <x:c r="B482" s="8" t="str">
        <x:v>Moderate synergies</x:v>
      </x:c>
      <x:c r="C482" s="8" t="str">
        <x:v>Beacon notes</x:v>
      </x:c>
      <x:c r="D482" s="22" t="n">
        <x:v>1</x:v>
      </x:c>
      <x:c r="E482" s="8" t="n">
        <x:v>350</x:v>
      </x:c>
      <x:c r="F482" s="23" t="n">
        <x:v>0.0475</x:v>
      </x:c>
      <x:c r="G482" s="8" t="n">
        <x:v>16.625</x:v>
      </x:c>
      <x:c r="H482" s="8" t="n">
        <x:v>0</x:v>
      </x:c>
      <x:c r="I482" s="8" t="n">
        <x:v>0</x:v>
      </x:c>
      <x:c r="J482" s="8" t="n">
        <x:v>0</x:v>
      </x:c>
      <x:c r="K482" s="8" t="n">
        <x:v>0</x:v>
      </x:c>
      <x:c r="L482" s="8" t="n">
        <x:v>0</x:v>
      </x:c>
      <x:c r="M482" s="21" t="n">
        <x:f>E482+K482-I482-J482-L482</x:f>
        <x:v>350</x:v>
      </x:c>
    </x:row>
    <x:row r="483" ht="36" customHeight="1">
      <x:c r="A483" s="8" t="str">
        <x:v>Liquidity-first</x:v>
      </x:c>
      <x:c r="B483" s="8" t="str">
        <x:v>Moderate synergies</x:v>
      </x:c>
      <x:c r="C483" s="8" t="str">
        <x:v>Acquisition term</x:v>
      </x:c>
      <x:c r="D483" s="22" t="n">
        <x:v>1</x:v>
      </x:c>
      <x:c r="E483" s="8" t="n">
        <x:v>2223.3502538071066</x:v>
      </x:c>
      <x:c r="F483" s="23" t="n">
        <x:v>0.065</x:v>
      </x:c>
      <x:c r="G483" s="8" t="n">
        <x:v>144.51776649746193</x:v>
      </x:c>
      <x:c r="H483" s="8" t="n">
        <x:v>44.46700507614213</x:v>
      </x:c>
      <x:c r="I483" s="8" t="n">
        <x:v>44.46700507614213</x:v>
      </x:c>
      <x:c r="J483" s="8" t="n">
        <x:v>1052.8901323795283</x:v>
      </x:c>
      <x:c r="K483" s="8" t="n">
        <x:v>0</x:v>
      </x:c>
      <x:c r="L483" s="8" t="n">
        <x:v>0</x:v>
      </x:c>
      <x:c r="M483" s="21" t="n">
        <x:f>E483+K483-I483-J483-L483</x:f>
        <x:v>1125.9931163514364</x:v>
      </x:c>
    </x:row>
    <x:row r="484" ht="36" customHeight="1">
      <x:c r="A484" s="8" t="str">
        <x:v>Liquidity-first</x:v>
      </x:c>
      <x:c r="B484" s="8" t="str">
        <x:v>Moderate synergies</x:v>
      </x:c>
      <x:c r="C484" s="8" t="str">
        <x:v>Committed revolver</x:v>
      </x:c>
      <x:c r="D484" s="22" t="n">
        <x:v>1</x:v>
      </x:c>
      <x:c r="E484" s="8" t="n">
        <x:v>0</x:v>
      </x:c>
      <x:c r="F484" s="23" t="n">
        <x:v>0.0625</x:v>
      </x:c>
      <x:c r="G484" s="8" t="n">
        <x:v>0</x:v>
      </x:c>
      <x:c r="H484" s="8" t="n">
        <x:v>0</x:v>
      </x:c>
      <x:c r="I484" s="8" t="n">
        <x:v>0</x:v>
      </x:c>
      <x:c r="J484" s="8" t="n">
        <x:v>0</x:v>
      </x:c>
      <x:c r="K484" s="8" t="n">
        <x:v>0</x:v>
      </x:c>
      <x:c r="L484" s="8" t="n">
        <x:v>0</x:v>
      </x:c>
      <x:c r="M484" s="21" t="n">
        <x:f>E484+K484-I484-J484-L484</x:f>
        <x:v>0</x:v>
      </x:c>
    </x:row>
    <x:row r="485" ht="36" customHeight="1">
      <x:c r="A485" s="8" t="str">
        <x:v>Liquidity-first</x:v>
      </x:c>
      <x:c r="B485" s="8" t="str">
        <x:v>Moderate synergies</x:v>
      </x:c>
      <x:c r="C485" s="8" t="str">
        <x:v>Atlas notes</x:v>
      </x:c>
      <x:c r="D485" s="22" t="n">
        <x:v>2</x:v>
      </x:c>
      <x:c r="E485" s="8" t="n">
        <x:v>900</x:v>
      </x:c>
      <x:c r="F485" s="23" t="n">
        <x:v>0.038</x:v>
      </x:c>
      <x:c r="G485" s="8" t="n">
        <x:v>34.199999999999996</x:v>
      </x:c>
      <x:c r="H485" s="8" t="n">
        <x:v>0</x:v>
      </x:c>
      <x:c r="I485" s="8" t="n">
        <x:v>0</x:v>
      </x:c>
      <x:c r="J485" s="8" t="n">
        <x:v>0</x:v>
      </x:c>
      <x:c r="K485" s="8" t="n">
        <x:v>0</x:v>
      </x:c>
      <x:c r="L485" s="8" t="n">
        <x:v>0</x:v>
      </x:c>
      <x:c r="M485" s="21" t="n">
        <x:f>E485+K485-I485-J485-L485</x:f>
        <x:v>900</x:v>
      </x:c>
    </x:row>
    <x:row r="486" ht="36" customHeight="1">
      <x:c r="A486" s="8" t="str">
        <x:v>Liquidity-first</x:v>
      </x:c>
      <x:c r="B486" s="8" t="str">
        <x:v>Moderate synergies</x:v>
      </x:c>
      <x:c r="C486" s="8" t="str">
        <x:v>Atlas finance lease</x:v>
      </x:c>
      <x:c r="D486" s="22" t="n">
        <x:v>2</x:v>
      </x:c>
      <x:c r="E486" s="8" t="n">
        <x:v>64</x:v>
      </x:c>
      <x:c r="F486" s="23" t="n">
        <x:v>0.05</x:v>
      </x:c>
      <x:c r="G486" s="8" t="n">
        <x:v>3.2</x:v>
      </x:c>
      <x:c r="H486" s="8" t="n">
        <x:v>16</x:v>
      </x:c>
      <x:c r="I486" s="8" t="n">
        <x:v>16</x:v>
      </x:c>
      <x:c r="J486" s="8" t="n">
        <x:v>0</x:v>
      </x:c>
      <x:c r="K486" s="8" t="n">
        <x:v>0</x:v>
      </x:c>
      <x:c r="L486" s="8" t="n">
        <x:v>0</x:v>
      </x:c>
      <x:c r="M486" s="21" t="n">
        <x:f>E486+K486-I486-J486-L486</x:f>
        <x:v>48</x:v>
      </x:c>
    </x:row>
    <x:row r="487" ht="36" customHeight="1">
      <x:c r="A487" s="8" t="str">
        <x:v>Liquidity-first</x:v>
      </x:c>
      <x:c r="B487" s="8" t="str">
        <x:v>Moderate synergies</x:v>
      </x:c>
      <x:c r="C487" s="8" t="str">
        <x:v>Beacon notes</x:v>
      </x:c>
      <x:c r="D487" s="22" t="n">
        <x:v>2</x:v>
      </x:c>
      <x:c r="E487" s="8" t="n">
        <x:v>350</x:v>
      </x:c>
      <x:c r="F487" s="23" t="n">
        <x:v>0.0475</x:v>
      </x:c>
      <x:c r="G487" s="8" t="n">
        <x:v>16.625</x:v>
      </x:c>
      <x:c r="H487" s="8" t="n">
        <x:v>0</x:v>
      </x:c>
      <x:c r="I487" s="8" t="n">
        <x:v>0</x:v>
      </x:c>
      <x:c r="J487" s="8" t="n">
        <x:v>0</x:v>
      </x:c>
      <x:c r="K487" s="8" t="n">
        <x:v>0</x:v>
      </x:c>
      <x:c r="L487" s="8" t="n">
        <x:v>0</x:v>
      </x:c>
      <x:c r="M487" s="21" t="n">
        <x:f>E487+K487-I487-J487-L487</x:f>
        <x:v>350</x:v>
      </x:c>
    </x:row>
    <x:row r="488" ht="36" customHeight="1">
      <x:c r="A488" s="8" t="str">
        <x:v>Liquidity-first</x:v>
      </x:c>
      <x:c r="B488" s="8" t="str">
        <x:v>Moderate synergies</x:v>
      </x:c>
      <x:c r="C488" s="8" t="str">
        <x:v>Acquisition term</x:v>
      </x:c>
      <x:c r="D488" s="22" t="n">
        <x:v>2</x:v>
      </x:c>
      <x:c r="E488" s="8" t="n">
        <x:v>1125.9931163514364</x:v>
      </x:c>
      <x:c r="F488" s="23" t="n">
        <x:v>0.0625</x:v>
      </x:c>
      <x:c r="G488" s="8" t="n">
        <x:v>70.37456977196477</x:v>
      </x:c>
      <x:c r="H488" s="8" t="n">
        <x:v>44.46700507614213</x:v>
      </x:c>
      <x:c r="I488" s="8" t="n">
        <x:v>44.46700507614213</x:v>
      </x:c>
      <x:c r="J488" s="8" t="n">
        <x:v>291.79313523186875</x:v>
      </x:c>
      <x:c r="K488" s="8" t="n">
        <x:v>0</x:v>
      </x:c>
      <x:c r="L488" s="8" t="n">
        <x:v>0</x:v>
      </x:c>
      <x:c r="M488" s="21" t="n">
        <x:f>E488+K488-I488-J488-L488</x:f>
        <x:v>789.7329760434254</x:v>
      </x:c>
    </x:row>
    <x:row r="489" ht="36" customHeight="1">
      <x:c r="A489" s="8" t="str">
        <x:v>Liquidity-first</x:v>
      </x:c>
      <x:c r="B489" s="8" t="str">
        <x:v>Moderate synergies</x:v>
      </x:c>
      <x:c r="C489" s="8" t="str">
        <x:v>Committed revolver</x:v>
      </x:c>
      <x:c r="D489" s="22" t="n">
        <x:v>2</x:v>
      </x:c>
      <x:c r="E489" s="8" t="n">
        <x:v>0</x:v>
      </x:c>
      <x:c r="F489" s="23" t="n">
        <x:v>0.06</x:v>
      </x:c>
      <x:c r="G489" s="8" t="n">
        <x:v>0</x:v>
      </x:c>
      <x:c r="H489" s="8" t="n">
        <x:v>0</x:v>
      </x:c>
      <x:c r="I489" s="8" t="n">
        <x:v>0</x:v>
      </x:c>
      <x:c r="J489" s="8" t="n">
        <x:v>0</x:v>
      </x:c>
      <x:c r="K489" s="8" t="n">
        <x:v>0</x:v>
      </x:c>
      <x:c r="L489" s="8" t="n">
        <x:v>0</x:v>
      </x:c>
      <x:c r="M489" s="21" t="n">
        <x:f>E489+K489-I489-J489-L489</x:f>
        <x:v>0</x:v>
      </x:c>
    </x:row>
    <x:row r="490" ht="36" customHeight="1">
      <x:c r="A490" s="8" t="str">
        <x:v>Liquidity-first</x:v>
      </x:c>
      <x:c r="B490" s="8" t="str">
        <x:v>Moderate synergies</x:v>
      </x:c>
      <x:c r="C490" s="8" t="str">
        <x:v>Atlas notes</x:v>
      </x:c>
      <x:c r="D490" s="22" t="n">
        <x:v>3</x:v>
      </x:c>
      <x:c r="E490" s="8" t="n">
        <x:v>900</x:v>
      </x:c>
      <x:c r="F490" s="23" t="n">
        <x:v>0.038</x:v>
      </x:c>
      <x:c r="G490" s="8" t="n">
        <x:v>34.199999999999996</x:v>
      </x:c>
      <x:c r="H490" s="8" t="n">
        <x:v>0</x:v>
      </x:c>
      <x:c r="I490" s="8" t="n">
        <x:v>0</x:v>
      </x:c>
      <x:c r="J490" s="8" t="n">
        <x:v>0</x:v>
      </x:c>
      <x:c r="K490" s="8" t="n">
        <x:v>0</x:v>
      </x:c>
      <x:c r="L490" s="8" t="n">
        <x:v>0</x:v>
      </x:c>
      <x:c r="M490" s="21" t="n">
        <x:f>E490+K490-I490-J490-L490</x:f>
        <x:v>900</x:v>
      </x:c>
    </x:row>
    <x:row r="491" ht="36" customHeight="1">
      <x:c r="A491" s="8" t="str">
        <x:v>Liquidity-first</x:v>
      </x:c>
      <x:c r="B491" s="8" t="str">
        <x:v>Moderate synergies</x:v>
      </x:c>
      <x:c r="C491" s="8" t="str">
        <x:v>Atlas finance lease</x:v>
      </x:c>
      <x:c r="D491" s="22" t="n">
        <x:v>3</x:v>
      </x:c>
      <x:c r="E491" s="8" t="n">
        <x:v>48</x:v>
      </x:c>
      <x:c r="F491" s="23" t="n">
        <x:v>0.05</x:v>
      </x:c>
      <x:c r="G491" s="8" t="n">
        <x:v>2.4000000000000004</x:v>
      </x:c>
      <x:c r="H491" s="8" t="n">
        <x:v>16</x:v>
      </x:c>
      <x:c r="I491" s="8" t="n">
        <x:v>16</x:v>
      </x:c>
      <x:c r="J491" s="8" t="n">
        <x:v>0</x:v>
      </x:c>
      <x:c r="K491" s="8" t="n">
        <x:v>0</x:v>
      </x:c>
      <x:c r="L491" s="8" t="n">
        <x:v>0</x:v>
      </x:c>
      <x:c r="M491" s="21" t="n">
        <x:f>E491+K491-I491-J491-L491</x:f>
        <x:v>32</x:v>
      </x:c>
    </x:row>
    <x:row r="492" ht="36" customHeight="1">
      <x:c r="A492" s="8" t="str">
        <x:v>Liquidity-first</x:v>
      </x:c>
      <x:c r="B492" s="8" t="str">
        <x:v>Moderate synergies</x:v>
      </x:c>
      <x:c r="C492" s="8" t="str">
        <x:v>Beacon notes</x:v>
      </x:c>
      <x:c r="D492" s="22" t="n">
        <x:v>3</x:v>
      </x:c>
      <x:c r="E492" s="8" t="n">
        <x:v>350</x:v>
      </x:c>
      <x:c r="F492" s="23" t="n">
        <x:v>0.0475</x:v>
      </x:c>
      <x:c r="G492" s="8" t="n">
        <x:v>16.625</x:v>
      </x:c>
      <x:c r="H492" s="8" t="n">
        <x:v>350</x:v>
      </x:c>
      <x:c r="I492" s="8" t="n">
        <x:v>350</x:v>
      </x:c>
      <x:c r="J492" s="8" t="n">
        <x:v>0</x:v>
      </x:c>
      <x:c r="K492" s="8" t="n">
        <x:v>0</x:v>
      </x:c>
      <x:c r="L492" s="8" t="n">
        <x:v>0</x:v>
      </x:c>
      <x:c r="M492" s="21" t="n">
        <x:f>E492+K492-I492-J492-L492</x:f>
        <x:v>0</x:v>
      </x:c>
    </x:row>
    <x:row r="493" ht="36" customHeight="1">
      <x:c r="A493" s="8" t="str">
        <x:v>Liquidity-first</x:v>
      </x:c>
      <x:c r="B493" s="8" t="str">
        <x:v>Moderate synergies</x:v>
      </x:c>
      <x:c r="C493" s="8" t="str">
        <x:v>Acquisition term</x:v>
      </x:c>
      <x:c r="D493" s="22" t="n">
        <x:v>3</x:v>
      </x:c>
      <x:c r="E493" s="8" t="n">
        <x:v>789.7329760434254</x:v>
      </x:c>
      <x:c r="F493" s="23" t="n">
        <x:v>0.060000000000000005</x:v>
      </x:c>
      <x:c r="G493" s="8" t="n">
        <x:v>47.38397856260553</x:v>
      </x:c>
      <x:c r="H493" s="8" t="n">
        <x:v>44.46700507614213</x:v>
      </x:c>
      <x:c r="I493" s="8" t="n">
        <x:v>44.46700507614213</x:v>
      </x:c>
      <x:c r="J493" s="8" t="n">
        <x:v>40.63905407981383</x:v>
      </x:c>
      <x:c r="K493" s="8" t="n">
        <x:v>0</x:v>
      </x:c>
      <x:c r="L493" s="8" t="n">
        <x:v>0</x:v>
      </x:c>
      <x:c r="M493" s="21" t="n">
        <x:f>E493+K493-I493-J493-L493</x:f>
        <x:v>704.6269168874694</x:v>
      </x:c>
    </x:row>
    <x:row r="494" ht="36" customHeight="1">
      <x:c r="A494" s="8" t="str">
        <x:v>Liquidity-first</x:v>
      </x:c>
      <x:c r="B494" s="8" t="str">
        <x:v>Moderate synergies</x:v>
      </x:c>
      <x:c r="C494" s="8" t="str">
        <x:v>Committed revolver</x:v>
      </x:c>
      <x:c r="D494" s="22" t="n">
        <x:v>3</x:v>
      </x:c>
      <x:c r="E494" s="8" t="n">
        <x:v>0</x:v>
      </x:c>
      <x:c r="F494" s="23" t="n">
        <x:v>0.0575</x:v>
      </x:c>
      <x:c r="G494" s="8" t="n">
        <x:v>0</x:v>
      </x:c>
      <x:c r="H494" s="8" t="n">
        <x:v>0</x:v>
      </x:c>
      <x:c r="I494" s="8" t="n">
        <x:v>0</x:v>
      </x:c>
      <x:c r="J494" s="8" t="n">
        <x:v>0</x:v>
      </x:c>
      <x:c r="K494" s="8" t="n">
        <x:v>0</x:v>
      </x:c>
      <x:c r="L494" s="8" t="n">
        <x:v>0</x:v>
      </x:c>
      <x:c r="M494" s="21" t="n">
        <x:f>E494+K494-I494-J494-L494</x:f>
        <x:v>0</x:v>
      </x:c>
    </x:row>
    <x:row r="495" ht="36" customHeight="1">
      <x:c r="A495" s="8" t="str">
        <x:v>Liquidity-first</x:v>
      </x:c>
      <x:c r="B495" s="8" t="str">
        <x:v>Moderate synergies</x:v>
      </x:c>
      <x:c r="C495" s="8" t="str">
        <x:v>Atlas notes</x:v>
      </x:c>
      <x:c r="D495" s="22" t="n">
        <x:v>4</x:v>
      </x:c>
      <x:c r="E495" s="8" t="n">
        <x:v>900</x:v>
      </x:c>
      <x:c r="F495" s="23" t="n">
        <x:v>0.038</x:v>
      </x:c>
      <x:c r="G495" s="8" t="n">
        <x:v>34.199999999999996</x:v>
      </x:c>
      <x:c r="H495" s="8" t="n">
        <x:v>900</x:v>
      </x:c>
      <x:c r="I495" s="8" t="n">
        <x:v>900</x:v>
      </x:c>
      <x:c r="J495" s="8" t="n">
        <x:v>0</x:v>
      </x:c>
      <x:c r="K495" s="8" t="n">
        <x:v>0</x:v>
      </x:c>
      <x:c r="L495" s="8" t="n">
        <x:v>0</x:v>
      </x:c>
      <x:c r="M495" s="21" t="n">
        <x:f>E495+K495-I495-J495-L495</x:f>
        <x:v>0</x:v>
      </x:c>
    </x:row>
    <x:row r="496" ht="36" customHeight="1">
      <x:c r="A496" s="8" t="str">
        <x:v>Liquidity-first</x:v>
      </x:c>
      <x:c r="B496" s="8" t="str">
        <x:v>Moderate synergies</x:v>
      </x:c>
      <x:c r="C496" s="8" t="str">
        <x:v>Atlas finance lease</x:v>
      </x:c>
      <x:c r="D496" s="22" t="n">
        <x:v>4</x:v>
      </x:c>
      <x:c r="E496" s="8" t="n">
        <x:v>32</x:v>
      </x:c>
      <x:c r="F496" s="23" t="n">
        <x:v>0.05</x:v>
      </x:c>
      <x:c r="G496" s="8" t="n">
        <x:v>1.6</x:v>
      </x:c>
      <x:c r="H496" s="8" t="n">
        <x:v>16</x:v>
      </x:c>
      <x:c r="I496" s="8" t="n">
        <x:v>16</x:v>
      </x:c>
      <x:c r="J496" s="8" t="n">
        <x:v>0</x:v>
      </x:c>
      <x:c r="K496" s="8" t="n">
        <x:v>0</x:v>
      </x:c>
      <x:c r="L496" s="8" t="n">
        <x:v>0</x:v>
      </x:c>
      <x:c r="M496" s="21" t="n">
        <x:f>E496+K496-I496-J496-L496</x:f>
        <x:v>16</x:v>
      </x:c>
    </x:row>
    <x:row r="497" ht="36" customHeight="1">
      <x:c r="A497" s="8" t="str">
        <x:v>Liquidity-first</x:v>
      </x:c>
      <x:c r="B497" s="8" t="str">
        <x:v>Moderate synergies</x:v>
      </x:c>
      <x:c r="C497" s="8" t="str">
        <x:v>Beacon notes</x:v>
      </x:c>
      <x:c r="D497" s="22" t="n">
        <x:v>4</x:v>
      </x:c>
      <x:c r="E497" s="8" t="n">
        <x:v>0</x:v>
      </x:c>
      <x:c r="F497" s="23" t="n">
        <x:v>0.0475</x:v>
      </x:c>
      <x:c r="G497" s="8" t="n">
        <x:v>0</x:v>
      </x:c>
      <x:c r="H497" s="8" t="n">
        <x:v>0</x:v>
      </x:c>
      <x:c r="I497" s="8" t="n">
        <x:v>0</x:v>
      </x:c>
      <x:c r="J497" s="8" t="n">
        <x:v>0</x:v>
      </x:c>
      <x:c r="K497" s="8" t="n">
        <x:v>0</x:v>
      </x:c>
      <x:c r="L497" s="8" t="n">
        <x:v>0</x:v>
      </x:c>
      <x:c r="M497" s="21" t="n">
        <x:f>E497+K497-I497-J497-L497</x:f>
        <x:v>0</x:v>
      </x:c>
    </x:row>
    <x:row r="498" ht="36" customHeight="1">
      <x:c r="A498" s="8" t="str">
        <x:v>Liquidity-first</x:v>
      </x:c>
      <x:c r="B498" s="8" t="str">
        <x:v>Moderate synergies</x:v>
      </x:c>
      <x:c r="C498" s="8" t="str">
        <x:v>Acquisition term</x:v>
      </x:c>
      <x:c r="D498" s="22" t="n">
        <x:v>4</x:v>
      </x:c>
      <x:c r="E498" s="8" t="n">
        <x:v>704.6269168874694</x:v>
      </x:c>
      <x:c r="F498" s="23" t="n">
        <x:v>0.060000000000000005</x:v>
      </x:c>
      <x:c r="G498" s="8" t="n">
        <x:v>42.277615013248166</x:v>
      </x:c>
      <x:c r="H498" s="8" t="n">
        <x:v>44.46700507614213</x:v>
      </x:c>
      <x:c r="I498" s="8" t="n">
        <x:v>44.46700507614213</x:v>
      </x:c>
      <x:c r="J498" s="8" t="n">
        <x:v>0</x:v>
      </x:c>
      <x:c r="K498" s="8" t="n">
        <x:v>0</x:v>
      </x:c>
      <x:c r="L498" s="8" t="n">
        <x:v>0</x:v>
      </x:c>
      <x:c r="M498" s="21" t="n">
        <x:f>E498+K498-I498-J498-L498</x:f>
        <x:v>660.1599118113272</x:v>
      </x:c>
    </x:row>
    <x:row r="499" ht="36" customHeight="1">
      <x:c r="A499" s="8" t="str">
        <x:v>Liquidity-first</x:v>
      </x:c>
      <x:c r="B499" s="8" t="str">
        <x:v>Moderate synergies</x:v>
      </x:c>
      <x:c r="C499" s="8" t="str">
        <x:v>Committed revolver</x:v>
      </x:c>
      <x:c r="D499" s="22" t="n">
        <x:v>4</x:v>
      </x:c>
      <x:c r="E499" s="8" t="n">
        <x:v>0</x:v>
      </x:c>
      <x:c r="F499" s="23" t="n">
        <x:v>0.0575</x:v>
      </x:c>
      <x:c r="G499" s="8" t="n">
        <x:v>0</x:v>
      </x:c>
      <x:c r="H499" s="8" t="n">
        <x:v>0</x:v>
      </x:c>
      <x:c r="I499" s="8" t="n">
        <x:v>0</x:v>
      </x:c>
      <x:c r="J499" s="8" t="n">
        <x:v>0</x:v>
      </x:c>
      <x:c r="K499" s="8" t="n">
        <x:v>430.6283438312216</x:v>
      </x:c>
      <x:c r="L499" s="8" t="n">
        <x:v>0</x:v>
      </x:c>
      <x:c r="M499" s="21" t="n">
        <x:f>E499+K499-I499-J499-L499</x:f>
        <x:v>430.6283438312216</x:v>
      </x:c>
    </x:row>
    <x:row r="500" ht="36" customHeight="1">
      <x:c r="A500" s="8" t="str">
        <x:v>Liquidity-first</x:v>
      </x:c>
      <x:c r="B500" s="8" t="str">
        <x:v>Moderate synergies</x:v>
      </x:c>
      <x:c r="C500" s="8" t="str">
        <x:v>Atlas notes</x:v>
      </x:c>
      <x:c r="D500" s="22" t="n">
        <x:v>5</x:v>
      </x:c>
      <x:c r="E500" s="8" t="n">
        <x:v>0</x:v>
      </x:c>
      <x:c r="F500" s="23" t="n">
        <x:v>0.038</x:v>
      </x:c>
      <x:c r="G500" s="8" t="n">
        <x:v>0</x:v>
      </x:c>
      <x:c r="H500" s="8" t="n">
        <x:v>0</x:v>
      </x:c>
      <x:c r="I500" s="8" t="n">
        <x:v>0</x:v>
      </x:c>
      <x:c r="J500" s="8" t="n">
        <x:v>0</x:v>
      </x:c>
      <x:c r="K500" s="8" t="n">
        <x:v>0</x:v>
      </x:c>
      <x:c r="L500" s="8" t="n">
        <x:v>0</x:v>
      </x:c>
      <x:c r="M500" s="21" t="n">
        <x:f>E500+K500-I500-J500-L500</x:f>
        <x:v>0</x:v>
      </x:c>
    </x:row>
    <x:row r="501" ht="36" customHeight="1">
      <x:c r="A501" s="8" t="str">
        <x:v>Liquidity-first</x:v>
      </x:c>
      <x:c r="B501" s="8" t="str">
        <x:v>Moderate synergies</x:v>
      </x:c>
      <x:c r="C501" s="8" t="str">
        <x:v>Atlas finance lease</x:v>
      </x:c>
      <x:c r="D501" s="22" t="n">
        <x:v>5</x:v>
      </x:c>
      <x:c r="E501" s="8" t="n">
        <x:v>16</x:v>
      </x:c>
      <x:c r="F501" s="23" t="n">
        <x:v>0.05</x:v>
      </x:c>
      <x:c r="G501" s="8" t="n">
        <x:v>0.8</x:v>
      </x:c>
      <x:c r="H501" s="8" t="n">
        <x:v>16</x:v>
      </x:c>
      <x:c r="I501" s="8" t="n">
        <x:v>16</x:v>
      </x:c>
      <x:c r="J501" s="8" t="n">
        <x:v>0</x:v>
      </x:c>
      <x:c r="K501" s="8" t="n">
        <x:v>0</x:v>
      </x:c>
      <x:c r="L501" s="8" t="n">
        <x:v>0</x:v>
      </x:c>
      <x:c r="M501" s="21" t="n">
        <x:f>E501+K501-I501-J501-L501</x:f>
        <x:v>0</x:v>
      </x:c>
    </x:row>
    <x:row r="502" ht="36" customHeight="1">
      <x:c r="A502" s="8" t="str">
        <x:v>Liquidity-first</x:v>
      </x:c>
      <x:c r="B502" s="8" t="str">
        <x:v>Moderate synergies</x:v>
      </x:c>
      <x:c r="C502" s="8" t="str">
        <x:v>Beacon notes</x:v>
      </x:c>
      <x:c r="D502" s="22" t="n">
        <x:v>5</x:v>
      </x:c>
      <x:c r="E502" s="8" t="n">
        <x:v>0</x:v>
      </x:c>
      <x:c r="F502" s="23" t="n">
        <x:v>0.0475</x:v>
      </x:c>
      <x:c r="G502" s="8" t="n">
        <x:v>0</x:v>
      </x:c>
      <x:c r="H502" s="8" t="n">
        <x:v>0</x:v>
      </x:c>
      <x:c r="I502" s="8" t="n">
        <x:v>0</x:v>
      </x:c>
      <x:c r="J502" s="8" t="n">
        <x:v>0</x:v>
      </x:c>
      <x:c r="K502" s="8" t="n">
        <x:v>0</x:v>
      </x:c>
      <x:c r="L502" s="8" t="n">
        <x:v>0</x:v>
      </x:c>
      <x:c r="M502" s="21" t="n">
        <x:f>E502+K502-I502-J502-L502</x:f>
        <x:v>0</x:v>
      </x:c>
    </x:row>
    <x:row r="503" ht="36" customHeight="1">
      <x:c r="A503" s="8" t="str">
        <x:v>Liquidity-first</x:v>
      </x:c>
      <x:c r="B503" s="8" t="str">
        <x:v>Moderate synergies</x:v>
      </x:c>
      <x:c r="C503" s="8" t="str">
        <x:v>Acquisition term</x:v>
      </x:c>
      <x:c r="D503" s="22" t="n">
        <x:v>5</x:v>
      </x:c>
      <x:c r="E503" s="8" t="n">
        <x:v>660.1599118113272</x:v>
      </x:c>
      <x:c r="F503" s="23" t="n">
        <x:v>0.060000000000000005</x:v>
      </x:c>
      <x:c r="G503" s="8" t="n">
        <x:v>39.60959470867964</x:v>
      </x:c>
      <x:c r="H503" s="8" t="n">
        <x:v>660.1599118113272</x:v>
      </x:c>
      <x:c r="I503" s="8" t="n">
        <x:v>660.1599118113272</x:v>
      </x:c>
      <x:c r="J503" s="8" t="n">
        <x:v>0</x:v>
      </x:c>
      <x:c r="K503" s="8" t="n">
        <x:v>0</x:v>
      </x:c>
      <x:c r="L503" s="8" t="n">
        <x:v>0</x:v>
      </x:c>
      <x:c r="M503" s="21" t="n">
        <x:f>E503+K503-I503-J503-L503</x:f>
        <x:v>0</x:v>
      </x:c>
    </x:row>
    <x:row r="504" ht="36" customHeight="1">
      <x:c r="A504" s="8" t="str">
        <x:v>Liquidity-first</x:v>
      </x:c>
      <x:c r="B504" s="8" t="str">
        <x:v>Moderate synergies</x:v>
      </x:c>
      <x:c r="C504" s="8" t="str">
        <x:v>Committed revolver</x:v>
      </x:c>
      <x:c r="D504" s="22" t="n">
        <x:v>5</x:v>
      </x:c>
      <x:c r="E504" s="8" t="n">
        <x:v>430.6283438312216</x:v>
      </x:c>
      <x:c r="F504" s="23" t="n">
        <x:v>0.0575</x:v>
      </x:c>
      <x:c r="G504" s="8" t="n">
        <x:v>24.761129770295245</x:v>
      </x:c>
      <x:c r="H504" s="8" t="n">
        <x:v>430.6283438312216</x:v>
      </x:c>
      <x:c r="I504" s="8" t="n">
        <x:v>430.6283438312216</x:v>
      </x:c>
      <x:c r="J504" s="8" t="n">
        <x:v>0</x:v>
      </x:c>
      <x:c r="K504" s="8" t="n">
        <x:v>0</x:v>
      </x:c>
      <x:c r="L504" s="8" t="n">
        <x:v>0</x:v>
      </x:c>
      <x:c r="M504" s="21" t="n">
        <x:f>E504+K504-I504-J504-L504</x:f>
        <x:v>0</x:v>
      </x:c>
    </x:row>
    <x:row r="505" ht="36" customHeight="1">
      <x:c r="A505" s="8" t="str">
        <x:v>Mixed consideration</x:v>
      </x:c>
      <x:c r="B505" s="8" t="str">
        <x:v>Moderate synergies</x:v>
      </x:c>
      <x:c r="C505" s="8" t="str">
        <x:v>Atlas notes</x:v>
      </x:c>
      <x:c r="D505" s="22" t="n">
        <x:v>1</x:v>
      </x:c>
      <x:c r="E505" s="8" t="n">
        <x:v>900</x:v>
      </x:c>
      <x:c r="F505" s="23" t="n">
        <x:v>0.038</x:v>
      </x:c>
      <x:c r="G505" s="8" t="n">
        <x:v>34.199999999999996</x:v>
      </x:c>
      <x:c r="H505" s="8" t="n">
        <x:v>0</x:v>
      </x:c>
      <x:c r="I505" s="8" t="n">
        <x:v>0</x:v>
      </x:c>
      <x:c r="J505" s="8" t="n">
        <x:v>0</x:v>
      </x:c>
      <x:c r="K505" s="8" t="n">
        <x:v>0</x:v>
      </x:c>
      <x:c r="L505" s="8" t="n">
        <x:v>0</x:v>
      </x:c>
      <x:c r="M505" s="21" t="n">
        <x:f>E505+K505-I505-J505-L505</x:f>
        <x:v>900</x:v>
      </x:c>
    </x:row>
    <x:row r="506" ht="36" customHeight="1">
      <x:c r="A506" s="8" t="str">
        <x:v>Mixed consideration</x:v>
      </x:c>
      <x:c r="B506" s="8" t="str">
        <x:v>Moderate synergies</x:v>
      </x:c>
      <x:c r="C506" s="8" t="str">
        <x:v>Atlas finance lease</x:v>
      </x:c>
      <x:c r="D506" s="22" t="n">
        <x:v>1</x:v>
      </x:c>
      <x:c r="E506" s="8" t="n">
        <x:v>80</x:v>
      </x:c>
      <x:c r="F506" s="23" t="n">
        <x:v>0.05</x:v>
      </x:c>
      <x:c r="G506" s="8" t="n">
        <x:v>4</x:v>
      </x:c>
      <x:c r="H506" s="8" t="n">
        <x:v>16</x:v>
      </x:c>
      <x:c r="I506" s="8" t="n">
        <x:v>16</x:v>
      </x:c>
      <x:c r="J506" s="8" t="n">
        <x:v>16.329218673944126</x:v>
      </x:c>
      <x:c r="K506" s="8" t="n">
        <x:v>0</x:v>
      </x:c>
      <x:c r="L506" s="8" t="n">
        <x:v>0</x:v>
      </x:c>
      <x:c r="M506" s="21" t="n">
        <x:f>E506+K506-I506-J506-L506</x:f>
        <x:v>47.670781326055874</x:v>
      </x:c>
    </x:row>
    <x:row r="507" ht="36" customHeight="1">
      <x:c r="A507" s="8" t="str">
        <x:v>Mixed consideration</x:v>
      </x:c>
      <x:c r="B507" s="8" t="str">
        <x:v>Moderate synergies</x:v>
      </x:c>
      <x:c r="C507" s="8" t="str">
        <x:v>Beacon notes</x:v>
      </x:c>
      <x:c r="D507" s="22" t="n">
        <x:v>1</x:v>
      </x:c>
      <x:c r="E507" s="8" t="n">
        <x:v>350</x:v>
      </x:c>
      <x:c r="F507" s="23" t="n">
        <x:v>0.0475</x:v>
      </x:c>
      <x:c r="G507" s="8" t="n">
        <x:v>16.625</x:v>
      </x:c>
      <x:c r="H507" s="8" t="n">
        <x:v>0</x:v>
      </x:c>
      <x:c r="I507" s="8" t="n">
        <x:v>0</x:v>
      </x:c>
      <x:c r="J507" s="8" t="n">
        <x:v>0</x:v>
      </x:c>
      <x:c r="K507" s="8" t="n">
        <x:v>0</x:v>
      </x:c>
      <x:c r="L507" s="8" t="n">
        <x:v>0</x:v>
      </x:c>
      <x:c r="M507" s="21" t="n">
        <x:f>E507+K507-I507-J507-L507</x:f>
        <x:v>350</x:v>
      </x:c>
    </x:row>
    <x:row r="508" ht="36" customHeight="1">
      <x:c r="A508" s="8" t="str">
        <x:v>Mixed consideration</x:v>
      </x:c>
      <x:c r="B508" s="8" t="str">
        <x:v>Moderate synergies</x:v>
      </x:c>
      <x:c r="C508" s="8" t="str">
        <x:v>Acquisition term</x:v>
      </x:c>
      <x:c r="D508" s="22" t="n">
        <x:v>1</x:v>
      </x:c>
      <x:c r="E508" s="8" t="n">
        <x:v>304.56852791878174</x:v>
      </x:c>
      <x:c r="F508" s="23" t="n">
        <x:v>0.065</x:v>
      </x:c>
      <x:c r="G508" s="8" t="n">
        <x:v>19.796954314720814</x:v>
      </x:c>
      <x:c r="H508" s="8" t="n">
        <x:v>6.091370558375635</x:v>
      </x:c>
      <x:c r="I508" s="8" t="n">
        <x:v>6.091370558375635</x:v>
      </x:c>
      <x:c r="J508" s="8" t="n">
        <x:v>298.4771573604061</x:v>
      </x:c>
      <x:c r="K508" s="8" t="n">
        <x:v>0</x:v>
      </x:c>
      <x:c r="L508" s="8" t="n">
        <x:v>0</x:v>
      </x:c>
      <x:c r="M508" s="21" t="n">
        <x:f>E508+K508-I508-J508-L508</x:f>
        <x:v>0</x:v>
      </x:c>
    </x:row>
    <x:row r="509" ht="36" customHeight="1">
      <x:c r="A509" s="8" t="str">
        <x:v>Mixed consideration</x:v>
      </x:c>
      <x:c r="B509" s="8" t="str">
        <x:v>Moderate synergies</x:v>
      </x:c>
      <x:c r="C509" s="8" t="str">
        <x:v>Committed revolver</x:v>
      </x:c>
      <x:c r="D509" s="22" t="n">
        <x:v>1</x:v>
      </x:c>
      <x:c r="E509" s="8" t="n">
        <x:v>0</x:v>
      </x:c>
      <x:c r="F509" s="23" t="n">
        <x:v>0.0625</x:v>
      </x:c>
      <x:c r="G509" s="8" t="n">
        <x:v>0</x:v>
      </x:c>
      <x:c r="H509" s="8" t="n">
        <x:v>0</x:v>
      </x:c>
      <x:c r="I509" s="8" t="n">
        <x:v>0</x:v>
      </x:c>
      <x:c r="J509" s="8" t="n">
        <x:v>0</x:v>
      </x:c>
      <x:c r="K509" s="8" t="n">
        <x:v>0</x:v>
      </x:c>
      <x:c r="L509" s="8" t="n">
        <x:v>0</x:v>
      </x:c>
      <x:c r="M509" s="21" t="n">
        <x:f>E509+K509-I509-J509-L509</x:f>
        <x:v>0</x:v>
      </x:c>
    </x:row>
    <x:row r="510" ht="36" customHeight="1">
      <x:c r="A510" s="8" t="str">
        <x:v>Mixed consideration</x:v>
      </x:c>
      <x:c r="B510" s="8" t="str">
        <x:v>Moderate synergies</x:v>
      </x:c>
      <x:c r="C510" s="8" t="str">
        <x:v>Atlas notes</x:v>
      </x:c>
      <x:c r="D510" s="22" t="n">
        <x:v>2</x:v>
      </x:c>
      <x:c r="E510" s="8" t="n">
        <x:v>900</x:v>
      </x:c>
      <x:c r="F510" s="23" t="n">
        <x:v>0.038</x:v>
      </x:c>
      <x:c r="G510" s="8" t="n">
        <x:v>34.199999999999996</x:v>
      </x:c>
      <x:c r="H510" s="8" t="n">
        <x:v>0</x:v>
      </x:c>
      <x:c r="I510" s="8" t="n">
        <x:v>0</x:v>
      </x:c>
      <x:c r="J510" s="8" t="n">
        <x:v>7.9826320112013605</x:v>
      </x:c>
      <x:c r="K510" s="8" t="n">
        <x:v>0</x:v>
      </x:c>
      <x:c r="L510" s="8" t="n">
        <x:v>0</x:v>
      </x:c>
      <x:c r="M510" s="21" t="n">
        <x:f>E510+K510-I510-J510-L510</x:f>
        <x:v>892.0173679887987</x:v>
      </x:c>
    </x:row>
    <x:row r="511" ht="36" customHeight="1">
      <x:c r="A511" s="8" t="str">
        <x:v>Mixed consideration</x:v>
      </x:c>
      <x:c r="B511" s="8" t="str">
        <x:v>Moderate synergies</x:v>
      </x:c>
      <x:c r="C511" s="8" t="str">
        <x:v>Atlas finance lease</x:v>
      </x:c>
      <x:c r="D511" s="22" t="n">
        <x:v>2</x:v>
      </x:c>
      <x:c r="E511" s="8" t="n">
        <x:v>47.670781326055874</x:v>
      </x:c>
      <x:c r="F511" s="23" t="n">
        <x:v>0.05</x:v>
      </x:c>
      <x:c r="G511" s="8" t="n">
        <x:v>2.3835390663027938</x:v>
      </x:c>
      <x:c r="H511" s="8" t="n">
        <x:v>16</x:v>
      </x:c>
      <x:c r="I511" s="8" t="n">
        <x:v>16</x:v>
      </x:c>
      <x:c r="J511" s="8" t="n">
        <x:v>31.670781326055874</x:v>
      </x:c>
      <x:c r="K511" s="8" t="n">
        <x:v>0</x:v>
      </x:c>
      <x:c r="L511" s="8" t="n">
        <x:v>0</x:v>
      </x:c>
      <x:c r="M511" s="21" t="n">
        <x:f>E511+K511-I511-J511-L511</x:f>
        <x:v>0</x:v>
      </x:c>
    </x:row>
    <x:row r="512" ht="36" customHeight="1">
      <x:c r="A512" s="8" t="str">
        <x:v>Mixed consideration</x:v>
      </x:c>
      <x:c r="B512" s="8" t="str">
        <x:v>Moderate synergies</x:v>
      </x:c>
      <x:c r="C512" s="8" t="str">
        <x:v>Beacon notes</x:v>
      </x:c>
      <x:c r="D512" s="22" t="n">
        <x:v>2</x:v>
      </x:c>
      <x:c r="E512" s="8" t="n">
        <x:v>350</x:v>
      </x:c>
      <x:c r="F512" s="23" t="n">
        <x:v>0.0475</x:v>
      </x:c>
      <x:c r="G512" s="8" t="n">
        <x:v>16.625</x:v>
      </x:c>
      <x:c r="H512" s="8" t="n">
        <x:v>0</x:v>
      </x:c>
      <x:c r="I512" s="8" t="n">
        <x:v>0</x:v>
      </x:c>
      <x:c r="J512" s="8" t="n">
        <x:v>350</x:v>
      </x:c>
      <x:c r="K512" s="8" t="n">
        <x:v>0</x:v>
      </x:c>
      <x:c r="L512" s="8" t="n">
        <x:v>0</x:v>
      </x:c>
      <x:c r="M512" s="21" t="n">
        <x:f>E512+K512-I512-J512-L512</x:f>
        <x:v>0</x:v>
      </x:c>
    </x:row>
    <x:row r="513" ht="36" customHeight="1">
      <x:c r="A513" s="8" t="str">
        <x:v>Mixed consideration</x:v>
      </x:c>
      <x:c r="B513" s="8" t="str">
        <x:v>Moderate synergies</x:v>
      </x:c>
      <x:c r="C513" s="8" t="str">
        <x:v>Acquisition term</x:v>
      </x:c>
      <x:c r="D513" s="22" t="n">
        <x:v>2</x:v>
      </x:c>
      <x:c r="E513" s="8" t="n">
        <x:v>0</x:v>
      </x:c>
      <x:c r="F513" s="23" t="n">
        <x:v>0.0625</x:v>
      </x:c>
      <x:c r="G513" s="8" t="n">
        <x:v>0</x:v>
      </x:c>
      <x:c r="H513" s="8" t="n">
        <x:v>0</x:v>
      </x:c>
      <x:c r="I513" s="8" t="n">
        <x:v>0</x:v>
      </x:c>
      <x:c r="J513" s="8" t="n">
        <x:v>0</x:v>
      </x:c>
      <x:c r="K513" s="8" t="n">
        <x:v>0</x:v>
      </x:c>
      <x:c r="L513" s="8" t="n">
        <x:v>0</x:v>
      </x:c>
      <x:c r="M513" s="21" t="n">
        <x:f>E513+K513-I513-J513-L513</x:f>
        <x:v>0</x:v>
      </x:c>
    </x:row>
    <x:row r="514" ht="36" customHeight="1">
      <x:c r="A514" s="8" t="str">
        <x:v>Mixed consideration</x:v>
      </x:c>
      <x:c r="B514" s="8" t="str">
        <x:v>Moderate synergies</x:v>
      </x:c>
      <x:c r="C514" s="8" t="str">
        <x:v>Committed revolver</x:v>
      </x:c>
      <x:c r="D514" s="22" t="n">
        <x:v>2</x:v>
      </x:c>
      <x:c r="E514" s="8" t="n">
        <x:v>0</x:v>
      </x:c>
      <x:c r="F514" s="23" t="n">
        <x:v>0.06</x:v>
      </x:c>
      <x:c r="G514" s="8" t="n">
        <x:v>0</x:v>
      </x:c>
      <x:c r="H514" s="8" t="n">
        <x:v>0</x:v>
      </x:c>
      <x:c r="I514" s="8" t="n">
        <x:v>0</x:v>
      </x:c>
      <x:c r="J514" s="8" t="n">
        <x:v>0</x:v>
      </x:c>
      <x:c r="K514" s="8" t="n">
        <x:v>0</x:v>
      </x:c>
      <x:c r="L514" s="8" t="n">
        <x:v>0</x:v>
      </x:c>
      <x:c r="M514" s="21" t="n">
        <x:f>E514+K514-I514-J514-L514</x:f>
        <x:v>0</x:v>
      </x:c>
    </x:row>
    <x:row r="515" ht="36" customHeight="1">
      <x:c r="A515" s="8" t="str">
        <x:v>Mixed consideration</x:v>
      </x:c>
      <x:c r="B515" s="8" t="str">
        <x:v>Moderate synergies</x:v>
      </x:c>
      <x:c r="C515" s="8" t="str">
        <x:v>Atlas notes</x:v>
      </x:c>
      <x:c r="D515" s="22" t="n">
        <x:v>3</x:v>
      </x:c>
      <x:c r="E515" s="8" t="n">
        <x:v>892.0173679887987</x:v>
      </x:c>
      <x:c r="F515" s="23" t="n">
        <x:v>0.038</x:v>
      </x:c>
      <x:c r="G515" s="8" t="n">
        <x:v>33.89665998357435</x:v>
      </x:c>
      <x:c r="H515" s="8" t="n">
        <x:v>0</x:v>
      </x:c>
      <x:c r="I515" s="8" t="n">
        <x:v>0</x:v>
      </x:c>
      <x:c r="J515" s="8" t="n">
        <x:v>501.14029809022963</x:v>
      </x:c>
      <x:c r="K515" s="8" t="n">
        <x:v>0</x:v>
      </x:c>
      <x:c r="L515" s="8" t="n">
        <x:v>0</x:v>
      </x:c>
      <x:c r="M515" s="21" t="n">
        <x:f>E515+K515-I515-J515-L515</x:f>
        <x:v>390.87706989856906</x:v>
      </x:c>
    </x:row>
    <x:row r="516" ht="36" customHeight="1">
      <x:c r="A516" s="8" t="str">
        <x:v>Mixed consideration</x:v>
      </x:c>
      <x:c r="B516" s="8" t="str">
        <x:v>Moderate synergies</x:v>
      </x:c>
      <x:c r="C516" s="8" t="str">
        <x:v>Atlas finance lease</x:v>
      </x:c>
      <x:c r="D516" s="22" t="n">
        <x:v>3</x:v>
      </x:c>
      <x:c r="E516" s="8" t="n">
        <x:v>0</x:v>
      </x:c>
      <x:c r="F516" s="23" t="n">
        <x:v>0.05</x:v>
      </x:c>
      <x:c r="G516" s="8" t="n">
        <x:v>0</x:v>
      </x:c>
      <x:c r="H516" s="8" t="n">
        <x:v>0</x:v>
      </x:c>
      <x:c r="I516" s="8" t="n">
        <x:v>0</x:v>
      </x:c>
      <x:c r="J516" s="8" t="n">
        <x:v>0</x:v>
      </x:c>
      <x:c r="K516" s="8" t="n">
        <x:v>0</x:v>
      </x:c>
      <x:c r="L516" s="8" t="n">
        <x:v>0</x:v>
      </x:c>
      <x:c r="M516" s="21" t="n">
        <x:f>E516+K516-I516-J516-L516</x:f>
        <x:v>0</x:v>
      </x:c>
    </x:row>
    <x:row r="517" ht="36" customHeight="1">
      <x:c r="A517" s="8" t="str">
        <x:v>Mixed consideration</x:v>
      </x:c>
      <x:c r="B517" s="8" t="str">
        <x:v>Moderate synergies</x:v>
      </x:c>
      <x:c r="C517" s="8" t="str">
        <x:v>Beacon notes</x:v>
      </x:c>
      <x:c r="D517" s="22" t="n">
        <x:v>3</x:v>
      </x:c>
      <x:c r="E517" s="8" t="n">
        <x:v>0</x:v>
      </x:c>
      <x:c r="F517" s="23" t="n">
        <x:v>0.0475</x:v>
      </x:c>
      <x:c r="G517" s="8" t="n">
        <x:v>0</x:v>
      </x:c>
      <x:c r="H517" s="8" t="n">
        <x:v>0</x:v>
      </x:c>
      <x:c r="I517" s="8" t="n">
        <x:v>0</x:v>
      </x:c>
      <x:c r="J517" s="8" t="n">
        <x:v>0</x:v>
      </x:c>
      <x:c r="K517" s="8" t="n">
        <x:v>0</x:v>
      </x:c>
      <x:c r="L517" s="8" t="n">
        <x:v>0</x:v>
      </x:c>
      <x:c r="M517" s="21" t="n">
        <x:f>E517+K517-I517-J517-L517</x:f>
        <x:v>0</x:v>
      </x:c>
    </x:row>
    <x:row r="518" ht="36" customHeight="1">
      <x:c r="A518" s="8" t="str">
        <x:v>Mixed consideration</x:v>
      </x:c>
      <x:c r="B518" s="8" t="str">
        <x:v>Moderate synergies</x:v>
      </x:c>
      <x:c r="C518" s="8" t="str">
        <x:v>Acquisition term</x:v>
      </x:c>
      <x:c r="D518" s="22" t="n">
        <x:v>3</x:v>
      </x:c>
      <x:c r="E518" s="8" t="n">
        <x:v>0</x:v>
      </x:c>
      <x:c r="F518" s="23" t="n">
        <x:v>0.060000000000000005</x:v>
      </x:c>
      <x:c r="G518" s="8" t="n">
        <x:v>0</x:v>
      </x:c>
      <x:c r="H518" s="8" t="n">
        <x:v>0</x:v>
      </x:c>
      <x:c r="I518" s="8" t="n">
        <x:v>0</x:v>
      </x:c>
      <x:c r="J518" s="8" t="n">
        <x:v>0</x:v>
      </x:c>
      <x:c r="K518" s="8" t="n">
        <x:v>0</x:v>
      </x:c>
      <x:c r="L518" s="8" t="n">
        <x:v>0</x:v>
      </x:c>
      <x:c r="M518" s="21" t="n">
        <x:f>E518+K518-I518-J518-L518</x:f>
        <x:v>0</x:v>
      </x:c>
    </x:row>
    <x:row r="519" ht="36" customHeight="1">
      <x:c r="A519" s="8" t="str">
        <x:v>Mixed consideration</x:v>
      </x:c>
      <x:c r="B519" s="8" t="str">
        <x:v>Moderate synergies</x:v>
      </x:c>
      <x:c r="C519" s="8" t="str">
        <x:v>Committed revolver</x:v>
      </x:c>
      <x:c r="D519" s="22" t="n">
        <x:v>3</x:v>
      </x:c>
      <x:c r="E519" s="8" t="n">
        <x:v>0</x:v>
      </x:c>
      <x:c r="F519" s="23" t="n">
        <x:v>0.0575</x:v>
      </x:c>
      <x:c r="G519" s="8" t="n">
        <x:v>0</x:v>
      </x:c>
      <x:c r="H519" s="8" t="n">
        <x:v>0</x:v>
      </x:c>
      <x:c r="I519" s="8" t="n">
        <x:v>0</x:v>
      </x:c>
      <x:c r="J519" s="8" t="n">
        <x:v>0</x:v>
      </x:c>
      <x:c r="K519" s="8" t="n">
        <x:v>0</x:v>
      </x:c>
      <x:c r="L519" s="8" t="n">
        <x:v>0</x:v>
      </x:c>
      <x:c r="M519" s="21" t="n">
        <x:f>E519+K519-I519-J519-L519</x:f>
        <x:v>0</x:v>
      </x:c>
    </x:row>
    <x:row r="520" ht="36" customHeight="1">
      <x:c r="A520" s="8" t="str">
        <x:v>Mixed consideration</x:v>
      </x:c>
      <x:c r="B520" s="8" t="str">
        <x:v>Moderate synergies</x:v>
      </x:c>
      <x:c r="C520" s="8" t="str">
        <x:v>Atlas notes</x:v>
      </x:c>
      <x:c r="D520" s="22" t="n">
        <x:v>4</x:v>
      </x:c>
      <x:c r="E520" s="8" t="n">
        <x:v>390.87706989856906</x:v>
      </x:c>
      <x:c r="F520" s="23" t="n">
        <x:v>0.038</x:v>
      </x:c>
      <x:c r="G520" s="8" t="n">
        <x:v>14.853328656145624</x:v>
      </x:c>
      <x:c r="H520" s="8" t="n">
        <x:v>390.87706989856906</x:v>
      </x:c>
      <x:c r="I520" s="8" t="n">
        <x:v>390.87706989856906</x:v>
      </x:c>
      <x:c r="J520" s="8" t="n">
        <x:v>0</x:v>
      </x:c>
      <x:c r="K520" s="8" t="n">
        <x:v>0</x:v>
      </x:c>
      <x:c r="L520" s="8" t="n">
        <x:v>0</x:v>
      </x:c>
      <x:c r="M520" s="21" t="n">
        <x:f>E520+K520-I520-J520-L520</x:f>
        <x:v>0</x:v>
      </x:c>
    </x:row>
    <x:row r="521" ht="36" customHeight="1">
      <x:c r="A521" s="8" t="str">
        <x:v>Mixed consideration</x:v>
      </x:c>
      <x:c r="B521" s="8" t="str">
        <x:v>Moderate synergies</x:v>
      </x:c>
      <x:c r="C521" s="8" t="str">
        <x:v>Atlas finance lease</x:v>
      </x:c>
      <x:c r="D521" s="22" t="n">
        <x:v>4</x:v>
      </x:c>
      <x:c r="E521" s="8" t="n">
        <x:v>0</x:v>
      </x:c>
      <x:c r="F521" s="23" t="n">
        <x:v>0.05</x:v>
      </x:c>
      <x:c r="G521" s="8" t="n">
        <x:v>0</x:v>
      </x:c>
      <x:c r="H521" s="8" t="n">
        <x:v>0</x:v>
      </x:c>
      <x:c r="I521" s="8" t="n">
        <x:v>0</x:v>
      </x:c>
      <x:c r="J521" s="8" t="n">
        <x:v>0</x:v>
      </x:c>
      <x:c r="K521" s="8" t="n">
        <x:v>0</x:v>
      </x:c>
      <x:c r="L521" s="8" t="n">
        <x:v>0</x:v>
      </x:c>
      <x:c r="M521" s="21" t="n">
        <x:f>E521+K521-I521-J521-L521</x:f>
        <x:v>0</x:v>
      </x:c>
    </x:row>
    <x:row r="522" ht="36" customHeight="1">
      <x:c r="A522" s="8" t="str">
        <x:v>Mixed consideration</x:v>
      </x:c>
      <x:c r="B522" s="8" t="str">
        <x:v>Moderate synergies</x:v>
      </x:c>
      <x:c r="C522" s="8" t="str">
        <x:v>Beacon notes</x:v>
      </x:c>
      <x:c r="D522" s="22" t="n">
        <x:v>4</x:v>
      </x:c>
      <x:c r="E522" s="8" t="n">
        <x:v>0</x:v>
      </x:c>
      <x:c r="F522" s="23" t="n">
        <x:v>0.0475</x:v>
      </x:c>
      <x:c r="G522" s="8" t="n">
        <x:v>0</x:v>
      </x:c>
      <x:c r="H522" s="8" t="n">
        <x:v>0</x:v>
      </x:c>
      <x:c r="I522" s="8" t="n">
        <x:v>0</x:v>
      </x:c>
      <x:c r="J522" s="8" t="n">
        <x:v>0</x:v>
      </x:c>
      <x:c r="K522" s="8" t="n">
        <x:v>0</x:v>
      </x:c>
      <x:c r="L522" s="8" t="n">
        <x:v>0</x:v>
      </x:c>
      <x:c r="M522" s="21" t="n">
        <x:f>E522+K522-I522-J522-L522</x:f>
        <x:v>0</x:v>
      </x:c>
    </x:row>
    <x:row r="523" ht="36" customHeight="1">
      <x:c r="A523" s="8" t="str">
        <x:v>Mixed consideration</x:v>
      </x:c>
      <x:c r="B523" s="8" t="str">
        <x:v>Moderate synergies</x:v>
      </x:c>
      <x:c r="C523" s="8" t="str">
        <x:v>Acquisition term</x:v>
      </x:c>
      <x:c r="D523" s="22" t="n">
        <x:v>4</x:v>
      </x:c>
      <x:c r="E523" s="8" t="n">
        <x:v>0</x:v>
      </x:c>
      <x:c r="F523" s="23" t="n">
        <x:v>0.060000000000000005</x:v>
      </x:c>
      <x:c r="G523" s="8" t="n">
        <x:v>0</x:v>
      </x:c>
      <x:c r="H523" s="8" t="n">
        <x:v>0</x:v>
      </x:c>
      <x:c r="I523" s="8" t="n">
        <x:v>0</x:v>
      </x:c>
      <x:c r="J523" s="8" t="n">
        <x:v>0</x:v>
      </x:c>
      <x:c r="K523" s="8" t="n">
        <x:v>0</x:v>
      </x:c>
      <x:c r="L523" s="8" t="n">
        <x:v>0</x:v>
      </x:c>
      <x:c r="M523" s="21" t="n">
        <x:f>E523+K523-I523-J523-L523</x:f>
        <x:v>0</x:v>
      </x:c>
    </x:row>
    <x:row r="524" ht="36" customHeight="1">
      <x:c r="A524" s="8" t="str">
        <x:v>Mixed consideration</x:v>
      </x:c>
      <x:c r="B524" s="8" t="str">
        <x:v>Moderate synergies</x:v>
      </x:c>
      <x:c r="C524" s="8" t="str">
        <x:v>Committed revolver</x:v>
      </x:c>
      <x:c r="D524" s="22" t="n">
        <x:v>4</x:v>
      </x:c>
      <x:c r="E524" s="8" t="n">
        <x:v>0</x:v>
      </x:c>
      <x:c r="F524" s="23" t="n">
        <x:v>0.0575</x:v>
      </x:c>
      <x:c r="G524" s="8" t="n">
        <x:v>0</x:v>
      </x:c>
      <x:c r="H524" s="8" t="n">
        <x:v>0</x:v>
      </x:c>
      <x:c r="I524" s="8" t="n">
        <x:v>0</x:v>
      </x:c>
      <x:c r="J524" s="8" t="n">
        <x:v>0</x:v>
      </x:c>
      <x:c r="K524" s="8" t="n">
        <x:v>0</x:v>
      </x:c>
      <x:c r="L524" s="8" t="n">
        <x:v>0</x:v>
      </x:c>
      <x:c r="M524" s="21" t="n">
        <x:f>E524+K524-I524-J524-L524</x:f>
        <x:v>0</x:v>
      </x:c>
    </x:row>
    <x:row r="525" ht="36" customHeight="1">
      <x:c r="A525" s="8" t="str">
        <x:v>Mixed consideration</x:v>
      </x:c>
      <x:c r="B525" s="8" t="str">
        <x:v>Moderate synergies</x:v>
      </x:c>
      <x:c r="C525" s="8" t="str">
        <x:v>Atlas notes</x:v>
      </x:c>
      <x:c r="D525" s="22" t="n">
        <x:v>5</x:v>
      </x:c>
      <x:c r="E525" s="8" t="n">
        <x:v>0</x:v>
      </x:c>
      <x:c r="F525" s="23" t="n">
        <x:v>0.038</x:v>
      </x:c>
      <x:c r="G525" s="8" t="n">
        <x:v>0</x:v>
      </x:c>
      <x:c r="H525" s="8" t="n">
        <x:v>0</x:v>
      </x:c>
      <x:c r="I525" s="8" t="n">
        <x:v>0</x:v>
      </x:c>
      <x:c r="J525" s="8" t="n">
        <x:v>0</x:v>
      </x:c>
      <x:c r="K525" s="8" t="n">
        <x:v>0</x:v>
      </x:c>
      <x:c r="L525" s="8" t="n">
        <x:v>0</x:v>
      </x:c>
      <x:c r="M525" s="21" t="n">
        <x:f>E525+K525-I525-J525-L525</x:f>
        <x:v>0</x:v>
      </x:c>
    </x:row>
    <x:row r="526" ht="36" customHeight="1">
      <x:c r="A526" s="8" t="str">
        <x:v>Mixed consideration</x:v>
      </x:c>
      <x:c r="B526" s="8" t="str">
        <x:v>Moderate synergies</x:v>
      </x:c>
      <x:c r="C526" s="8" t="str">
        <x:v>Atlas finance lease</x:v>
      </x:c>
      <x:c r="D526" s="22" t="n">
        <x:v>5</x:v>
      </x:c>
      <x:c r="E526" s="8" t="n">
        <x:v>0</x:v>
      </x:c>
      <x:c r="F526" s="23" t="n">
        <x:v>0.05</x:v>
      </x:c>
      <x:c r="G526" s="8" t="n">
        <x:v>0</x:v>
      </x:c>
      <x:c r="H526" s="8" t="n">
        <x:v>0</x:v>
      </x:c>
      <x:c r="I526" s="8" t="n">
        <x:v>0</x:v>
      </x:c>
      <x:c r="J526" s="8" t="n">
        <x:v>0</x:v>
      </x:c>
      <x:c r="K526" s="8" t="n">
        <x:v>0</x:v>
      </x:c>
      <x:c r="L526" s="8" t="n">
        <x:v>0</x:v>
      </x:c>
      <x:c r="M526" s="21" t="n">
        <x:f>E526+K526-I526-J526-L526</x:f>
        <x:v>0</x:v>
      </x:c>
    </x:row>
    <x:row r="527" ht="36" customHeight="1">
      <x:c r="A527" s="8" t="str">
        <x:v>Mixed consideration</x:v>
      </x:c>
      <x:c r="B527" s="8" t="str">
        <x:v>Moderate synergies</x:v>
      </x:c>
      <x:c r="C527" s="8" t="str">
        <x:v>Beacon notes</x:v>
      </x:c>
      <x:c r="D527" s="22" t="n">
        <x:v>5</x:v>
      </x:c>
      <x:c r="E527" s="8" t="n">
        <x:v>0</x:v>
      </x:c>
      <x:c r="F527" s="23" t="n">
        <x:v>0.0475</x:v>
      </x:c>
      <x:c r="G527" s="8" t="n">
        <x:v>0</x:v>
      </x:c>
      <x:c r="H527" s="8" t="n">
        <x:v>0</x:v>
      </x:c>
      <x:c r="I527" s="8" t="n">
        <x:v>0</x:v>
      </x:c>
      <x:c r="J527" s="8" t="n">
        <x:v>0</x:v>
      </x:c>
      <x:c r="K527" s="8" t="n">
        <x:v>0</x:v>
      </x:c>
      <x:c r="L527" s="8" t="n">
        <x:v>0</x:v>
      </x:c>
      <x:c r="M527" s="21" t="n">
        <x:f>E527+K527-I527-J527-L527</x:f>
        <x:v>0</x:v>
      </x:c>
    </x:row>
    <x:row r="528" ht="36" customHeight="1">
      <x:c r="A528" s="8" t="str">
        <x:v>Mixed consideration</x:v>
      </x:c>
      <x:c r="B528" s="8" t="str">
        <x:v>Moderate synergies</x:v>
      </x:c>
      <x:c r="C528" s="8" t="str">
        <x:v>Acquisition term</x:v>
      </x:c>
      <x:c r="D528" s="22" t="n">
        <x:v>5</x:v>
      </x:c>
      <x:c r="E528" s="8" t="n">
        <x:v>0</x:v>
      </x:c>
      <x:c r="F528" s="23" t="n">
        <x:v>0.060000000000000005</x:v>
      </x:c>
      <x:c r="G528" s="8" t="n">
        <x:v>0</x:v>
      </x:c>
      <x:c r="H528" s="8" t="n">
        <x:v>0</x:v>
      </x:c>
      <x:c r="I528" s="8" t="n">
        <x:v>0</x:v>
      </x:c>
      <x:c r="J528" s="8" t="n">
        <x:v>0</x:v>
      </x:c>
      <x:c r="K528" s="8" t="n">
        <x:v>0</x:v>
      </x:c>
      <x:c r="L528" s="8" t="n">
        <x:v>0</x:v>
      </x:c>
      <x:c r="M528" s="21" t="n">
        <x:f>E528+K528-I528-J528-L528</x:f>
        <x:v>0</x:v>
      </x:c>
    </x:row>
    <x:row r="529" ht="36" customHeight="1">
      <x:c r="A529" s="8" t="str">
        <x:v>Mixed consideration</x:v>
      </x:c>
      <x:c r="B529" s="8" t="str">
        <x:v>Moderate synergies</x:v>
      </x:c>
      <x:c r="C529" s="8" t="str">
        <x:v>Committed revolver</x:v>
      </x:c>
      <x:c r="D529" s="22" t="n">
        <x:v>5</x:v>
      </x:c>
      <x:c r="E529" s="8" t="n">
        <x:v>0</x:v>
      </x:c>
      <x:c r="F529" s="23" t="n">
        <x:v>0.0575</x:v>
      </x:c>
      <x:c r="G529" s="8" t="n">
        <x:v>0</x:v>
      </x:c>
      <x:c r="H529" s="8" t="n">
        <x:v>0</x:v>
      </x:c>
      <x:c r="I529" s="8" t="n">
        <x:v>0</x:v>
      </x:c>
      <x:c r="J529" s="8" t="n">
        <x:v>0</x:v>
      </x:c>
      <x:c r="K529" s="8" t="n">
        <x:v>0</x:v>
      </x:c>
      <x:c r="L529" s="8" t="n">
        <x:v>0</x:v>
      </x:c>
      <x:c r="M529" s="21" t="n">
        <x:f>E529+K529-I529-J529-L529</x:f>
        <x:v>0</x:v>
      </x:c>
    </x:row>
    <x:row r="530" ht="36" customHeight="1">
      <x:c r="A530" s="8" t="str">
        <x:v>Cash-first</x:v>
      </x:c>
      <x:c r="B530" s="8" t="str">
        <x:v>Moderate combined</x:v>
      </x:c>
      <x:c r="C530" s="8" t="str">
        <x:v>Atlas notes</x:v>
      </x:c>
      <x:c r="D530" s="22" t="n">
        <x:v>1</x:v>
      </x:c>
      <x:c r="E530" s="8" t="n">
        <x:v>900</x:v>
      </x:c>
      <x:c r="F530" s="23" t="n">
        <x:v>0.038</x:v>
      </x:c>
      <x:c r="G530" s="8" t="n">
        <x:v>34.199999999999996</x:v>
      </x:c>
      <x:c r="H530" s="8" t="n">
        <x:v>0</x:v>
      </x:c>
      <x:c r="I530" s="8" t="n">
        <x:v>0</x:v>
      </x:c>
      <x:c r="J530" s="8" t="n">
        <x:v>0</x:v>
      </x:c>
      <x:c r="K530" s="8" t="n">
        <x:v>0</x:v>
      </x:c>
      <x:c r="L530" s="8" t="n">
        <x:v>0</x:v>
      </x:c>
      <x:c r="M530" s="21" t="n">
        <x:f>E530+K530-I530-J530-L530</x:f>
        <x:v>900</x:v>
      </x:c>
    </x:row>
    <x:row r="531" ht="36" customHeight="1">
      <x:c r="A531" s="8" t="str">
        <x:v>Cash-first</x:v>
      </x:c>
      <x:c r="B531" s="8" t="str">
        <x:v>Moderate combined</x:v>
      </x:c>
      <x:c r="C531" s="8" t="str">
        <x:v>Atlas finance lease</x:v>
      </x:c>
      <x:c r="D531" s="22" t="n">
        <x:v>1</x:v>
      </x:c>
      <x:c r="E531" s="8" t="n">
        <x:v>80</x:v>
      </x:c>
      <x:c r="F531" s="23" t="n">
        <x:v>0.05</x:v>
      </x:c>
      <x:c r="G531" s="8" t="n">
        <x:v>4</x:v>
      </x:c>
      <x:c r="H531" s="8" t="n">
        <x:v>16</x:v>
      </x:c>
      <x:c r="I531" s="8" t="n">
        <x:v>16</x:v>
      </x:c>
      <x:c r="J531" s="8" t="n">
        <x:v>0</x:v>
      </x:c>
      <x:c r="K531" s="8" t="n">
        <x:v>0</x:v>
      </x:c>
      <x:c r="L531" s="8" t="n">
        <x:v>0</x:v>
      </x:c>
      <x:c r="M531" s="21" t="n">
        <x:f>E531+K531-I531-J531-L531</x:f>
        <x:v>64</x:v>
      </x:c>
    </x:row>
    <x:row r="532" ht="36" customHeight="1">
      <x:c r="A532" s="8" t="str">
        <x:v>Cash-first</x:v>
      </x:c>
      <x:c r="B532" s="8" t="str">
        <x:v>Moderate combined</x:v>
      </x:c>
      <x:c r="C532" s="8" t="str">
        <x:v>Beacon notes</x:v>
      </x:c>
      <x:c r="D532" s="22" t="n">
        <x:v>1</x:v>
      </x:c>
      <x:c r="E532" s="8" t="n">
        <x:v>350</x:v>
      </x:c>
      <x:c r="F532" s="23" t="n">
        <x:v>0.0475</x:v>
      </x:c>
      <x:c r="G532" s="8" t="n">
        <x:v>16.625</x:v>
      </x:c>
      <x:c r="H532" s="8" t="n">
        <x:v>0</x:v>
      </x:c>
      <x:c r="I532" s="8" t="n">
        <x:v>0</x:v>
      </x:c>
      <x:c r="J532" s="8" t="n">
        <x:v>0</x:v>
      </x:c>
      <x:c r="K532" s="8" t="n">
        <x:v>0</x:v>
      </x:c>
      <x:c r="L532" s="8" t="n">
        <x:v>0</x:v>
      </x:c>
      <x:c r="M532" s="21" t="n">
        <x:f>E532+K532-I532-J532-L532</x:f>
        <x:v>350</x:v>
      </x:c>
    </x:row>
    <x:row r="533" ht="36" customHeight="1">
      <x:c r="A533" s="8" t="str">
        <x:v>Cash-first</x:v>
      </x:c>
      <x:c r="B533" s="8" t="str">
        <x:v>Moderate combined</x:v>
      </x:c>
      <x:c r="C533" s="8" t="str">
        <x:v>Acquisition term</x:v>
      </x:c>
      <x:c r="D533" s="22" t="n">
        <x:v>1</x:v>
      </x:c>
      <x:c r="E533" s="8" t="n">
        <x:v>1340.1015228426397</x:v>
      </x:c>
      <x:c r="F533" s="23" t="n">
        <x:v>0.085</x:v>
      </x:c>
      <x:c r="G533" s="8" t="n">
        <x:v>113.90862944162438</x:v>
      </x:c>
      <x:c r="H533" s="8" t="n">
        <x:v>26.802030456852794</x:v>
      </x:c>
      <x:c r="I533" s="8" t="n">
        <x:v>26.802030456852794</x:v>
      </x:c>
      <x:c r="J533" s="8" t="n">
        <x:v>0</x:v>
      </x:c>
      <x:c r="K533" s="8" t="n">
        <x:v>0</x:v>
      </x:c>
      <x:c r="L533" s="8" t="n">
        <x:v>0</x:v>
      </x:c>
      <x:c r="M533" s="21" t="n">
        <x:f>E533+K533-I533-J533-L533</x:f>
        <x:v>1313.2994923857868</x:v>
      </x:c>
    </x:row>
    <x:row r="534" ht="36" customHeight="1">
      <x:c r="A534" s="8" t="str">
        <x:v>Cash-first</x:v>
      </x:c>
      <x:c r="B534" s="8" t="str">
        <x:v>Moderate combined</x:v>
      </x:c>
      <x:c r="C534" s="8" t="str">
        <x:v>Committed revolver</x:v>
      </x:c>
      <x:c r="D534" s="22" t="n">
        <x:v>1</x:v>
      </x:c>
      <x:c r="E534" s="8" t="n">
        <x:v>0</x:v>
      </x:c>
      <x:c r="F534" s="23" t="n">
        <x:v>0.07250000000000001</x:v>
      </x:c>
      <x:c r="G534" s="8" t="n">
        <x:v>0</x:v>
      </x:c>
      <x:c r="H534" s="8" t="n">
        <x:v>0</x:v>
      </x:c>
      <x:c r="I534" s="8" t="n">
        <x:v>0</x:v>
      </x:c>
      <x:c r="J534" s="8" t="n">
        <x:v>0</x:v>
      </x:c>
      <x:c r="K534" s="8" t="n">
        <x:v>265.3291446613579</x:v>
      </x:c>
      <x:c r="L534" s="8" t="n">
        <x:v>0</x:v>
      </x:c>
      <x:c r="M534" s="21" t="n">
        <x:f>E534+K534-I534-J534-L534</x:f>
        <x:v>265.3291446613579</x:v>
      </x:c>
    </x:row>
    <x:row r="535" ht="36" customHeight="1">
      <x:c r="A535" s="8" t="str">
        <x:v>Cash-first</x:v>
      </x:c>
      <x:c r="B535" s="8" t="str">
        <x:v>Moderate combined</x:v>
      </x:c>
      <x:c r="C535" s="8" t="str">
        <x:v>Atlas notes</x:v>
      </x:c>
      <x:c r="D535" s="22" t="n">
        <x:v>2</x:v>
      </x:c>
      <x:c r="E535" s="8" t="n">
        <x:v>900</x:v>
      </x:c>
      <x:c r="F535" s="23" t="n">
        <x:v>0.038</x:v>
      </x:c>
      <x:c r="G535" s="8" t="n">
        <x:v>34.199999999999996</x:v>
      </x:c>
      <x:c r="H535" s="8" t="n">
        <x:v>0</x:v>
      </x:c>
      <x:c r="I535" s="8" t="n">
        <x:v>0</x:v>
      </x:c>
      <x:c r="J535" s="8" t="n">
        <x:v>0</x:v>
      </x:c>
      <x:c r="K535" s="8" t="n">
        <x:v>0</x:v>
      </x:c>
      <x:c r="L535" s="8" t="n">
        <x:v>0</x:v>
      </x:c>
      <x:c r="M535" s="21" t="n">
        <x:f>E535+K535-I535-J535-L535</x:f>
        <x:v>900</x:v>
      </x:c>
    </x:row>
    <x:row r="536" ht="36" customHeight="1">
      <x:c r="A536" s="8" t="str">
        <x:v>Cash-first</x:v>
      </x:c>
      <x:c r="B536" s="8" t="str">
        <x:v>Moderate combined</x:v>
      </x:c>
      <x:c r="C536" s="8" t="str">
        <x:v>Atlas finance lease</x:v>
      </x:c>
      <x:c r="D536" s="22" t="n">
        <x:v>2</x:v>
      </x:c>
      <x:c r="E536" s="8" t="n">
        <x:v>64</x:v>
      </x:c>
      <x:c r="F536" s="23" t="n">
        <x:v>0.05</x:v>
      </x:c>
      <x:c r="G536" s="8" t="n">
        <x:v>3.2</x:v>
      </x:c>
      <x:c r="H536" s="8" t="n">
        <x:v>16</x:v>
      </x:c>
      <x:c r="I536" s="8" t="n">
        <x:v>16</x:v>
      </x:c>
      <x:c r="J536" s="8" t="n">
        <x:v>0</x:v>
      </x:c>
      <x:c r="K536" s="8" t="n">
        <x:v>0</x:v>
      </x:c>
      <x:c r="L536" s="8" t="n">
        <x:v>0</x:v>
      </x:c>
      <x:c r="M536" s="21" t="n">
        <x:f>E536+K536-I536-J536-L536</x:f>
        <x:v>48</x:v>
      </x:c>
    </x:row>
    <x:row r="537" ht="36" customHeight="1">
      <x:c r="A537" s="8" t="str">
        <x:v>Cash-first</x:v>
      </x:c>
      <x:c r="B537" s="8" t="str">
        <x:v>Moderate combined</x:v>
      </x:c>
      <x:c r="C537" s="8" t="str">
        <x:v>Beacon notes</x:v>
      </x:c>
      <x:c r="D537" s="22" t="n">
        <x:v>2</x:v>
      </x:c>
      <x:c r="E537" s="8" t="n">
        <x:v>350</x:v>
      </x:c>
      <x:c r="F537" s="23" t="n">
        <x:v>0.0475</x:v>
      </x:c>
      <x:c r="G537" s="8" t="n">
        <x:v>16.625</x:v>
      </x:c>
      <x:c r="H537" s="8" t="n">
        <x:v>0</x:v>
      </x:c>
      <x:c r="I537" s="8" t="n">
        <x:v>0</x:v>
      </x:c>
      <x:c r="J537" s="8" t="n">
        <x:v>0</x:v>
      </x:c>
      <x:c r="K537" s="8" t="n">
        <x:v>0</x:v>
      </x:c>
      <x:c r="L537" s="8" t="n">
        <x:v>0</x:v>
      </x:c>
      <x:c r="M537" s="21" t="n">
        <x:f>E537+K537-I537-J537-L537</x:f>
        <x:v>350</x:v>
      </x:c>
    </x:row>
    <x:row r="538" ht="36" customHeight="1">
      <x:c r="A538" s="8" t="str">
        <x:v>Cash-first</x:v>
      </x:c>
      <x:c r="B538" s="8" t="str">
        <x:v>Moderate combined</x:v>
      </x:c>
      <x:c r="C538" s="8" t="str">
        <x:v>Acquisition term</x:v>
      </x:c>
      <x:c r="D538" s="22" t="n">
        <x:v>2</x:v>
      </x:c>
      <x:c r="E538" s="8" t="n">
        <x:v>1313.2994923857868</x:v>
      </x:c>
      <x:c r="F538" s="23" t="n">
        <x:v>0.0825</x:v>
      </x:c>
      <x:c r="G538" s="8" t="n">
        <x:v>108.34720812182742</x:v>
      </x:c>
      <x:c r="H538" s="8" t="n">
        <x:v>26.802030456852794</x:v>
      </x:c>
      <x:c r="I538" s="8" t="n">
        <x:v>26.802030456852794</x:v>
      </x:c>
      <x:c r="J538" s="8" t="n">
        <x:v>0</x:v>
      </x:c>
      <x:c r="K538" s="8" t="n">
        <x:v>0</x:v>
      </x:c>
      <x:c r="L538" s="8" t="n">
        <x:v>0</x:v>
      </x:c>
      <x:c r="M538" s="21" t="n">
        <x:f>E538+K538-I538-J538-L538</x:f>
        <x:v>1286.497461928934</x:v>
      </x:c>
    </x:row>
    <x:row r="539" ht="36" customHeight="1">
      <x:c r="A539" s="8" t="str">
        <x:v>Cash-first</x:v>
      </x:c>
      <x:c r="B539" s="8" t="str">
        <x:v>Moderate combined</x:v>
      </x:c>
      <x:c r="C539" s="8" t="str">
        <x:v>Committed revolver</x:v>
      </x:c>
      <x:c r="D539" s="22" t="n">
        <x:v>2</x:v>
      </x:c>
      <x:c r="E539" s="8" t="n">
        <x:v>265.3291446613579</x:v>
      </x:c>
      <x:c r="F539" s="23" t="n">
        <x:v>0.07</x:v>
      </x:c>
      <x:c r="G539" s="8" t="n">
        <x:v>18.57304012629505</x:v>
      </x:c>
      <x:c r="H539" s="8" t="n">
        <x:v>0</x:v>
      </x:c>
      <x:c r="I539" s="8" t="n">
        <x:v>0</x:v>
      </x:c>
      <x:c r="J539" s="8" t="n">
        <x:v>12.08219838274124</x:v>
      </x:c>
      <x:c r="K539" s="8" t="n">
        <x:v>0</x:v>
      </x:c>
      <x:c r="L539" s="8" t="n">
        <x:v>0</x:v>
      </x:c>
      <x:c r="M539" s="21" t="n">
        <x:f>E539+K539-I539-J539-L539</x:f>
        <x:v>253.24694627861663</x:v>
      </x:c>
    </x:row>
    <x:row r="540" ht="36" customHeight="1">
      <x:c r="A540" s="8" t="str">
        <x:v>Cash-first</x:v>
      </x:c>
      <x:c r="B540" s="8" t="str">
        <x:v>Moderate combined</x:v>
      </x:c>
      <x:c r="C540" s="8" t="str">
        <x:v>Atlas notes</x:v>
      </x:c>
      <x:c r="D540" s="22" t="n">
        <x:v>3</x:v>
      </x:c>
      <x:c r="E540" s="8" t="n">
        <x:v>900</x:v>
      </x:c>
      <x:c r="F540" s="23" t="n">
        <x:v>0.038</x:v>
      </x:c>
      <x:c r="G540" s="8" t="n">
        <x:v>34.199999999999996</x:v>
      </x:c>
      <x:c r="H540" s="8" t="n">
        <x:v>0</x:v>
      </x:c>
      <x:c r="I540" s="8" t="n">
        <x:v>0</x:v>
      </x:c>
      <x:c r="J540" s="8" t="n">
        <x:v>0</x:v>
      </x:c>
      <x:c r="K540" s="8" t="n">
        <x:v>0</x:v>
      </x:c>
      <x:c r="L540" s="8" t="n">
        <x:v>0</x:v>
      </x:c>
      <x:c r="M540" s="21" t="n">
        <x:f>E540+K540-I540-J540-L540</x:f>
        <x:v>900</x:v>
      </x:c>
    </x:row>
    <x:row r="541" ht="36" customHeight="1">
      <x:c r="A541" s="8" t="str">
        <x:v>Cash-first</x:v>
      </x:c>
      <x:c r="B541" s="8" t="str">
        <x:v>Moderate combined</x:v>
      </x:c>
      <x:c r="C541" s="8" t="str">
        <x:v>Atlas finance lease</x:v>
      </x:c>
      <x:c r="D541" s="22" t="n">
        <x:v>3</x:v>
      </x:c>
      <x:c r="E541" s="8" t="n">
        <x:v>48</x:v>
      </x:c>
      <x:c r="F541" s="23" t="n">
        <x:v>0.05</x:v>
      </x:c>
      <x:c r="G541" s="8" t="n">
        <x:v>2.4000000000000004</x:v>
      </x:c>
      <x:c r="H541" s="8" t="n">
        <x:v>16</x:v>
      </x:c>
      <x:c r="I541" s="8" t="n">
        <x:v>16</x:v>
      </x:c>
      <x:c r="J541" s="8" t="n">
        <x:v>0</x:v>
      </x:c>
      <x:c r="K541" s="8" t="n">
        <x:v>0</x:v>
      </x:c>
      <x:c r="L541" s="8" t="n">
        <x:v>0</x:v>
      </x:c>
      <x:c r="M541" s="21" t="n">
        <x:f>E541+K541-I541-J541-L541</x:f>
        <x:v>32</x:v>
      </x:c>
    </x:row>
    <x:row r="542" ht="36" customHeight="1">
      <x:c r="A542" s="8" t="str">
        <x:v>Cash-first</x:v>
      </x:c>
      <x:c r="B542" s="8" t="str">
        <x:v>Moderate combined</x:v>
      </x:c>
      <x:c r="C542" s="8" t="str">
        <x:v>Beacon notes</x:v>
      </x:c>
      <x:c r="D542" s="22" t="n">
        <x:v>3</x:v>
      </x:c>
      <x:c r="E542" s="8" t="n">
        <x:v>350</x:v>
      </x:c>
      <x:c r="F542" s="23" t="n">
        <x:v>0.0475</x:v>
      </x:c>
      <x:c r="G542" s="8" t="n">
        <x:v>16.625</x:v>
      </x:c>
      <x:c r="H542" s="8" t="n">
        <x:v>350</x:v>
      </x:c>
      <x:c r="I542" s="8" t="n">
        <x:v>350</x:v>
      </x:c>
      <x:c r="J542" s="8" t="n">
        <x:v>0</x:v>
      </x:c>
      <x:c r="K542" s="8" t="n">
        <x:v>0</x:v>
      </x:c>
      <x:c r="L542" s="8" t="n">
        <x:v>0</x:v>
      </x:c>
      <x:c r="M542" s="21" t="n">
        <x:f>E542+K542-I542-J542-L542</x:f>
        <x:v>0</x:v>
      </x:c>
    </x:row>
    <x:row r="543" ht="36" customHeight="1">
      <x:c r="A543" s="8" t="str">
        <x:v>Cash-first</x:v>
      </x:c>
      <x:c r="B543" s="8" t="str">
        <x:v>Moderate combined</x:v>
      </x:c>
      <x:c r="C543" s="8" t="str">
        <x:v>Acquisition term</x:v>
      </x:c>
      <x:c r="D543" s="22" t="n">
        <x:v>3</x:v>
      </x:c>
      <x:c r="E543" s="8" t="n">
        <x:v>1286.497461928934</x:v>
      </x:c>
      <x:c r="F543" s="23" t="n">
        <x:v>0.08</x:v>
      </x:c>
      <x:c r="G543" s="8" t="n">
        <x:v>102.91979695431472</x:v>
      </x:c>
      <x:c r="H543" s="8" t="n">
        <x:v>26.802030456852794</x:v>
      </x:c>
      <x:c r="I543" s="8" t="n">
        <x:v>26.802030456852794</x:v>
      </x:c>
      <x:c r="J543" s="8" t="n">
        <x:v>0</x:v>
      </x:c>
      <x:c r="K543" s="8" t="n">
        <x:v>0</x:v>
      </x:c>
      <x:c r="L543" s="8" t="n">
        <x:v>0</x:v>
      </x:c>
      <x:c r="M543" s="21" t="n">
        <x:f>E543+K543-I543-J543-L543</x:f>
        <x:v>1259.695431472081</x:v>
      </x:c>
    </x:row>
    <x:row r="544" ht="36" customHeight="1">
      <x:c r="A544" s="8" t="str">
        <x:v>Cash-first</x:v>
      </x:c>
      <x:c r="B544" s="8" t="str">
        <x:v>Moderate combined</x:v>
      </x:c>
      <x:c r="C544" s="8" t="str">
        <x:v>Committed revolver</x:v>
      </x:c>
      <x:c r="D544" s="22" t="n">
        <x:v>3</x:v>
      </x:c>
      <x:c r="E544" s="8" t="n">
        <x:v>253.24694627861663</x:v>
      </x:c>
      <x:c r="F544" s="23" t="n">
        <x:v>0.0675</x:v>
      </x:c>
      <x:c r="G544" s="8" t="n">
        <x:v>17.094168873806623</x:v>
      </x:c>
      <x:c r="H544" s="8" t="n">
        <x:v>0</x:v>
      </x:c>
      <x:c r="I544" s="8" t="n">
        <x:v>0</x:v>
      </x:c>
      <x:c r="J544" s="8" t="n">
        <x:v>0</x:v>
      </x:c>
      <x:c r="K544" s="8" t="n">
        <x:v>257.509280676617</x:v>
      </x:c>
      <x:c r="L544" s="8" t="n">
        <x:v>0</x:v>
      </x:c>
      <x:c r="M544" s="21" t="n">
        <x:f>E544+K544-I544-J544-L544</x:f>
        <x:v>510.7562269552336</x:v>
      </x:c>
    </x:row>
    <x:row r="545" ht="36" customHeight="1">
      <x:c r="A545" s="8" t="str">
        <x:v>Cash-first</x:v>
      </x:c>
      <x:c r="B545" s="8" t="str">
        <x:v>Moderate combined</x:v>
      </x:c>
      <x:c r="C545" s="8" t="str">
        <x:v>Atlas notes</x:v>
      </x:c>
      <x:c r="D545" s="22" t="n">
        <x:v>4</x:v>
      </x:c>
      <x:c r="E545" s="8" t="n">
        <x:v>900</x:v>
      </x:c>
      <x:c r="F545" s="23" t="n">
        <x:v>0.038</x:v>
      </x:c>
      <x:c r="G545" s="8" t="n">
        <x:v>34.199999999999996</x:v>
      </x:c>
      <x:c r="H545" s="8" t="n">
        <x:v>900</x:v>
      </x:c>
      <x:c r="I545" s="8" t="n">
        <x:v>900</x:v>
      </x:c>
      <x:c r="J545" s="8" t="n">
        <x:v>0</x:v>
      </x:c>
      <x:c r="K545" s="8" t="n">
        <x:v>0</x:v>
      </x:c>
      <x:c r="L545" s="8" t="n">
        <x:v>0</x:v>
      </x:c>
      <x:c r="M545" s="21" t="n">
        <x:f>E545+K545-I545-J545-L545</x:f>
        <x:v>0</x:v>
      </x:c>
    </x:row>
    <x:row r="546" ht="36" customHeight="1">
      <x:c r="A546" s="8" t="str">
        <x:v>Cash-first</x:v>
      </x:c>
      <x:c r="B546" s="8" t="str">
        <x:v>Moderate combined</x:v>
      </x:c>
      <x:c r="C546" s="8" t="str">
        <x:v>Atlas finance lease</x:v>
      </x:c>
      <x:c r="D546" s="22" t="n">
        <x:v>4</x:v>
      </x:c>
      <x:c r="E546" s="8" t="n">
        <x:v>32</x:v>
      </x:c>
      <x:c r="F546" s="23" t="n">
        <x:v>0.05</x:v>
      </x:c>
      <x:c r="G546" s="8" t="n">
        <x:v>1.6</x:v>
      </x:c>
      <x:c r="H546" s="8" t="n">
        <x:v>16</x:v>
      </x:c>
      <x:c r="I546" s="8" t="n">
        <x:v>16</x:v>
      </x:c>
      <x:c r="J546" s="8" t="n">
        <x:v>0</x:v>
      </x:c>
      <x:c r="K546" s="8" t="n">
        <x:v>0</x:v>
      </x:c>
      <x:c r="L546" s="8" t="n">
        <x:v>0</x:v>
      </x:c>
      <x:c r="M546" s="21" t="n">
        <x:f>E546+K546-I546-J546-L546</x:f>
        <x:v>16</x:v>
      </x:c>
    </x:row>
    <x:row r="547" ht="36" customHeight="1">
      <x:c r="A547" s="8" t="str">
        <x:v>Cash-first</x:v>
      </x:c>
      <x:c r="B547" s="8" t="str">
        <x:v>Moderate combined</x:v>
      </x:c>
      <x:c r="C547" s="8" t="str">
        <x:v>Beacon notes</x:v>
      </x:c>
      <x:c r="D547" s="22" t="n">
        <x:v>4</x:v>
      </x:c>
      <x:c r="E547" s="8" t="n">
        <x:v>0</x:v>
      </x:c>
      <x:c r="F547" s="23" t="n">
        <x:v>0.0475</x:v>
      </x:c>
      <x:c r="G547" s="8" t="n">
        <x:v>0</x:v>
      </x:c>
      <x:c r="H547" s="8" t="n">
        <x:v>0</x:v>
      </x:c>
      <x:c r="I547" s="8" t="n">
        <x:v>0</x:v>
      </x:c>
      <x:c r="J547" s="8" t="n">
        <x:v>0</x:v>
      </x:c>
      <x:c r="K547" s="8" t="n">
        <x:v>0</x:v>
      </x:c>
      <x:c r="L547" s="8" t="n">
        <x:v>0</x:v>
      </x:c>
      <x:c r="M547" s="21" t="n">
        <x:f>E547+K547-I547-J547-L547</x:f>
        <x:v>0</x:v>
      </x:c>
    </x:row>
    <x:row r="548" ht="36" customHeight="1">
      <x:c r="A548" s="8" t="str">
        <x:v>Cash-first</x:v>
      </x:c>
      <x:c r="B548" s="8" t="str">
        <x:v>Moderate combined</x:v>
      </x:c>
      <x:c r="C548" s="8" t="str">
        <x:v>Acquisition term</x:v>
      </x:c>
      <x:c r="D548" s="22" t="n">
        <x:v>4</x:v>
      </x:c>
      <x:c r="E548" s="8" t="n">
        <x:v>1259.695431472081</x:v>
      </x:c>
      <x:c r="F548" s="23" t="n">
        <x:v>0.08</x:v>
      </x:c>
      <x:c r="G548" s="8" t="n">
        <x:v>100.77563451776649</x:v>
      </x:c>
      <x:c r="H548" s="8" t="n">
        <x:v>26.802030456852794</x:v>
      </x:c>
      <x:c r="I548" s="8" t="n">
        <x:v>26.802030456852794</x:v>
      </x:c>
      <x:c r="J548" s="8" t="n">
        <x:v>0</x:v>
      </x:c>
      <x:c r="K548" s="8" t="n">
        <x:v>0</x:v>
      </x:c>
      <x:c r="L548" s="8" t="n">
        <x:v>0</x:v>
      </x:c>
      <x:c r="M548" s="21" t="n">
        <x:f>E548+K548-I548-J548-L548</x:f>
        <x:v>1232.8934010152282</x:v>
      </x:c>
    </x:row>
    <x:row r="549" ht="36" customHeight="1">
      <x:c r="A549" s="8" t="str">
        <x:v>Cash-first</x:v>
      </x:c>
      <x:c r="B549" s="8" t="str">
        <x:v>Moderate combined</x:v>
      </x:c>
      <x:c r="C549" s="8" t="str">
        <x:v>Committed revolver</x:v>
      </x:c>
      <x:c r="D549" s="22" t="n">
        <x:v>4</x:v>
      </x:c>
      <x:c r="E549" s="8" t="n">
        <x:v>510.7562269552336</x:v>
      </x:c>
      <x:c r="F549" s="23" t="n">
        <x:v>0.0675</x:v>
      </x:c>
      <x:c r="G549" s="8" t="n">
        <x:v>34.476045319478274</x:v>
      </x:c>
      <x:c r="H549" s="8" t="n">
        <x:v>0</x:v>
      </x:c>
      <x:c r="I549" s="8" t="n">
        <x:v>0</x:v>
      </x:c>
      <x:c r="J549" s="8" t="n">
        <x:v>0</x:v>
      </x:c>
      <x:c r="K549" s="8" t="n">
        <x:v>119.24377304476639</x:v>
      </x:c>
      <x:c r="L549" s="8" t="n">
        <x:v>0</x:v>
      </x:c>
      <x:c r="M549" s="21" t="n">
        <x:f>E549+K549-I549-J549-L549</x:f>
        <x:v>630</x:v>
      </x:c>
    </x:row>
    <x:row r="550" ht="36" customHeight="1">
      <x:c r="A550" s="8" t="str">
        <x:v>Cash-first</x:v>
      </x:c>
      <x:c r="B550" s="8" t="str">
        <x:v>Moderate combined</x:v>
      </x:c>
      <x:c r="C550" s="8" t="str">
        <x:v>Atlas notes</x:v>
      </x:c>
      <x:c r="D550" s="22" t="n">
        <x:v>5</x:v>
      </x:c>
      <x:c r="E550" s="8" t="n">
        <x:v>0</x:v>
      </x:c>
      <x:c r="F550" s="23" t="n">
        <x:v>0.038</x:v>
      </x:c>
      <x:c r="G550" s="8" t="n">
        <x:v>0</x:v>
      </x:c>
      <x:c r="H550" s="8" t="n">
        <x:v>0</x:v>
      </x:c>
      <x:c r="I550" s="8" t="n">
        <x:v>0</x:v>
      </x:c>
      <x:c r="J550" s="8" t="n">
        <x:v>0</x:v>
      </x:c>
      <x:c r="K550" s="8" t="n">
        <x:v>0</x:v>
      </x:c>
      <x:c r="L550" s="8" t="n">
        <x:v>0</x:v>
      </x:c>
      <x:c r="M550" s="21" t="n">
        <x:f>E550+K550-I550-J550-L550</x:f>
        <x:v>0</x:v>
      </x:c>
    </x:row>
    <x:row r="551" ht="36" customHeight="1">
      <x:c r="A551" s="8" t="str">
        <x:v>Cash-first</x:v>
      </x:c>
      <x:c r="B551" s="8" t="str">
        <x:v>Moderate combined</x:v>
      </x:c>
      <x:c r="C551" s="8" t="str">
        <x:v>Atlas finance lease</x:v>
      </x:c>
      <x:c r="D551" s="22" t="n">
        <x:v>5</x:v>
      </x:c>
      <x:c r="E551" s="8" t="n">
        <x:v>16</x:v>
      </x:c>
      <x:c r="F551" s="23" t="n">
        <x:v>0.05</x:v>
      </x:c>
      <x:c r="G551" s="8" t="n">
        <x:v>0.8</x:v>
      </x:c>
      <x:c r="H551" s="8" t="n">
        <x:v>16</x:v>
      </x:c>
      <x:c r="I551" s="8" t="n">
        <x:v>16</x:v>
      </x:c>
      <x:c r="J551" s="8" t="n">
        <x:v>0</x:v>
      </x:c>
      <x:c r="K551" s="8" t="n">
        <x:v>0</x:v>
      </x:c>
      <x:c r="L551" s="8" t="n">
        <x:v>0</x:v>
      </x:c>
      <x:c r="M551" s="21" t="n">
        <x:f>E551+K551-I551-J551-L551</x:f>
        <x:v>0</x:v>
      </x:c>
    </x:row>
    <x:row r="552" ht="36" customHeight="1">
      <x:c r="A552" s="8" t="str">
        <x:v>Cash-first</x:v>
      </x:c>
      <x:c r="B552" s="8" t="str">
        <x:v>Moderate combined</x:v>
      </x:c>
      <x:c r="C552" s="8" t="str">
        <x:v>Beacon notes</x:v>
      </x:c>
      <x:c r="D552" s="22" t="n">
        <x:v>5</x:v>
      </x:c>
      <x:c r="E552" s="8" t="n">
        <x:v>0</x:v>
      </x:c>
      <x:c r="F552" s="23" t="n">
        <x:v>0.0475</x:v>
      </x:c>
      <x:c r="G552" s="8" t="n">
        <x:v>0</x:v>
      </x:c>
      <x:c r="H552" s="8" t="n">
        <x:v>0</x:v>
      </x:c>
      <x:c r="I552" s="8" t="n">
        <x:v>0</x:v>
      </x:c>
      <x:c r="J552" s="8" t="n">
        <x:v>0</x:v>
      </x:c>
      <x:c r="K552" s="8" t="n">
        <x:v>0</x:v>
      </x:c>
      <x:c r="L552" s="8" t="n">
        <x:v>0</x:v>
      </x:c>
      <x:c r="M552" s="21" t="n">
        <x:f>E552+K552-I552-J552-L552</x:f>
        <x:v>0</x:v>
      </x:c>
    </x:row>
    <x:row r="553" ht="36" customHeight="1">
      <x:c r="A553" s="8" t="str">
        <x:v>Cash-first</x:v>
      </x:c>
      <x:c r="B553" s="8" t="str">
        <x:v>Moderate combined</x:v>
      </x:c>
      <x:c r="C553" s="8" t="str">
        <x:v>Acquisition term</x:v>
      </x:c>
      <x:c r="D553" s="22" t="n">
        <x:v>5</x:v>
      </x:c>
      <x:c r="E553" s="8" t="n">
        <x:v>1232.8934010152282</x:v>
      </x:c>
      <x:c r="F553" s="23" t="n">
        <x:v>0.08</x:v>
      </x:c>
      <x:c r="G553" s="8" t="n">
        <x:v>98.63147208121825</x:v>
      </x:c>
      <x:c r="H553" s="8" t="n">
        <x:v>1232.8934010152282</x:v>
      </x:c>
      <x:c r="I553" s="8" t="n">
        <x:v>337.72341797891403</x:v>
      </x:c>
      <x:c r="J553" s="8" t="n">
        <x:v>0</x:v>
      </x:c>
      <x:c r="K553" s="8" t="n">
        <x:v>0</x:v>
      </x:c>
      <x:c r="L553" s="8" t="n">
        <x:v>0</x:v>
      </x:c>
      <x:c r="M553" s="21" t="n">
        <x:f>E553+K553-I553-J553-L553</x:f>
        <x:v>895.1699830363141</x:v>
      </x:c>
    </x:row>
    <x:row r="554" ht="36" customHeight="1">
      <x:c r="A554" s="8" t="str">
        <x:v>Cash-first</x:v>
      </x:c>
      <x:c r="B554" s="8" t="str">
        <x:v>Moderate combined</x:v>
      </x:c>
      <x:c r="C554" s="8" t="str">
        <x:v>Committed revolver</x:v>
      </x:c>
      <x:c r="D554" s="22" t="n">
        <x:v>5</x:v>
      </x:c>
      <x:c r="E554" s="8" t="n">
        <x:v>630</x:v>
      </x:c>
      <x:c r="F554" s="23" t="n">
        <x:v>0.0675</x:v>
      </x:c>
      <x:c r="G554" s="8" t="n">
        <x:v>42.525000000000006</x:v>
      </x:c>
      <x:c r="H554" s="8" t="n">
        <x:v>630</x:v>
      </x:c>
      <x:c r="I554" s="8" t="n">
        <x:v>0</x:v>
      </x:c>
      <x:c r="J554" s="8" t="n">
        <x:v>0</x:v>
      </x:c>
      <x:c r="K554" s="8" t="n">
        <x:v>0</x:v>
      </x:c>
      <x:c r="L554" s="8" t="n">
        <x:v>0</x:v>
      </x:c>
      <x:c r="M554" s="21" t="n">
        <x:f>E554+K554-I554-J554-L554</x:f>
        <x:v>630</x:v>
      </x:c>
    </x:row>
    <x:row r="555" ht="36" customHeight="1">
      <x:c r="A555" s="8" t="str">
        <x:v>Liquidity-first</x:v>
      </x:c>
      <x:c r="B555" s="8" t="str">
        <x:v>Moderate combined</x:v>
      </x:c>
      <x:c r="C555" s="8" t="str">
        <x:v>Atlas notes</x:v>
      </x:c>
      <x:c r="D555" s="22" t="n">
        <x:v>1</x:v>
      </x:c>
      <x:c r="E555" s="8" t="n">
        <x:v>900</x:v>
      </x:c>
      <x:c r="F555" s="23" t="n">
        <x:v>0.038</x:v>
      </x:c>
      <x:c r="G555" s="8" t="n">
        <x:v>34.199999999999996</x:v>
      </x:c>
      <x:c r="H555" s="8" t="n">
        <x:v>0</x:v>
      </x:c>
      <x:c r="I555" s="8" t="n">
        <x:v>0</x:v>
      </x:c>
      <x:c r="J555" s="8" t="n">
        <x:v>0</x:v>
      </x:c>
      <x:c r="K555" s="8" t="n">
        <x:v>0</x:v>
      </x:c>
      <x:c r="L555" s="8" t="n">
        <x:v>0</x:v>
      </x:c>
      <x:c r="M555" s="21" t="n">
        <x:f>E555+K555-I555-J555-L555</x:f>
        <x:v>900</x:v>
      </x:c>
    </x:row>
    <x:row r="556" ht="36" customHeight="1">
      <x:c r="A556" s="8" t="str">
        <x:v>Liquidity-first</x:v>
      </x:c>
      <x:c r="B556" s="8" t="str">
        <x:v>Moderate combined</x:v>
      </x:c>
      <x:c r="C556" s="8" t="str">
        <x:v>Atlas finance lease</x:v>
      </x:c>
      <x:c r="D556" s="22" t="n">
        <x:v>1</x:v>
      </x:c>
      <x:c r="E556" s="8" t="n">
        <x:v>80</x:v>
      </x:c>
      <x:c r="F556" s="23" t="n">
        <x:v>0.05</x:v>
      </x:c>
      <x:c r="G556" s="8" t="n">
        <x:v>4</x:v>
      </x:c>
      <x:c r="H556" s="8" t="n">
        <x:v>16</x:v>
      </x:c>
      <x:c r="I556" s="8" t="n">
        <x:v>16</x:v>
      </x:c>
      <x:c r="J556" s="8" t="n">
        <x:v>0</x:v>
      </x:c>
      <x:c r="K556" s="8" t="n">
        <x:v>0</x:v>
      </x:c>
      <x:c r="L556" s="8" t="n">
        <x:v>0</x:v>
      </x:c>
      <x:c r="M556" s="21" t="n">
        <x:f>E556+K556-I556-J556-L556</x:f>
        <x:v>64</x:v>
      </x:c>
    </x:row>
    <x:row r="557" ht="36" customHeight="1">
      <x:c r="A557" s="8" t="str">
        <x:v>Liquidity-first</x:v>
      </x:c>
      <x:c r="B557" s="8" t="str">
        <x:v>Moderate combined</x:v>
      </x:c>
      <x:c r="C557" s="8" t="str">
        <x:v>Beacon notes</x:v>
      </x:c>
      <x:c r="D557" s="22" t="n">
        <x:v>1</x:v>
      </x:c>
      <x:c r="E557" s="8" t="n">
        <x:v>350</x:v>
      </x:c>
      <x:c r="F557" s="23" t="n">
        <x:v>0.0475</x:v>
      </x:c>
      <x:c r="G557" s="8" t="n">
        <x:v>16.625</x:v>
      </x:c>
      <x:c r="H557" s="8" t="n">
        <x:v>0</x:v>
      </x:c>
      <x:c r="I557" s="8" t="n">
        <x:v>0</x:v>
      </x:c>
      <x:c r="J557" s="8" t="n">
        <x:v>0</x:v>
      </x:c>
      <x:c r="K557" s="8" t="n">
        <x:v>0</x:v>
      </x:c>
      <x:c r="L557" s="8" t="n">
        <x:v>0</x:v>
      </x:c>
      <x:c r="M557" s="21" t="n">
        <x:f>E557+K557-I557-J557-L557</x:f>
        <x:v>350</x:v>
      </x:c>
    </x:row>
    <x:row r="558" ht="36" customHeight="1">
      <x:c r="A558" s="8" t="str">
        <x:v>Liquidity-first</x:v>
      </x:c>
      <x:c r="B558" s="8" t="str">
        <x:v>Moderate combined</x:v>
      </x:c>
      <x:c r="C558" s="8" t="str">
        <x:v>Acquisition term</x:v>
      </x:c>
      <x:c r="D558" s="22" t="n">
        <x:v>1</x:v>
      </x:c>
      <x:c r="E558" s="8" t="n">
        <x:v>2223.3502538071066</x:v>
      </x:c>
      <x:c r="F558" s="23" t="n">
        <x:v>0.085</x:v>
      </x:c>
      <x:c r="G558" s="8" t="n">
        <x:v>188.98477157360406</x:v>
      </x:c>
      <x:c r="H558" s="8" t="n">
        <x:v>44.46700507614213</x:v>
      </x:c>
      <x:c r="I558" s="8" t="n">
        <x:v>44.46700507614213</x:v>
      </x:c>
      <x:c r="J558" s="8" t="n">
        <x:v>530.6987741203677</x:v>
      </x:c>
      <x:c r="K558" s="8" t="n">
        <x:v>0</x:v>
      </x:c>
      <x:c r="L558" s="8" t="n">
        <x:v>0</x:v>
      </x:c>
      <x:c r="M558" s="21" t="n">
        <x:f>E558+K558-I558-J558-L558</x:f>
        <x:v>1648.184474610597</x:v>
      </x:c>
    </x:row>
    <x:row r="559" ht="36" customHeight="1">
      <x:c r="A559" s="8" t="str">
        <x:v>Liquidity-first</x:v>
      </x:c>
      <x:c r="B559" s="8" t="str">
        <x:v>Moderate combined</x:v>
      </x:c>
      <x:c r="C559" s="8" t="str">
        <x:v>Committed revolver</x:v>
      </x:c>
      <x:c r="D559" s="22" t="n">
        <x:v>1</x:v>
      </x:c>
      <x:c r="E559" s="8" t="n">
        <x:v>0</x:v>
      </x:c>
      <x:c r="F559" s="23" t="n">
        <x:v>0.07250000000000001</x:v>
      </x:c>
      <x:c r="G559" s="8" t="n">
        <x:v>0</x:v>
      </x:c>
      <x:c r="H559" s="8" t="n">
        <x:v>0</x:v>
      </x:c>
      <x:c r="I559" s="8" t="n">
        <x:v>0</x:v>
      </x:c>
      <x:c r="J559" s="8" t="n">
        <x:v>0</x:v>
      </x:c>
      <x:c r="K559" s="8" t="n">
        <x:v>0</x:v>
      </x:c>
      <x:c r="L559" s="8" t="n">
        <x:v>0</x:v>
      </x:c>
      <x:c r="M559" s="21" t="n">
        <x:f>E559+K559-I559-J559-L559</x:f>
        <x:v>0</x:v>
      </x:c>
    </x:row>
    <x:row r="560" ht="36" customHeight="1">
      <x:c r="A560" s="8" t="str">
        <x:v>Liquidity-first</x:v>
      </x:c>
      <x:c r="B560" s="8" t="str">
        <x:v>Moderate combined</x:v>
      </x:c>
      <x:c r="C560" s="8" t="str">
        <x:v>Atlas notes</x:v>
      </x:c>
      <x:c r="D560" s="22" t="n">
        <x:v>2</x:v>
      </x:c>
      <x:c r="E560" s="8" t="n">
        <x:v>900</x:v>
      </x:c>
      <x:c r="F560" s="23" t="n">
        <x:v>0.038</x:v>
      </x:c>
      <x:c r="G560" s="8" t="n">
        <x:v>34.199999999999996</x:v>
      </x:c>
      <x:c r="H560" s="8" t="n">
        <x:v>0</x:v>
      </x:c>
      <x:c r="I560" s="8" t="n">
        <x:v>0</x:v>
      </x:c>
      <x:c r="J560" s="8" t="n">
        <x:v>0</x:v>
      </x:c>
      <x:c r="K560" s="8" t="n">
        <x:v>0</x:v>
      </x:c>
      <x:c r="L560" s="8" t="n">
        <x:v>0</x:v>
      </x:c>
      <x:c r="M560" s="21" t="n">
        <x:f>E560+K560-I560-J560-L560</x:f>
        <x:v>900</x:v>
      </x:c>
    </x:row>
    <x:row r="561" ht="36" customHeight="1">
      <x:c r="A561" s="8" t="str">
        <x:v>Liquidity-first</x:v>
      </x:c>
      <x:c r="B561" s="8" t="str">
        <x:v>Moderate combined</x:v>
      </x:c>
      <x:c r="C561" s="8" t="str">
        <x:v>Atlas finance lease</x:v>
      </x:c>
      <x:c r="D561" s="22" t="n">
        <x:v>2</x:v>
      </x:c>
      <x:c r="E561" s="8" t="n">
        <x:v>64</x:v>
      </x:c>
      <x:c r="F561" s="23" t="n">
        <x:v>0.05</x:v>
      </x:c>
      <x:c r="G561" s="8" t="n">
        <x:v>3.2</x:v>
      </x:c>
      <x:c r="H561" s="8" t="n">
        <x:v>16</x:v>
      </x:c>
      <x:c r="I561" s="8" t="n">
        <x:v>16</x:v>
      </x:c>
      <x:c r="J561" s="8" t="n">
        <x:v>0</x:v>
      </x:c>
      <x:c r="K561" s="8" t="n">
        <x:v>0</x:v>
      </x:c>
      <x:c r="L561" s="8" t="n">
        <x:v>0</x:v>
      </x:c>
      <x:c r="M561" s="21" t="n">
        <x:f>E561+K561-I561-J561-L561</x:f>
        <x:v>48</x:v>
      </x:c>
    </x:row>
    <x:row r="562" ht="36" customHeight="1">
      <x:c r="A562" s="8" t="str">
        <x:v>Liquidity-first</x:v>
      </x:c>
      <x:c r="B562" s="8" t="str">
        <x:v>Moderate combined</x:v>
      </x:c>
      <x:c r="C562" s="8" t="str">
        <x:v>Beacon notes</x:v>
      </x:c>
      <x:c r="D562" s="22" t="n">
        <x:v>2</x:v>
      </x:c>
      <x:c r="E562" s="8" t="n">
        <x:v>350</x:v>
      </x:c>
      <x:c r="F562" s="23" t="n">
        <x:v>0.0475</x:v>
      </x:c>
      <x:c r="G562" s="8" t="n">
        <x:v>16.625</x:v>
      </x:c>
      <x:c r="H562" s="8" t="n">
        <x:v>0</x:v>
      </x:c>
      <x:c r="I562" s="8" t="n">
        <x:v>0</x:v>
      </x:c>
      <x:c r="J562" s="8" t="n">
        <x:v>0</x:v>
      </x:c>
      <x:c r="K562" s="8" t="n">
        <x:v>0</x:v>
      </x:c>
      <x:c r="L562" s="8" t="n">
        <x:v>0</x:v>
      </x:c>
      <x:c r="M562" s="21" t="n">
        <x:f>E562+K562-I562-J562-L562</x:f>
        <x:v>350</x:v>
      </x:c>
    </x:row>
    <x:row r="563" ht="36" customHeight="1">
      <x:c r="A563" s="8" t="str">
        <x:v>Liquidity-first</x:v>
      </x:c>
      <x:c r="B563" s="8" t="str">
        <x:v>Moderate combined</x:v>
      </x:c>
      <x:c r="C563" s="8" t="str">
        <x:v>Acquisition term</x:v>
      </x:c>
      <x:c r="D563" s="22" t="n">
        <x:v>2</x:v>
      </x:c>
      <x:c r="E563" s="8" t="n">
        <x:v>1648.184474610597</x:v>
      </x:c>
      <x:c r="F563" s="23" t="n">
        <x:v>0.0825</x:v>
      </x:c>
      <x:c r="G563" s="8" t="n">
        <x:v>135.97521915537425</x:v>
      </x:c>
      <x:c r="H563" s="8" t="n">
        <x:v>44.46700507614213</x:v>
      </x:c>
      <x:c r="I563" s="8" t="n">
        <x:v>44.46700507614213</x:v>
      </x:c>
      <x:c r="J563" s="8" t="n">
        <x:v>0</x:v>
      </x:c>
      <x:c r="K563" s="8" t="n">
        <x:v>0</x:v>
      </x:c>
      <x:c r="L563" s="8" t="n">
        <x:v>0</x:v>
      </x:c>
      <x:c r="M563" s="21" t="n">
        <x:f>E563+K563-I563-J563-L563</x:f>
        <x:v>1603.7174695344547</x:v>
      </x:c>
    </x:row>
    <x:row r="564" ht="36" customHeight="1">
      <x:c r="A564" s="8" t="str">
        <x:v>Liquidity-first</x:v>
      </x:c>
      <x:c r="B564" s="8" t="str">
        <x:v>Moderate combined</x:v>
      </x:c>
      <x:c r="C564" s="8" t="str">
        <x:v>Committed revolver</x:v>
      </x:c>
      <x:c r="D564" s="22" t="n">
        <x:v>2</x:v>
      </x:c>
      <x:c r="E564" s="8" t="n">
        <x:v>0</x:v>
      </x:c>
      <x:c r="F564" s="23" t="n">
        <x:v>0.07</x:v>
      </x:c>
      <x:c r="G564" s="8" t="n">
        <x:v>0</x:v>
      </x:c>
      <x:c r="H564" s="8" t="n">
        <x:v>0</x:v>
      </x:c>
      <x:c r="I564" s="8" t="n">
        <x:v>0</x:v>
      </x:c>
      <x:c r="J564" s="8" t="n">
        <x:v>0</x:v>
      </x:c>
      <x:c r="K564" s="8" t="n">
        <x:v>12.374004416986963</x:v>
      </x:c>
      <x:c r="L564" s="8" t="n">
        <x:v>0</x:v>
      </x:c>
      <x:c r="M564" s="21" t="n">
        <x:f>E564+K564-I564-J564-L564</x:f>
        <x:v>12.374004416986963</x:v>
      </x:c>
    </x:row>
    <x:row r="565" ht="36" customHeight="1">
      <x:c r="A565" s="8" t="str">
        <x:v>Liquidity-first</x:v>
      </x:c>
      <x:c r="B565" s="8" t="str">
        <x:v>Moderate combined</x:v>
      </x:c>
      <x:c r="C565" s="8" t="str">
        <x:v>Atlas notes</x:v>
      </x:c>
      <x:c r="D565" s="22" t="n">
        <x:v>3</x:v>
      </x:c>
      <x:c r="E565" s="8" t="n">
        <x:v>900</x:v>
      </x:c>
      <x:c r="F565" s="23" t="n">
        <x:v>0.038</x:v>
      </x:c>
      <x:c r="G565" s="8" t="n">
        <x:v>34.199999999999996</x:v>
      </x:c>
      <x:c r="H565" s="8" t="n">
        <x:v>0</x:v>
      </x:c>
      <x:c r="I565" s="8" t="n">
        <x:v>0</x:v>
      </x:c>
      <x:c r="J565" s="8" t="n">
        <x:v>0</x:v>
      </x:c>
      <x:c r="K565" s="8" t="n">
        <x:v>0</x:v>
      </x:c>
      <x:c r="L565" s="8" t="n">
        <x:v>0</x:v>
      </x:c>
      <x:c r="M565" s="21" t="n">
        <x:f>E565+K565-I565-J565-L565</x:f>
        <x:v>900</x:v>
      </x:c>
    </x:row>
    <x:row r="566" ht="36" customHeight="1">
      <x:c r="A566" s="8" t="str">
        <x:v>Liquidity-first</x:v>
      </x:c>
      <x:c r="B566" s="8" t="str">
        <x:v>Moderate combined</x:v>
      </x:c>
      <x:c r="C566" s="8" t="str">
        <x:v>Atlas finance lease</x:v>
      </x:c>
      <x:c r="D566" s="22" t="n">
        <x:v>3</x:v>
      </x:c>
      <x:c r="E566" s="8" t="n">
        <x:v>48</x:v>
      </x:c>
      <x:c r="F566" s="23" t="n">
        <x:v>0.05</x:v>
      </x:c>
      <x:c r="G566" s="8" t="n">
        <x:v>2.4000000000000004</x:v>
      </x:c>
      <x:c r="H566" s="8" t="n">
        <x:v>16</x:v>
      </x:c>
      <x:c r="I566" s="8" t="n">
        <x:v>16</x:v>
      </x:c>
      <x:c r="J566" s="8" t="n">
        <x:v>0</x:v>
      </x:c>
      <x:c r="K566" s="8" t="n">
        <x:v>0</x:v>
      </x:c>
      <x:c r="L566" s="8" t="n">
        <x:v>0</x:v>
      </x:c>
      <x:c r="M566" s="21" t="n">
        <x:f>E566+K566-I566-J566-L566</x:f>
        <x:v>32</x:v>
      </x:c>
    </x:row>
    <x:row r="567" ht="36" customHeight="1">
      <x:c r="A567" s="8" t="str">
        <x:v>Liquidity-first</x:v>
      </x:c>
      <x:c r="B567" s="8" t="str">
        <x:v>Moderate combined</x:v>
      </x:c>
      <x:c r="C567" s="8" t="str">
        <x:v>Beacon notes</x:v>
      </x:c>
      <x:c r="D567" s="22" t="n">
        <x:v>3</x:v>
      </x:c>
      <x:c r="E567" s="8" t="n">
        <x:v>350</x:v>
      </x:c>
      <x:c r="F567" s="23" t="n">
        <x:v>0.0475</x:v>
      </x:c>
      <x:c r="G567" s="8" t="n">
        <x:v>16.625</x:v>
      </x:c>
      <x:c r="H567" s="8" t="n">
        <x:v>350</x:v>
      </x:c>
      <x:c r="I567" s="8" t="n">
        <x:v>350</x:v>
      </x:c>
      <x:c r="J567" s="8" t="n">
        <x:v>0</x:v>
      </x:c>
      <x:c r="K567" s="8" t="n">
        <x:v>0</x:v>
      </x:c>
      <x:c r="L567" s="8" t="n">
        <x:v>0</x:v>
      </x:c>
      <x:c r="M567" s="21" t="n">
        <x:f>E567+K567-I567-J567-L567</x:f>
        <x:v>0</x:v>
      </x:c>
    </x:row>
    <x:row r="568" ht="36" customHeight="1">
      <x:c r="A568" s="8" t="str">
        <x:v>Liquidity-first</x:v>
      </x:c>
      <x:c r="B568" s="8" t="str">
        <x:v>Moderate combined</x:v>
      </x:c>
      <x:c r="C568" s="8" t="str">
        <x:v>Acquisition term</x:v>
      </x:c>
      <x:c r="D568" s="22" t="n">
        <x:v>3</x:v>
      </x:c>
      <x:c r="E568" s="8" t="n">
        <x:v>1603.7174695344547</x:v>
      </x:c>
      <x:c r="F568" s="23" t="n">
        <x:v>0.08</x:v>
      </x:c>
      <x:c r="G568" s="8" t="n">
        <x:v>128.29739756275637</x:v>
      </x:c>
      <x:c r="H568" s="8" t="n">
        <x:v>44.46700507614213</x:v>
      </x:c>
      <x:c r="I568" s="8" t="n">
        <x:v>44.46700507614213</x:v>
      </x:c>
      <x:c r="J568" s="8" t="n">
        <x:v>0</x:v>
      </x:c>
      <x:c r="K568" s="8" t="n">
        <x:v>0</x:v>
      </x:c>
      <x:c r="L568" s="8" t="n">
        <x:v>0</x:v>
      </x:c>
      <x:c r="M568" s="21" t="n">
        <x:f>E568+K568-I568-J568-L568</x:f>
        <x:v>1559.2504644583125</x:v>
      </x:c>
    </x:row>
    <x:row r="569" ht="36" customHeight="1">
      <x:c r="A569" s="8" t="str">
        <x:v>Liquidity-first</x:v>
      </x:c>
      <x:c r="B569" s="8" t="str">
        <x:v>Moderate combined</x:v>
      </x:c>
      <x:c r="C569" s="8" t="str">
        <x:v>Committed revolver</x:v>
      </x:c>
      <x:c r="D569" s="22" t="n">
        <x:v>3</x:v>
      </x:c>
      <x:c r="E569" s="8" t="n">
        <x:v>12.374004416986963</x:v>
      </x:c>
      <x:c r="F569" s="23" t="n">
        <x:v>0.0675</x:v>
      </x:c>
      <x:c r="G569" s="8" t="n">
        <x:v>0.8352452981466201</x:v>
      </x:c>
      <x:c r="H569" s="8" t="n">
        <x:v>0</x:v>
      </x:c>
      <x:c r="I569" s="8" t="n">
        <x:v>0</x:v>
      </x:c>
      <x:c r="J569" s="8" t="n">
        <x:v>0</x:v>
      </x:c>
      <x:c r="K569" s="8" t="n">
        <x:v>282.0132630704926</x:v>
      </x:c>
      <x:c r="L569" s="8" t="n">
        <x:v>0</x:v>
      </x:c>
      <x:c r="M569" s="21" t="n">
        <x:f>E569+K569-I569-J569-L569</x:f>
        <x:v>294.38726748747956</x:v>
      </x:c>
    </x:row>
    <x:row r="570" ht="36" customHeight="1">
      <x:c r="A570" s="8" t="str">
        <x:v>Liquidity-first</x:v>
      </x:c>
      <x:c r="B570" s="8" t="str">
        <x:v>Moderate combined</x:v>
      </x:c>
      <x:c r="C570" s="8" t="str">
        <x:v>Atlas notes</x:v>
      </x:c>
      <x:c r="D570" s="22" t="n">
        <x:v>4</x:v>
      </x:c>
      <x:c r="E570" s="8" t="n">
        <x:v>900</x:v>
      </x:c>
      <x:c r="F570" s="23" t="n">
        <x:v>0.038</x:v>
      </x:c>
      <x:c r="G570" s="8" t="n">
        <x:v>34.199999999999996</x:v>
      </x:c>
      <x:c r="H570" s="8" t="n">
        <x:v>900</x:v>
      </x:c>
      <x:c r="I570" s="8" t="n">
        <x:v>900</x:v>
      </x:c>
      <x:c r="J570" s="8" t="n">
        <x:v>0</x:v>
      </x:c>
      <x:c r="K570" s="8" t="n">
        <x:v>0</x:v>
      </x:c>
      <x:c r="L570" s="8" t="n">
        <x:v>0</x:v>
      </x:c>
      <x:c r="M570" s="21" t="n">
        <x:f>E570+K570-I570-J570-L570</x:f>
        <x:v>0</x:v>
      </x:c>
    </x:row>
    <x:row r="571" ht="36" customHeight="1">
      <x:c r="A571" s="8" t="str">
        <x:v>Liquidity-first</x:v>
      </x:c>
      <x:c r="B571" s="8" t="str">
        <x:v>Moderate combined</x:v>
      </x:c>
      <x:c r="C571" s="8" t="str">
        <x:v>Atlas finance lease</x:v>
      </x:c>
      <x:c r="D571" s="22" t="n">
        <x:v>4</x:v>
      </x:c>
      <x:c r="E571" s="8" t="n">
        <x:v>32</x:v>
      </x:c>
      <x:c r="F571" s="23" t="n">
        <x:v>0.05</x:v>
      </x:c>
      <x:c r="G571" s="8" t="n">
        <x:v>1.6</x:v>
      </x:c>
      <x:c r="H571" s="8" t="n">
        <x:v>16</x:v>
      </x:c>
      <x:c r="I571" s="8" t="n">
        <x:v>16</x:v>
      </x:c>
      <x:c r="J571" s="8" t="n">
        <x:v>0</x:v>
      </x:c>
      <x:c r="K571" s="8" t="n">
        <x:v>0</x:v>
      </x:c>
      <x:c r="L571" s="8" t="n">
        <x:v>0</x:v>
      </x:c>
      <x:c r="M571" s="21" t="n">
        <x:f>E571+K571-I571-J571-L571</x:f>
        <x:v>16</x:v>
      </x:c>
    </x:row>
    <x:row r="572" ht="36" customHeight="1">
      <x:c r="A572" s="8" t="str">
        <x:v>Liquidity-first</x:v>
      </x:c>
      <x:c r="B572" s="8" t="str">
        <x:v>Moderate combined</x:v>
      </x:c>
      <x:c r="C572" s="8" t="str">
        <x:v>Beacon notes</x:v>
      </x:c>
      <x:c r="D572" s="22" t="n">
        <x:v>4</x:v>
      </x:c>
      <x:c r="E572" s="8" t="n">
        <x:v>0</x:v>
      </x:c>
      <x:c r="F572" s="23" t="n">
        <x:v>0.0475</x:v>
      </x:c>
      <x:c r="G572" s="8" t="n">
        <x:v>0</x:v>
      </x:c>
      <x:c r="H572" s="8" t="n">
        <x:v>0</x:v>
      </x:c>
      <x:c r="I572" s="8" t="n">
        <x:v>0</x:v>
      </x:c>
      <x:c r="J572" s="8" t="n">
        <x:v>0</x:v>
      </x:c>
      <x:c r="K572" s="8" t="n">
        <x:v>0</x:v>
      </x:c>
      <x:c r="L572" s="8" t="n">
        <x:v>0</x:v>
      </x:c>
      <x:c r="M572" s="21" t="n">
        <x:f>E572+K572-I572-J572-L572</x:f>
        <x:v>0</x:v>
      </x:c>
    </x:row>
    <x:row r="573" ht="36" customHeight="1">
      <x:c r="A573" s="8" t="str">
        <x:v>Liquidity-first</x:v>
      </x:c>
      <x:c r="B573" s="8" t="str">
        <x:v>Moderate combined</x:v>
      </x:c>
      <x:c r="C573" s="8" t="str">
        <x:v>Acquisition term</x:v>
      </x:c>
      <x:c r="D573" s="22" t="n">
        <x:v>4</x:v>
      </x:c>
      <x:c r="E573" s="8" t="n">
        <x:v>1559.2504644583125</x:v>
      </x:c>
      <x:c r="F573" s="23" t="n">
        <x:v>0.08</x:v>
      </x:c>
      <x:c r="G573" s="8" t="n">
        <x:v>124.74003715666501</x:v>
      </x:c>
      <x:c r="H573" s="8" t="n">
        <x:v>44.46700507614213</x:v>
      </x:c>
      <x:c r="I573" s="8" t="n">
        <x:v>44.46700507614213</x:v>
      </x:c>
      <x:c r="J573" s="8" t="n">
        <x:v>0</x:v>
      </x:c>
      <x:c r="K573" s="8" t="n">
        <x:v>0</x:v>
      </x:c>
      <x:c r="L573" s="8" t="n">
        <x:v>0</x:v>
      </x:c>
      <x:c r="M573" s="21" t="n">
        <x:f>E573+K573-I573-J573-L573</x:f>
        <x:v>1514.7834593821703</x:v>
      </x:c>
    </x:row>
    <x:row r="574" ht="36" customHeight="1">
      <x:c r="A574" s="8" t="str">
        <x:v>Liquidity-first</x:v>
      </x:c>
      <x:c r="B574" s="8" t="str">
        <x:v>Moderate combined</x:v>
      </x:c>
      <x:c r="C574" s="8" t="str">
        <x:v>Committed revolver</x:v>
      </x:c>
      <x:c r="D574" s="22" t="n">
        <x:v>4</x:v>
      </x:c>
      <x:c r="E574" s="8" t="n">
        <x:v>294.38726748747956</x:v>
      </x:c>
      <x:c r="F574" s="23" t="n">
        <x:v>0.0675</x:v>
      </x:c>
      <x:c r="G574" s="8" t="n">
        <x:v>19.87114055540487</x:v>
      </x:c>
      <x:c r="H574" s="8" t="n">
        <x:v>0</x:v>
      </x:c>
      <x:c r="I574" s="8" t="n">
        <x:v>0</x:v>
      </x:c>
      <x:c r="J574" s="8" t="n">
        <x:v>0</x:v>
      </x:c>
      <x:c r="K574" s="8" t="n">
        <x:v>335.61273251252044</x:v>
      </x:c>
      <x:c r="L574" s="8" t="n">
        <x:v>0</x:v>
      </x:c>
      <x:c r="M574" s="21" t="n">
        <x:f>E574+K574-I574-J574-L574</x:f>
        <x:v>630</x:v>
      </x:c>
    </x:row>
    <x:row r="575" ht="36" customHeight="1">
      <x:c r="A575" s="8" t="str">
        <x:v>Liquidity-first</x:v>
      </x:c>
      <x:c r="B575" s="8" t="str">
        <x:v>Moderate combined</x:v>
      </x:c>
      <x:c r="C575" s="8" t="str">
        <x:v>Atlas notes</x:v>
      </x:c>
      <x:c r="D575" s="22" t="n">
        <x:v>5</x:v>
      </x:c>
      <x:c r="E575" s="8" t="n">
        <x:v>0</x:v>
      </x:c>
      <x:c r="F575" s="23" t="n">
        <x:v>0.038</x:v>
      </x:c>
      <x:c r="G575" s="8" t="n">
        <x:v>0</x:v>
      </x:c>
      <x:c r="H575" s="8" t="n">
        <x:v>0</x:v>
      </x:c>
      <x:c r="I575" s="8" t="n">
        <x:v>0</x:v>
      </x:c>
      <x:c r="J575" s="8" t="n">
        <x:v>0</x:v>
      </x:c>
      <x:c r="K575" s="8" t="n">
        <x:v>0</x:v>
      </x:c>
      <x:c r="L575" s="8" t="n">
        <x:v>0</x:v>
      </x:c>
      <x:c r="M575" s="21" t="n">
        <x:f>E575+K575-I575-J575-L575</x:f>
        <x:v>0</x:v>
      </x:c>
    </x:row>
    <x:row r="576" ht="36" customHeight="1">
      <x:c r="A576" s="8" t="str">
        <x:v>Liquidity-first</x:v>
      </x:c>
      <x:c r="B576" s="8" t="str">
        <x:v>Moderate combined</x:v>
      </x:c>
      <x:c r="C576" s="8" t="str">
        <x:v>Atlas finance lease</x:v>
      </x:c>
      <x:c r="D576" s="22" t="n">
        <x:v>5</x:v>
      </x:c>
      <x:c r="E576" s="8" t="n">
        <x:v>16</x:v>
      </x:c>
      <x:c r="F576" s="23" t="n">
        <x:v>0.05</x:v>
      </x:c>
      <x:c r="G576" s="8" t="n">
        <x:v>0.8</x:v>
      </x:c>
      <x:c r="H576" s="8" t="n">
        <x:v>16</x:v>
      </x:c>
      <x:c r="I576" s="8" t="n">
        <x:v>16</x:v>
      </x:c>
      <x:c r="J576" s="8" t="n">
        <x:v>0</x:v>
      </x:c>
      <x:c r="K576" s="8" t="n">
        <x:v>0</x:v>
      </x:c>
      <x:c r="L576" s="8" t="n">
        <x:v>0</x:v>
      </x:c>
      <x:c r="M576" s="21" t="n">
        <x:f>E576+K576-I576-J576-L576</x:f>
        <x:v>0</x:v>
      </x:c>
    </x:row>
    <x:row r="577" ht="36" customHeight="1">
      <x:c r="A577" s="8" t="str">
        <x:v>Liquidity-first</x:v>
      </x:c>
      <x:c r="B577" s="8" t="str">
        <x:v>Moderate combined</x:v>
      </x:c>
      <x:c r="C577" s="8" t="str">
        <x:v>Beacon notes</x:v>
      </x:c>
      <x:c r="D577" s="22" t="n">
        <x:v>5</x:v>
      </x:c>
      <x:c r="E577" s="8" t="n">
        <x:v>0</x:v>
      </x:c>
      <x:c r="F577" s="23" t="n">
        <x:v>0.0475</x:v>
      </x:c>
      <x:c r="G577" s="8" t="n">
        <x:v>0</x:v>
      </x:c>
      <x:c r="H577" s="8" t="n">
        <x:v>0</x:v>
      </x:c>
      <x:c r="I577" s="8" t="n">
        <x:v>0</x:v>
      </x:c>
      <x:c r="J577" s="8" t="n">
        <x:v>0</x:v>
      </x:c>
      <x:c r="K577" s="8" t="n">
        <x:v>0</x:v>
      </x:c>
      <x:c r="L577" s="8" t="n">
        <x:v>0</x:v>
      </x:c>
      <x:c r="M577" s="21" t="n">
        <x:f>E577+K577-I577-J577-L577</x:f>
        <x:v>0</x:v>
      </x:c>
    </x:row>
    <x:row r="578" ht="36" customHeight="1">
      <x:c r="A578" s="8" t="str">
        <x:v>Liquidity-first</x:v>
      </x:c>
      <x:c r="B578" s="8" t="str">
        <x:v>Moderate combined</x:v>
      </x:c>
      <x:c r="C578" s="8" t="str">
        <x:v>Acquisition term</x:v>
      </x:c>
      <x:c r="D578" s="22" t="n">
        <x:v>5</x:v>
      </x:c>
      <x:c r="E578" s="8" t="n">
        <x:v>1514.7834593821703</x:v>
      </x:c>
      <x:c r="F578" s="23" t="n">
        <x:v>0.08</x:v>
      </x:c>
      <x:c r="G578" s="8" t="n">
        <x:v>121.18267675057363</x:v>
      </x:c>
      <x:c r="H578" s="8" t="n">
        <x:v>1514.7834593821703</x:v>
      </x:c>
      <x:c r="I578" s="8" t="n">
        <x:v>512.4943759192433</x:v>
      </x:c>
      <x:c r="J578" s="8" t="n">
        <x:v>0</x:v>
      </x:c>
      <x:c r="K578" s="8" t="n">
        <x:v>0</x:v>
      </x:c>
      <x:c r="L578" s="8" t="n">
        <x:v>0</x:v>
      </x:c>
      <x:c r="M578" s="21" t="n">
        <x:f>E578+K578-I578-J578-L578</x:f>
        <x:v>1002.289083462927</x:v>
      </x:c>
    </x:row>
    <x:row r="579" ht="36" customHeight="1">
      <x:c r="A579" s="8" t="str">
        <x:v>Liquidity-first</x:v>
      </x:c>
      <x:c r="B579" s="8" t="str">
        <x:v>Moderate combined</x:v>
      </x:c>
      <x:c r="C579" s="8" t="str">
        <x:v>Committed revolver</x:v>
      </x:c>
      <x:c r="D579" s="22" t="n">
        <x:v>5</x:v>
      </x:c>
      <x:c r="E579" s="8" t="n">
        <x:v>630</x:v>
      </x:c>
      <x:c r="F579" s="23" t="n">
        <x:v>0.0675</x:v>
      </x:c>
      <x:c r="G579" s="8" t="n">
        <x:v>42.525000000000006</x:v>
      </x:c>
      <x:c r="H579" s="8" t="n">
        <x:v>630</x:v>
      </x:c>
      <x:c r="I579" s="8" t="n">
        <x:v>0</x:v>
      </x:c>
      <x:c r="J579" s="8" t="n">
        <x:v>0</x:v>
      </x:c>
      <x:c r="K579" s="8" t="n">
        <x:v>0</x:v>
      </x:c>
      <x:c r="L579" s="8" t="n">
        <x:v>0</x:v>
      </x:c>
      <x:c r="M579" s="21" t="n">
        <x:f>E579+K579-I579-J579-L579</x:f>
        <x:v>630</x:v>
      </x:c>
    </x:row>
    <x:row r="580" ht="36" customHeight="1">
      <x:c r="A580" s="8" t="str">
        <x:v>Mixed consideration</x:v>
      </x:c>
      <x:c r="B580" s="8" t="str">
        <x:v>Moderate combined</x:v>
      </x:c>
      <x:c r="C580" s="8" t="str">
        <x:v>Atlas notes</x:v>
      </x:c>
      <x:c r="D580" s="22" t="n">
        <x:v>1</x:v>
      </x:c>
      <x:c r="E580" s="8" t="n">
        <x:v>900</x:v>
      </x:c>
      <x:c r="F580" s="23" t="n">
        <x:v>0.038</x:v>
      </x:c>
      <x:c r="G580" s="8" t="n">
        <x:v>34.199999999999996</x:v>
      </x:c>
      <x:c r="H580" s="8" t="n">
        <x:v>0</x:v>
      </x:c>
      <x:c r="I580" s="8" t="n">
        <x:v>0</x:v>
      </x:c>
      <x:c r="J580" s="8" t="n">
        <x:v>0</x:v>
      </x:c>
      <x:c r="K580" s="8" t="n">
        <x:v>0</x:v>
      </x:c>
      <x:c r="L580" s="8" t="n">
        <x:v>0</x:v>
      </x:c>
      <x:c r="M580" s="21" t="n">
        <x:f>E580+K580-I580-J580-L580</x:f>
        <x:v>900</x:v>
      </x:c>
    </x:row>
    <x:row r="581" ht="36" customHeight="1">
      <x:c r="A581" s="8" t="str">
        <x:v>Mixed consideration</x:v>
      </x:c>
      <x:c r="B581" s="8" t="str">
        <x:v>Moderate combined</x:v>
      </x:c>
      <x:c r="C581" s="8" t="str">
        <x:v>Atlas finance lease</x:v>
      </x:c>
      <x:c r="D581" s="22" t="n">
        <x:v>1</x:v>
      </x:c>
      <x:c r="E581" s="8" t="n">
        <x:v>80</x:v>
      </x:c>
      <x:c r="F581" s="23" t="n">
        <x:v>0.05</x:v>
      </x:c>
      <x:c r="G581" s="8" t="n">
        <x:v>4</x:v>
      </x:c>
      <x:c r="H581" s="8" t="n">
        <x:v>16</x:v>
      </x:c>
      <x:c r="I581" s="8" t="n">
        <x:v>16</x:v>
      </x:c>
      <x:c r="J581" s="8" t="n">
        <x:v>0</x:v>
      </x:c>
      <x:c r="K581" s="8" t="n">
        <x:v>0</x:v>
      </x:c>
      <x:c r="L581" s="8" t="n">
        <x:v>0</x:v>
      </x:c>
      <x:c r="M581" s="21" t="n">
        <x:f>E581+K581-I581-J581-L581</x:f>
        <x:v>64</x:v>
      </x:c>
    </x:row>
    <x:row r="582" ht="36" customHeight="1">
      <x:c r="A582" s="8" t="str">
        <x:v>Mixed consideration</x:v>
      </x:c>
      <x:c r="B582" s="8" t="str">
        <x:v>Moderate combined</x:v>
      </x:c>
      <x:c r="C582" s="8" t="str">
        <x:v>Beacon notes</x:v>
      </x:c>
      <x:c r="D582" s="22" t="n">
        <x:v>1</x:v>
      </x:c>
      <x:c r="E582" s="8" t="n">
        <x:v>350</x:v>
      </x:c>
      <x:c r="F582" s="23" t="n">
        <x:v>0.0475</x:v>
      </x:c>
      <x:c r="G582" s="8" t="n">
        <x:v>16.625</x:v>
      </x:c>
      <x:c r="H582" s="8" t="n">
        <x:v>0</x:v>
      </x:c>
      <x:c r="I582" s="8" t="n">
        <x:v>0</x:v>
      </x:c>
      <x:c r="J582" s="8" t="n">
        <x:v>0</x:v>
      </x:c>
      <x:c r="K582" s="8" t="n">
        <x:v>0</x:v>
      </x:c>
      <x:c r="L582" s="8" t="n">
        <x:v>0</x:v>
      </x:c>
      <x:c r="M582" s="21" t="n">
        <x:f>E582+K582-I582-J582-L582</x:f>
        <x:v>350</x:v>
      </x:c>
    </x:row>
    <x:row r="583" ht="36" customHeight="1">
      <x:c r="A583" s="8" t="str">
        <x:v>Mixed consideration</x:v>
      </x:c>
      <x:c r="B583" s="8" t="str">
        <x:v>Moderate combined</x:v>
      </x:c>
      <x:c r="C583" s="8" t="str">
        <x:v>Acquisition term</x:v>
      </x:c>
      <x:c r="D583" s="22" t="n">
        <x:v>1</x:v>
      </x:c>
      <x:c r="E583" s="8" t="n">
        <x:v>304.56852791878174</x:v>
      </x:c>
      <x:c r="F583" s="23" t="n">
        <x:v>0.085</x:v>
      </x:c>
      <x:c r="G583" s="8" t="n">
        <x:v>25.88832487309645</x:v>
      </x:c>
      <x:c r="H583" s="8" t="n">
        <x:v>6.091370558375635</x:v>
      </x:c>
      <x:c r="I583" s="8" t="n">
        <x:v>6.091370558375635</x:v>
      </x:c>
      <x:c r="J583" s="8" t="n">
        <x:v>0</x:v>
      </x:c>
      <x:c r="K583" s="8" t="n">
        <x:v>0</x:v>
      </x:c>
      <x:c r="L583" s="8" t="n">
        <x:v>0</x:v>
      </x:c>
      <x:c r="M583" s="21" t="n">
        <x:f>E583+K583-I583-J583-L583</x:f>
        <x:v>298.4771573604061</x:v>
      </x:c>
    </x:row>
    <x:row r="584" ht="36" customHeight="1">
      <x:c r="A584" s="8" t="str">
        <x:v>Mixed consideration</x:v>
      </x:c>
      <x:c r="B584" s="8" t="str">
        <x:v>Moderate combined</x:v>
      </x:c>
      <x:c r="C584" s="8" t="str">
        <x:v>Committed revolver</x:v>
      </x:c>
      <x:c r="D584" s="22" t="n">
        <x:v>1</x:v>
      </x:c>
      <x:c r="E584" s="8" t="n">
        <x:v>0</x:v>
      </x:c>
      <x:c r="F584" s="23" t="n">
        <x:v>0.07250000000000001</x:v>
      </x:c>
      <x:c r="G584" s="8" t="n">
        <x:v>0</x:v>
      </x:c>
      <x:c r="H584" s="8" t="n">
        <x:v>0</x:v>
      </x:c>
      <x:c r="I584" s="8" t="n">
        <x:v>0</x:v>
      </x:c>
      <x:c r="J584" s="8" t="n">
        <x:v>0</x:v>
      </x:c>
      <x:c r="K584" s="8" t="n">
        <x:v>178.60325633648483</x:v>
      </x:c>
      <x:c r="L584" s="8" t="n">
        <x:v>0</x:v>
      </x:c>
      <x:c r="M584" s="21" t="n">
        <x:f>E584+K584-I584-J584-L584</x:f>
        <x:v>178.60325633648483</x:v>
      </x:c>
    </x:row>
    <x:row r="585" ht="36" customHeight="1">
      <x:c r="A585" s="8" t="str">
        <x:v>Mixed consideration</x:v>
      </x:c>
      <x:c r="B585" s="8" t="str">
        <x:v>Moderate combined</x:v>
      </x:c>
      <x:c r="C585" s="8" t="str">
        <x:v>Atlas notes</x:v>
      </x:c>
      <x:c r="D585" s="22" t="n">
        <x:v>2</x:v>
      </x:c>
      <x:c r="E585" s="8" t="n">
        <x:v>900</x:v>
      </x:c>
      <x:c r="F585" s="23" t="n">
        <x:v>0.038</x:v>
      </x:c>
      <x:c r="G585" s="8" t="n">
        <x:v>34.199999999999996</x:v>
      </x:c>
      <x:c r="H585" s="8" t="n">
        <x:v>0</x:v>
      </x:c>
      <x:c r="I585" s="8" t="n">
        <x:v>0</x:v>
      </x:c>
      <x:c r="J585" s="8" t="n">
        <x:v>0</x:v>
      </x:c>
      <x:c r="K585" s="8" t="n">
        <x:v>0</x:v>
      </x:c>
      <x:c r="L585" s="8" t="n">
        <x:v>0</x:v>
      </x:c>
      <x:c r="M585" s="21" t="n">
        <x:f>E585+K585-I585-J585-L585</x:f>
        <x:v>900</x:v>
      </x:c>
    </x:row>
    <x:row r="586" ht="36" customHeight="1">
      <x:c r="A586" s="8" t="str">
        <x:v>Mixed consideration</x:v>
      </x:c>
      <x:c r="B586" s="8" t="str">
        <x:v>Moderate combined</x:v>
      </x:c>
      <x:c r="C586" s="8" t="str">
        <x:v>Atlas finance lease</x:v>
      </x:c>
      <x:c r="D586" s="22" t="n">
        <x:v>2</x:v>
      </x:c>
      <x:c r="E586" s="8" t="n">
        <x:v>64</x:v>
      </x:c>
      <x:c r="F586" s="23" t="n">
        <x:v>0.05</x:v>
      </x:c>
      <x:c r="G586" s="8" t="n">
        <x:v>3.2</x:v>
      </x:c>
      <x:c r="H586" s="8" t="n">
        <x:v>16</x:v>
      </x:c>
      <x:c r="I586" s="8" t="n">
        <x:v>16</x:v>
      </x:c>
      <x:c r="J586" s="8" t="n">
        <x:v>0</x:v>
      </x:c>
      <x:c r="K586" s="8" t="n">
        <x:v>0</x:v>
      </x:c>
      <x:c r="L586" s="8" t="n">
        <x:v>0</x:v>
      </x:c>
      <x:c r="M586" s="21" t="n">
        <x:f>E586+K586-I586-J586-L586</x:f>
        <x:v>48</x:v>
      </x:c>
    </x:row>
    <x:row r="587" ht="36" customHeight="1">
      <x:c r="A587" s="8" t="str">
        <x:v>Mixed consideration</x:v>
      </x:c>
      <x:c r="B587" s="8" t="str">
        <x:v>Moderate combined</x:v>
      </x:c>
      <x:c r="C587" s="8" t="str">
        <x:v>Beacon notes</x:v>
      </x:c>
      <x:c r="D587" s="22" t="n">
        <x:v>2</x:v>
      </x:c>
      <x:c r="E587" s="8" t="n">
        <x:v>350</x:v>
      </x:c>
      <x:c r="F587" s="23" t="n">
        <x:v>0.0475</x:v>
      </x:c>
      <x:c r="G587" s="8" t="n">
        <x:v>16.625</x:v>
      </x:c>
      <x:c r="H587" s="8" t="n">
        <x:v>0</x:v>
      </x:c>
      <x:c r="I587" s="8" t="n">
        <x:v>0</x:v>
      </x:c>
      <x:c r="J587" s="8" t="n">
        <x:v>0</x:v>
      </x:c>
      <x:c r="K587" s="8" t="n">
        <x:v>0</x:v>
      </x:c>
      <x:c r="L587" s="8" t="n">
        <x:v>0</x:v>
      </x:c>
      <x:c r="M587" s="21" t="n">
        <x:f>E587+K587-I587-J587-L587</x:f>
        <x:v>350</x:v>
      </x:c>
    </x:row>
    <x:row r="588" ht="36" customHeight="1">
      <x:c r="A588" s="8" t="str">
        <x:v>Mixed consideration</x:v>
      </x:c>
      <x:c r="B588" s="8" t="str">
        <x:v>Moderate combined</x:v>
      </x:c>
      <x:c r="C588" s="8" t="str">
        <x:v>Acquisition term</x:v>
      </x:c>
      <x:c r="D588" s="22" t="n">
        <x:v>2</x:v>
      </x:c>
      <x:c r="E588" s="8" t="n">
        <x:v>298.4771573604061</x:v>
      </x:c>
      <x:c r="F588" s="23" t="n">
        <x:v>0.0825</x:v>
      </x:c>
      <x:c r="G588" s="8" t="n">
        <x:v>24.624365482233507</x:v>
      </x:c>
      <x:c r="H588" s="8" t="n">
        <x:v>6.091370558375635</x:v>
      </x:c>
      <x:c r="I588" s="8" t="n">
        <x:v>6.091370558375635</x:v>
      </x:c>
      <x:c r="J588" s="8" t="n">
        <x:v>0</x:v>
      </x:c>
      <x:c r="K588" s="8" t="n">
        <x:v>0</x:v>
      </x:c>
      <x:c r="L588" s="8" t="n">
        <x:v>0</x:v>
      </x:c>
      <x:c r="M588" s="21" t="n">
        <x:f>E588+K588-I588-J588-L588</x:f>
        <x:v>292.3857868020305</x:v>
      </x:c>
    </x:row>
    <x:row r="589" ht="36" customHeight="1">
      <x:c r="A589" s="8" t="str">
        <x:v>Mixed consideration</x:v>
      </x:c>
      <x:c r="B589" s="8" t="str">
        <x:v>Moderate combined</x:v>
      </x:c>
      <x:c r="C589" s="8" t="str">
        <x:v>Committed revolver</x:v>
      </x:c>
      <x:c r="D589" s="22" t="n">
        <x:v>2</x:v>
      </x:c>
      <x:c r="E589" s="8" t="n">
        <x:v>178.60325633648483</x:v>
      </x:c>
      <x:c r="F589" s="23" t="n">
        <x:v>0.07</x:v>
      </x:c>
      <x:c r="G589" s="8" t="n">
        <x:v>12.50222794355394</x:v>
      </x:c>
      <x:c r="H589" s="8" t="n">
        <x:v>0</x:v>
      </x:c>
      <x:c r="I589" s="8" t="n">
        <x:v>0</x:v>
      </x:c>
      <x:c r="J589" s="8" t="n">
        <x:v>100.13809939796954</x:v>
      </x:c>
      <x:c r="K589" s="8" t="n">
        <x:v>0</x:v>
      </x:c>
      <x:c r="L589" s="8" t="n">
        <x:v>0</x:v>
      </x:c>
      <x:c r="M589" s="21" t="n">
        <x:f>E589+K589-I589-J589-L589</x:f>
        <x:v>78.46515693851529</x:v>
      </x:c>
    </x:row>
    <x:row r="590" ht="36" customHeight="1">
      <x:c r="A590" s="8" t="str">
        <x:v>Mixed consideration</x:v>
      </x:c>
      <x:c r="B590" s="8" t="str">
        <x:v>Moderate combined</x:v>
      </x:c>
      <x:c r="C590" s="8" t="str">
        <x:v>Atlas notes</x:v>
      </x:c>
      <x:c r="D590" s="22" t="n">
        <x:v>3</x:v>
      </x:c>
      <x:c r="E590" s="8" t="n">
        <x:v>900</x:v>
      </x:c>
      <x:c r="F590" s="23" t="n">
        <x:v>0.038</x:v>
      </x:c>
      <x:c r="G590" s="8" t="n">
        <x:v>34.199999999999996</x:v>
      </x:c>
      <x:c r="H590" s="8" t="n">
        <x:v>0</x:v>
      </x:c>
      <x:c r="I590" s="8" t="n">
        <x:v>0</x:v>
      </x:c>
      <x:c r="J590" s="8" t="n">
        <x:v>0</x:v>
      </x:c>
      <x:c r="K590" s="8" t="n">
        <x:v>0</x:v>
      </x:c>
      <x:c r="L590" s="8" t="n">
        <x:v>0</x:v>
      </x:c>
      <x:c r="M590" s="21" t="n">
        <x:f>E590+K590-I590-J590-L590</x:f>
        <x:v>900</x:v>
      </x:c>
    </x:row>
    <x:row r="591" ht="36" customHeight="1">
      <x:c r="A591" s="8" t="str">
        <x:v>Mixed consideration</x:v>
      </x:c>
      <x:c r="B591" s="8" t="str">
        <x:v>Moderate combined</x:v>
      </x:c>
      <x:c r="C591" s="8" t="str">
        <x:v>Atlas finance lease</x:v>
      </x:c>
      <x:c r="D591" s="22" t="n">
        <x:v>3</x:v>
      </x:c>
      <x:c r="E591" s="8" t="n">
        <x:v>48</x:v>
      </x:c>
      <x:c r="F591" s="23" t="n">
        <x:v>0.05</x:v>
      </x:c>
      <x:c r="G591" s="8" t="n">
        <x:v>2.4000000000000004</x:v>
      </x:c>
      <x:c r="H591" s="8" t="n">
        <x:v>16</x:v>
      </x:c>
      <x:c r="I591" s="8" t="n">
        <x:v>16</x:v>
      </x:c>
      <x:c r="J591" s="8" t="n">
        <x:v>0</x:v>
      </x:c>
      <x:c r="K591" s="8" t="n">
        <x:v>0</x:v>
      </x:c>
      <x:c r="L591" s="8" t="n">
        <x:v>0</x:v>
      </x:c>
      <x:c r="M591" s="21" t="n">
        <x:f>E591+K591-I591-J591-L591</x:f>
        <x:v>32</x:v>
      </x:c>
    </x:row>
    <x:row r="592" ht="36" customHeight="1">
      <x:c r="A592" s="8" t="str">
        <x:v>Mixed consideration</x:v>
      </x:c>
      <x:c r="B592" s="8" t="str">
        <x:v>Moderate combined</x:v>
      </x:c>
      <x:c r="C592" s="8" t="str">
        <x:v>Beacon notes</x:v>
      </x:c>
      <x:c r="D592" s="22" t="n">
        <x:v>3</x:v>
      </x:c>
      <x:c r="E592" s="8" t="n">
        <x:v>350</x:v>
      </x:c>
      <x:c r="F592" s="23" t="n">
        <x:v>0.0475</x:v>
      </x:c>
      <x:c r="G592" s="8" t="n">
        <x:v>16.625</x:v>
      </x:c>
      <x:c r="H592" s="8" t="n">
        <x:v>350</x:v>
      </x:c>
      <x:c r="I592" s="8" t="n">
        <x:v>350</x:v>
      </x:c>
      <x:c r="J592" s="8" t="n">
        <x:v>0</x:v>
      </x:c>
      <x:c r="K592" s="8" t="n">
        <x:v>0</x:v>
      </x:c>
      <x:c r="L592" s="8" t="n">
        <x:v>0</x:v>
      </x:c>
      <x:c r="M592" s="21" t="n">
        <x:f>E592+K592-I592-J592-L592</x:f>
        <x:v>0</x:v>
      </x:c>
    </x:row>
    <x:row r="593" ht="36" customHeight="1">
      <x:c r="A593" s="8" t="str">
        <x:v>Mixed consideration</x:v>
      </x:c>
      <x:c r="B593" s="8" t="str">
        <x:v>Moderate combined</x:v>
      </x:c>
      <x:c r="C593" s="8" t="str">
        <x:v>Acquisition term</x:v>
      </x:c>
      <x:c r="D593" s="22" t="n">
        <x:v>3</x:v>
      </x:c>
      <x:c r="E593" s="8" t="n">
        <x:v>292.3857868020305</x:v>
      </x:c>
      <x:c r="F593" s="23" t="n">
        <x:v>0.08</x:v>
      </x:c>
      <x:c r="G593" s="8" t="n">
        <x:v>23.390862944162443</x:v>
      </x:c>
      <x:c r="H593" s="8" t="n">
        <x:v>6.091370558375635</x:v>
      </x:c>
      <x:c r="I593" s="8" t="n">
        <x:v>6.091370558375635</x:v>
      </x:c>
      <x:c r="J593" s="8" t="n">
        <x:v>0</x:v>
      </x:c>
      <x:c r="K593" s="8" t="n">
        <x:v>0</x:v>
      </x:c>
      <x:c r="L593" s="8" t="n">
        <x:v>0</x:v>
      </x:c>
      <x:c r="M593" s="21" t="n">
        <x:f>E593+K593-I593-J593-L593</x:f>
        <x:v>286.2944162436549</x:v>
      </x:c>
    </x:row>
    <x:row r="594" ht="36" customHeight="1">
      <x:c r="A594" s="8" t="str">
        <x:v>Mixed consideration</x:v>
      </x:c>
      <x:c r="B594" s="8" t="str">
        <x:v>Moderate combined</x:v>
      </x:c>
      <x:c r="C594" s="8" t="str">
        <x:v>Committed revolver</x:v>
      </x:c>
      <x:c r="D594" s="22" t="n">
        <x:v>3</x:v>
      </x:c>
      <x:c r="E594" s="8" t="n">
        <x:v>78.46515693851529</x:v>
      </x:c>
      <x:c r="F594" s="23" t="n">
        <x:v>0.0675</x:v>
      </x:c>
      <x:c r="G594" s="8" t="n">
        <x:v>5.296398093349783</x:v>
      </x:c>
      <x:c r="H594" s="8" t="n">
        <x:v>0</x:v>
      </x:c>
      <x:c r="I594" s="8" t="n">
        <x:v>0</x:v>
      </x:c>
      <x:c r="J594" s="8" t="n">
        <x:v>1.1368683772161603e-13</x:v>
      </x:c>
      <x:c r="K594" s="8" t="n">
        <x:v>168.3035921851831</x:v>
      </x:c>
      <x:c r="L594" s="8" t="n">
        <x:v>0</x:v>
      </x:c>
      <x:c r="M594" s="21" t="n">
        <x:f>E594+K594-I594-J594-L594</x:f>
        <x:v>246.76874912369829</x:v>
      </x:c>
    </x:row>
    <x:row r="595" ht="36" customHeight="1">
      <x:c r="A595" s="8" t="str">
        <x:v>Mixed consideration</x:v>
      </x:c>
      <x:c r="B595" s="8" t="str">
        <x:v>Moderate combined</x:v>
      </x:c>
      <x:c r="C595" s="8" t="str">
        <x:v>Atlas notes</x:v>
      </x:c>
      <x:c r="D595" s="22" t="n">
        <x:v>4</x:v>
      </x:c>
      <x:c r="E595" s="8" t="n">
        <x:v>900</x:v>
      </x:c>
      <x:c r="F595" s="23" t="n">
        <x:v>0.038</x:v>
      </x:c>
      <x:c r="G595" s="8" t="n">
        <x:v>34.199999999999996</x:v>
      </x:c>
      <x:c r="H595" s="8" t="n">
        <x:v>900</x:v>
      </x:c>
      <x:c r="I595" s="8" t="n">
        <x:v>900</x:v>
      </x:c>
      <x:c r="J595" s="8" t="n">
        <x:v>0</x:v>
      </x:c>
      <x:c r="K595" s="8" t="n">
        <x:v>0</x:v>
      </x:c>
      <x:c r="L595" s="8" t="n">
        <x:v>0</x:v>
      </x:c>
      <x:c r="M595" s="21" t="n">
        <x:f>E595+K595-I595-J595-L595</x:f>
        <x:v>0</x:v>
      </x:c>
    </x:row>
    <x:row r="596" ht="36" customHeight="1">
      <x:c r="A596" s="8" t="str">
        <x:v>Mixed consideration</x:v>
      </x:c>
      <x:c r="B596" s="8" t="str">
        <x:v>Moderate combined</x:v>
      </x:c>
      <x:c r="C596" s="8" t="str">
        <x:v>Atlas finance lease</x:v>
      </x:c>
      <x:c r="D596" s="22" t="n">
        <x:v>4</x:v>
      </x:c>
      <x:c r="E596" s="8" t="n">
        <x:v>32</x:v>
      </x:c>
      <x:c r="F596" s="23" t="n">
        <x:v>0.05</x:v>
      </x:c>
      <x:c r="G596" s="8" t="n">
        <x:v>1.6</x:v>
      </x:c>
      <x:c r="H596" s="8" t="n">
        <x:v>16</x:v>
      </x:c>
      <x:c r="I596" s="8" t="n">
        <x:v>16</x:v>
      </x:c>
      <x:c r="J596" s="8" t="n">
        <x:v>0</x:v>
      </x:c>
      <x:c r="K596" s="8" t="n">
        <x:v>0</x:v>
      </x:c>
      <x:c r="L596" s="8" t="n">
        <x:v>0</x:v>
      </x:c>
      <x:c r="M596" s="21" t="n">
        <x:f>E596+K596-I596-J596-L596</x:f>
        <x:v>16</x:v>
      </x:c>
    </x:row>
    <x:row r="597" ht="36" customHeight="1">
      <x:c r="A597" s="8" t="str">
        <x:v>Mixed consideration</x:v>
      </x:c>
      <x:c r="B597" s="8" t="str">
        <x:v>Moderate combined</x:v>
      </x:c>
      <x:c r="C597" s="8" t="str">
        <x:v>Beacon notes</x:v>
      </x:c>
      <x:c r="D597" s="22" t="n">
        <x:v>4</x:v>
      </x:c>
      <x:c r="E597" s="8" t="n">
        <x:v>0</x:v>
      </x:c>
      <x:c r="F597" s="23" t="n">
        <x:v>0.0475</x:v>
      </x:c>
      <x:c r="G597" s="8" t="n">
        <x:v>0</x:v>
      </x:c>
      <x:c r="H597" s="8" t="n">
        <x:v>0</x:v>
      </x:c>
      <x:c r="I597" s="8" t="n">
        <x:v>0</x:v>
      </x:c>
      <x:c r="J597" s="8" t="n">
        <x:v>0</x:v>
      </x:c>
      <x:c r="K597" s="8" t="n">
        <x:v>0</x:v>
      </x:c>
      <x:c r="L597" s="8" t="n">
        <x:v>0</x:v>
      </x:c>
      <x:c r="M597" s="21" t="n">
        <x:f>E597+K597-I597-J597-L597</x:f>
        <x:v>0</x:v>
      </x:c>
    </x:row>
    <x:row r="598" ht="36" customHeight="1">
      <x:c r="A598" s="8" t="str">
        <x:v>Mixed consideration</x:v>
      </x:c>
      <x:c r="B598" s="8" t="str">
        <x:v>Moderate combined</x:v>
      </x:c>
      <x:c r="C598" s="8" t="str">
        <x:v>Acquisition term</x:v>
      </x:c>
      <x:c r="D598" s="22" t="n">
        <x:v>4</x:v>
      </x:c>
      <x:c r="E598" s="8" t="n">
        <x:v>286.2944162436549</x:v>
      </x:c>
      <x:c r="F598" s="23" t="n">
        <x:v>0.08</x:v>
      </x:c>
      <x:c r="G598" s="8" t="n">
        <x:v>22.90355329949239</x:v>
      </x:c>
      <x:c r="H598" s="8" t="n">
        <x:v>6.091370558375635</x:v>
      </x:c>
      <x:c r="I598" s="8" t="n">
        <x:v>6.091370558375635</x:v>
      </x:c>
      <x:c r="J598" s="8" t="n">
        <x:v>0</x:v>
      </x:c>
      <x:c r="K598" s="8" t="n">
        <x:v>0</x:v>
      </x:c>
      <x:c r="L598" s="8" t="n">
        <x:v>0</x:v>
      </x:c>
      <x:c r="M598" s="21" t="n">
        <x:f>E598+K598-I598-J598-L598</x:f>
        <x:v>280.2030456852793</x:v>
      </x:c>
    </x:row>
    <x:row r="599" ht="36" customHeight="1">
      <x:c r="A599" s="8" t="str">
        <x:v>Mixed consideration</x:v>
      </x:c>
      <x:c r="B599" s="8" t="str">
        <x:v>Moderate combined</x:v>
      </x:c>
      <x:c r="C599" s="8" t="str">
        <x:v>Committed revolver</x:v>
      </x:c>
      <x:c r="D599" s="22" t="n">
        <x:v>4</x:v>
      </x:c>
      <x:c r="E599" s="8" t="n">
        <x:v>246.76874912369829</x:v>
      </x:c>
      <x:c r="F599" s="23" t="n">
        <x:v>0.0675</x:v>
      </x:c>
      <x:c r="G599" s="8" t="n">
        <x:v>16.656890565849636</x:v>
      </x:c>
      <x:c r="H599" s="8" t="n">
        <x:v>0</x:v>
      </x:c>
      <x:c r="I599" s="8" t="n">
        <x:v>0</x:v>
      </x:c>
      <x:c r="J599" s="8" t="n">
        <x:v>0</x:v>
      </x:c>
      <x:c r="K599" s="8" t="n">
        <x:v>383.2312508763017</x:v>
      </x:c>
      <x:c r="L599" s="8" t="n">
        <x:v>0</x:v>
      </x:c>
      <x:c r="M599" s="21" t="n">
        <x:f>E599+K599-I599-J599-L599</x:f>
        <x:v>630</x:v>
      </x:c>
    </x:row>
    <x:row r="600" ht="36" customHeight="1">
      <x:c r="A600" s="8" t="str">
        <x:v>Mixed consideration</x:v>
      </x:c>
      <x:c r="B600" s="8" t="str">
        <x:v>Moderate combined</x:v>
      </x:c>
      <x:c r="C600" s="8" t="str">
        <x:v>Atlas notes</x:v>
      </x:c>
      <x:c r="D600" s="22" t="n">
        <x:v>5</x:v>
      </x:c>
      <x:c r="E600" s="8" t="n">
        <x:v>0</x:v>
      </x:c>
      <x:c r="F600" s="23" t="n">
        <x:v>0.038</x:v>
      </x:c>
      <x:c r="G600" s="8" t="n">
        <x:v>0</x:v>
      </x:c>
      <x:c r="H600" s="8" t="n">
        <x:v>0</x:v>
      </x:c>
      <x:c r="I600" s="8" t="n">
        <x:v>0</x:v>
      </x:c>
      <x:c r="J600" s="8" t="n">
        <x:v>0</x:v>
      </x:c>
      <x:c r="K600" s="8" t="n">
        <x:v>0</x:v>
      </x:c>
      <x:c r="L600" s="8" t="n">
        <x:v>0</x:v>
      </x:c>
      <x:c r="M600" s="21" t="n">
        <x:f>E600+K600-I600-J600-L600</x:f>
        <x:v>0</x:v>
      </x:c>
    </x:row>
    <x:row r="601" ht="36" customHeight="1">
      <x:c r="A601" s="8" t="str">
        <x:v>Mixed consideration</x:v>
      </x:c>
      <x:c r="B601" s="8" t="str">
        <x:v>Moderate combined</x:v>
      </x:c>
      <x:c r="C601" s="8" t="str">
        <x:v>Atlas finance lease</x:v>
      </x:c>
      <x:c r="D601" s="22" t="n">
        <x:v>5</x:v>
      </x:c>
      <x:c r="E601" s="8" t="n">
        <x:v>16</x:v>
      </x:c>
      <x:c r="F601" s="23" t="n">
        <x:v>0.05</x:v>
      </x:c>
      <x:c r="G601" s="8" t="n">
        <x:v>0.8</x:v>
      </x:c>
      <x:c r="H601" s="8" t="n">
        <x:v>16</x:v>
      </x:c>
      <x:c r="I601" s="8" t="n">
        <x:v>16</x:v>
      </x:c>
      <x:c r="J601" s="8" t="n">
        <x:v>0</x:v>
      </x:c>
      <x:c r="K601" s="8" t="n">
        <x:v>0</x:v>
      </x:c>
      <x:c r="L601" s="8" t="n">
        <x:v>0</x:v>
      </x:c>
      <x:c r="M601" s="21" t="n">
        <x:f>E601+K601-I601-J601-L601</x:f>
        <x:v>0</x:v>
      </x:c>
    </x:row>
    <x:row r="602" ht="36" customHeight="1">
      <x:c r="A602" s="8" t="str">
        <x:v>Mixed consideration</x:v>
      </x:c>
      <x:c r="B602" s="8" t="str">
        <x:v>Moderate combined</x:v>
      </x:c>
      <x:c r="C602" s="8" t="str">
        <x:v>Beacon notes</x:v>
      </x:c>
      <x:c r="D602" s="22" t="n">
        <x:v>5</x:v>
      </x:c>
      <x:c r="E602" s="8" t="n">
        <x:v>0</x:v>
      </x:c>
      <x:c r="F602" s="23" t="n">
        <x:v>0.0475</x:v>
      </x:c>
      <x:c r="G602" s="8" t="n">
        <x:v>0</x:v>
      </x:c>
      <x:c r="H602" s="8" t="n">
        <x:v>0</x:v>
      </x:c>
      <x:c r="I602" s="8" t="n">
        <x:v>0</x:v>
      </x:c>
      <x:c r="J602" s="8" t="n">
        <x:v>0</x:v>
      </x:c>
      <x:c r="K602" s="8" t="n">
        <x:v>0</x:v>
      </x:c>
      <x:c r="L602" s="8" t="n">
        <x:v>0</x:v>
      </x:c>
      <x:c r="M602" s="21" t="n">
        <x:f>E602+K602-I602-J602-L602</x:f>
        <x:v>0</x:v>
      </x:c>
    </x:row>
    <x:row r="603" ht="36" customHeight="1">
      <x:c r="A603" s="8" t="str">
        <x:v>Mixed consideration</x:v>
      </x:c>
      <x:c r="B603" s="8" t="str">
        <x:v>Moderate combined</x:v>
      </x:c>
      <x:c r="C603" s="8" t="str">
        <x:v>Acquisition term</x:v>
      </x:c>
      <x:c r="D603" s="22" t="n">
        <x:v>5</x:v>
      </x:c>
      <x:c r="E603" s="8" t="n">
        <x:v>280.2030456852793</x:v>
      </x:c>
      <x:c r="F603" s="23" t="n">
        <x:v>0.08</x:v>
      </x:c>
      <x:c r="G603" s="8" t="n">
        <x:v>22.416243654822342</x:v>
      </x:c>
      <x:c r="H603" s="8" t="n">
        <x:v>280.2030456852793</x:v>
      </x:c>
      <x:c r="I603" s="8" t="n">
        <x:v>280.2030456852793</x:v>
      </x:c>
      <x:c r="J603" s="8" t="n">
        <x:v>0</x:v>
      </x:c>
      <x:c r="K603" s="8" t="n">
        <x:v>0</x:v>
      </x:c>
      <x:c r="L603" s="8" t="n">
        <x:v>0</x:v>
      </x:c>
      <x:c r="M603" s="21" t="n">
        <x:f>E603+K603-I603-J603-L603</x:f>
        <x:v>0</x:v>
      </x:c>
    </x:row>
    <x:row r="604" ht="36" customHeight="1">
      <x:c r="A604" s="8" t="str">
        <x:v>Mixed consideration</x:v>
      </x:c>
      <x:c r="B604" s="8" t="str">
        <x:v>Moderate combined</x:v>
      </x:c>
      <x:c r="C604" s="8" t="str">
        <x:v>Committed revolver</x:v>
      </x:c>
      <x:c r="D604" s="22" t="n">
        <x:v>5</x:v>
      </x:c>
      <x:c r="E604" s="8" t="n">
        <x:v>630</x:v>
      </x:c>
      <x:c r="F604" s="23" t="n">
        <x:v>0.0675</x:v>
      </x:c>
      <x:c r="G604" s="8" t="n">
        <x:v>42.525000000000006</x:v>
      </x:c>
      <x:c r="H604" s="8" t="n">
        <x:v>630</x:v>
      </x:c>
      <x:c r="I604" s="8" t="n">
        <x:v>471.14835832237105</x:v>
      </x:c>
      <x:c r="J604" s="8" t="n">
        <x:v>0</x:v>
      </x:c>
      <x:c r="K604" s="8" t="n">
        <x:v>0</x:v>
      </x:c>
      <x:c r="L604" s="8" t="n">
        <x:v>0</x:v>
      </x:c>
      <x:c r="M604" s="21" t="n">
        <x:f>E604+K604-I604-J604-L604</x:f>
        <x:v>158.85164167762895</x:v>
      </x:c>
    </x:row>
    <x:row r="605" ht="36" customHeight="1">
      <x:c r="A605" s="8" t="str">
        <x:v>Cash-first</x:v>
      </x:c>
      <x:c r="B605" s="8" t="str">
        <x:v>Severe revenue</x:v>
      </x:c>
      <x:c r="C605" s="8" t="str">
        <x:v>Atlas notes</x:v>
      </x:c>
      <x:c r="D605" s="22" t="n">
        <x:v>1</x:v>
      </x:c>
      <x:c r="E605" s="8" t="n">
        <x:v>900</x:v>
      </x:c>
      <x:c r="F605" s="23" t="n">
        <x:v>0.038</x:v>
      </x:c>
      <x:c r="G605" s="8" t="n">
        <x:v>34.199999999999996</x:v>
      </x:c>
      <x:c r="H605" s="8" t="n">
        <x:v>0</x:v>
      </x:c>
      <x:c r="I605" s="8" t="n">
        <x:v>0</x:v>
      </x:c>
      <x:c r="J605" s="8" t="n">
        <x:v>0</x:v>
      </x:c>
      <x:c r="K605" s="8" t="n">
        <x:v>0</x:v>
      </x:c>
      <x:c r="L605" s="8" t="n">
        <x:v>0</x:v>
      </x:c>
      <x:c r="M605" s="21" t="n">
        <x:f>E605+K605-I605-J605-L605</x:f>
        <x:v>900</x:v>
      </x:c>
    </x:row>
    <x:row r="606" ht="36" customHeight="1">
      <x:c r="A606" s="8" t="str">
        <x:v>Cash-first</x:v>
      </x:c>
      <x:c r="B606" s="8" t="str">
        <x:v>Severe revenue</x:v>
      </x:c>
      <x:c r="C606" s="8" t="str">
        <x:v>Atlas finance lease</x:v>
      </x:c>
      <x:c r="D606" s="22" t="n">
        <x:v>1</x:v>
      </x:c>
      <x:c r="E606" s="8" t="n">
        <x:v>80</x:v>
      </x:c>
      <x:c r="F606" s="23" t="n">
        <x:v>0.05</x:v>
      </x:c>
      <x:c r="G606" s="8" t="n">
        <x:v>4</x:v>
      </x:c>
      <x:c r="H606" s="8" t="n">
        <x:v>16</x:v>
      </x:c>
      <x:c r="I606" s="8" t="n">
        <x:v>16</x:v>
      </x:c>
      <x:c r="J606" s="8" t="n">
        <x:v>0</x:v>
      </x:c>
      <x:c r="K606" s="8" t="n">
        <x:v>0</x:v>
      </x:c>
      <x:c r="L606" s="8" t="n">
        <x:v>0</x:v>
      </x:c>
      <x:c r="M606" s="21" t="n">
        <x:f>E606+K606-I606-J606-L606</x:f>
        <x:v>64</x:v>
      </x:c>
    </x:row>
    <x:row r="607" ht="36" customHeight="1">
      <x:c r="A607" s="8" t="str">
        <x:v>Cash-first</x:v>
      </x:c>
      <x:c r="B607" s="8" t="str">
        <x:v>Severe revenue</x:v>
      </x:c>
      <x:c r="C607" s="8" t="str">
        <x:v>Beacon notes</x:v>
      </x:c>
      <x:c r="D607" s="22" t="n">
        <x:v>1</x:v>
      </x:c>
      <x:c r="E607" s="8" t="n">
        <x:v>350</x:v>
      </x:c>
      <x:c r="F607" s="23" t="n">
        <x:v>0.0475</x:v>
      </x:c>
      <x:c r="G607" s="8" t="n">
        <x:v>16.625</x:v>
      </x:c>
      <x:c r="H607" s="8" t="n">
        <x:v>0</x:v>
      </x:c>
      <x:c r="I607" s="8" t="n">
        <x:v>0</x:v>
      </x:c>
      <x:c r="J607" s="8" t="n">
        <x:v>0</x:v>
      </x:c>
      <x:c r="K607" s="8" t="n">
        <x:v>0</x:v>
      </x:c>
      <x:c r="L607" s="8" t="n">
        <x:v>0</x:v>
      </x:c>
      <x:c r="M607" s="21" t="n">
        <x:f>E607+K607-I607-J607-L607</x:f>
        <x:v>350</x:v>
      </x:c>
    </x:row>
    <x:row r="608" ht="36" customHeight="1">
      <x:c r="A608" s="8" t="str">
        <x:v>Cash-first</x:v>
      </x:c>
      <x:c r="B608" s="8" t="str">
        <x:v>Severe revenue</x:v>
      </x:c>
      <x:c r="C608" s="8" t="str">
        <x:v>Acquisition term</x:v>
      </x:c>
      <x:c r="D608" s="22" t="n">
        <x:v>1</x:v>
      </x:c>
      <x:c r="E608" s="8" t="n">
        <x:v>1340.1015228426397</x:v>
      </x:c>
      <x:c r="F608" s="23" t="n">
        <x:v>0.065</x:v>
      </x:c>
      <x:c r="G608" s="8" t="n">
        <x:v>87.10659898477158</x:v>
      </x:c>
      <x:c r="H608" s="8" t="n">
        <x:v>26.802030456852794</x:v>
      </x:c>
      <x:c r="I608" s="8" t="n">
        <x:v>26.802030456852794</x:v>
      </x:c>
      <x:c r="J608" s="8" t="n">
        <x:v>143.1402120853901</x:v>
      </x:c>
      <x:c r="K608" s="8" t="n">
        <x:v>0</x:v>
      </x:c>
      <x:c r="L608" s="8" t="n">
        <x:v>0</x:v>
      </x:c>
      <x:c r="M608" s="21" t="n">
        <x:f>E608+K608-I608-J608-L608</x:f>
        <x:v>1170.1592803003969</x:v>
      </x:c>
    </x:row>
    <x:row r="609" ht="36" customHeight="1">
      <x:c r="A609" s="8" t="str">
        <x:v>Cash-first</x:v>
      </x:c>
      <x:c r="B609" s="8" t="str">
        <x:v>Severe revenue</x:v>
      </x:c>
      <x:c r="C609" s="8" t="str">
        <x:v>Committed revolver</x:v>
      </x:c>
      <x:c r="D609" s="22" t="n">
        <x:v>1</x:v>
      </x:c>
      <x:c r="E609" s="8" t="n">
        <x:v>0</x:v>
      </x:c>
      <x:c r="F609" s="23" t="n">
        <x:v>0.0625</x:v>
      </x:c>
      <x:c r="G609" s="8" t="n">
        <x:v>0</x:v>
      </x:c>
      <x:c r="H609" s="8" t="n">
        <x:v>0</x:v>
      </x:c>
      <x:c r="I609" s="8" t="n">
        <x:v>0</x:v>
      </x:c>
      <x:c r="J609" s="8" t="n">
        <x:v>0</x:v>
      </x:c>
      <x:c r="K609" s="8" t="n">
        <x:v>0</x:v>
      </x:c>
      <x:c r="L609" s="8" t="n">
        <x:v>0</x:v>
      </x:c>
      <x:c r="M609" s="21" t="n">
        <x:f>E609+K609-I609-J609-L609</x:f>
        <x:v>0</x:v>
      </x:c>
    </x:row>
    <x:row r="610" ht="36" customHeight="1">
      <x:c r="A610" s="8" t="str">
        <x:v>Cash-first</x:v>
      </x:c>
      <x:c r="B610" s="8" t="str">
        <x:v>Severe revenue</x:v>
      </x:c>
      <x:c r="C610" s="8" t="str">
        <x:v>Atlas notes</x:v>
      </x:c>
      <x:c r="D610" s="22" t="n">
        <x:v>2</x:v>
      </x:c>
      <x:c r="E610" s="8" t="n">
        <x:v>900</x:v>
      </x:c>
      <x:c r="F610" s="23" t="n">
        <x:v>0.038</x:v>
      </x:c>
      <x:c r="G610" s="8" t="n">
        <x:v>34.199999999999996</x:v>
      </x:c>
      <x:c r="H610" s="8" t="n">
        <x:v>0</x:v>
      </x:c>
      <x:c r="I610" s="8" t="n">
        <x:v>0</x:v>
      </x:c>
      <x:c r="J610" s="8" t="n">
        <x:v>0</x:v>
      </x:c>
      <x:c r="K610" s="8" t="n">
        <x:v>0</x:v>
      </x:c>
      <x:c r="L610" s="8" t="n">
        <x:v>0</x:v>
      </x:c>
      <x:c r="M610" s="21" t="n">
        <x:f>E610+K610-I610-J610-L610</x:f>
        <x:v>900</x:v>
      </x:c>
    </x:row>
    <x:row r="611" ht="36" customHeight="1">
      <x:c r="A611" s="8" t="str">
        <x:v>Cash-first</x:v>
      </x:c>
      <x:c r="B611" s="8" t="str">
        <x:v>Severe revenue</x:v>
      </x:c>
      <x:c r="C611" s="8" t="str">
        <x:v>Atlas finance lease</x:v>
      </x:c>
      <x:c r="D611" s="22" t="n">
        <x:v>2</x:v>
      </x:c>
      <x:c r="E611" s="8" t="n">
        <x:v>64</x:v>
      </x:c>
      <x:c r="F611" s="23" t="n">
        <x:v>0.05</x:v>
      </x:c>
      <x:c r="G611" s="8" t="n">
        <x:v>3.2</x:v>
      </x:c>
      <x:c r="H611" s="8" t="n">
        <x:v>16</x:v>
      </x:c>
      <x:c r="I611" s="8" t="n">
        <x:v>16</x:v>
      </x:c>
      <x:c r="J611" s="8" t="n">
        <x:v>0</x:v>
      </x:c>
      <x:c r="K611" s="8" t="n">
        <x:v>0</x:v>
      </x:c>
      <x:c r="L611" s="8" t="n">
        <x:v>0</x:v>
      </x:c>
      <x:c r="M611" s="21" t="n">
        <x:f>E611+K611-I611-J611-L611</x:f>
        <x:v>48</x:v>
      </x:c>
    </x:row>
    <x:row r="612" ht="36" customHeight="1">
      <x:c r="A612" s="8" t="str">
        <x:v>Cash-first</x:v>
      </x:c>
      <x:c r="B612" s="8" t="str">
        <x:v>Severe revenue</x:v>
      </x:c>
      <x:c r="C612" s="8" t="str">
        <x:v>Beacon notes</x:v>
      </x:c>
      <x:c r="D612" s="22" t="n">
        <x:v>2</x:v>
      </x:c>
      <x:c r="E612" s="8" t="n">
        <x:v>350</x:v>
      </x:c>
      <x:c r="F612" s="23" t="n">
        <x:v>0.0475</x:v>
      </x:c>
      <x:c r="G612" s="8" t="n">
        <x:v>16.625</x:v>
      </x:c>
      <x:c r="H612" s="8" t="n">
        <x:v>0</x:v>
      </x:c>
      <x:c r="I612" s="8" t="n">
        <x:v>0</x:v>
      </x:c>
      <x:c r="J612" s="8" t="n">
        <x:v>0</x:v>
      </x:c>
      <x:c r="K612" s="8" t="n">
        <x:v>0</x:v>
      </x:c>
      <x:c r="L612" s="8" t="n">
        <x:v>0</x:v>
      </x:c>
      <x:c r="M612" s="21" t="n">
        <x:f>E612+K612-I612-J612-L612</x:f>
        <x:v>350</x:v>
      </x:c>
    </x:row>
    <x:row r="613" ht="36" customHeight="1">
      <x:c r="A613" s="8" t="str">
        <x:v>Cash-first</x:v>
      </x:c>
      <x:c r="B613" s="8" t="str">
        <x:v>Severe revenue</x:v>
      </x:c>
      <x:c r="C613" s="8" t="str">
        <x:v>Acquisition term</x:v>
      </x:c>
      <x:c r="D613" s="22" t="n">
        <x:v>2</x:v>
      </x:c>
      <x:c r="E613" s="8" t="n">
        <x:v>1170.1592803003969</x:v>
      </x:c>
      <x:c r="F613" s="23" t="n">
        <x:v>0.0625</x:v>
      </x:c>
      <x:c r="G613" s="8" t="n">
        <x:v>73.1349550187748</x:v>
      </x:c>
      <x:c r="H613" s="8" t="n">
        <x:v>26.802030456852794</x:v>
      </x:c>
      <x:c r="I613" s="8" t="n">
        <x:v>26.802030456852794</x:v>
      </x:c>
      <x:c r="J613" s="8" t="n">
        <x:v>96.05223915235331</x:v>
      </x:c>
      <x:c r="K613" s="8" t="n">
        <x:v>0</x:v>
      </x:c>
      <x:c r="L613" s="8" t="n">
        <x:v>0</x:v>
      </x:c>
      <x:c r="M613" s="21" t="n">
        <x:f>E613+K613-I613-J613-L613</x:f>
        <x:v>1047.3050106911905</x:v>
      </x:c>
    </x:row>
    <x:row r="614" ht="36" customHeight="1">
      <x:c r="A614" s="8" t="str">
        <x:v>Cash-first</x:v>
      </x:c>
      <x:c r="B614" s="8" t="str">
        <x:v>Severe revenue</x:v>
      </x:c>
      <x:c r="C614" s="8" t="str">
        <x:v>Committed revolver</x:v>
      </x:c>
      <x:c r="D614" s="22" t="n">
        <x:v>2</x:v>
      </x:c>
      <x:c r="E614" s="8" t="n">
        <x:v>0</x:v>
      </x:c>
      <x:c r="F614" s="23" t="n">
        <x:v>0.06</x:v>
      </x:c>
      <x:c r="G614" s="8" t="n">
        <x:v>0</x:v>
      </x:c>
      <x:c r="H614" s="8" t="n">
        <x:v>0</x:v>
      </x:c>
      <x:c r="I614" s="8" t="n">
        <x:v>0</x:v>
      </x:c>
      <x:c r="J614" s="8" t="n">
        <x:v>0</x:v>
      </x:c>
      <x:c r="K614" s="8" t="n">
        <x:v>0</x:v>
      </x:c>
      <x:c r="L614" s="8" t="n">
        <x:v>0</x:v>
      </x:c>
      <x:c r="M614" s="21" t="n">
        <x:f>E614+K614-I614-J614-L614</x:f>
        <x:v>0</x:v>
      </x:c>
    </x:row>
    <x:row r="615" ht="36" customHeight="1">
      <x:c r="A615" s="8" t="str">
        <x:v>Cash-first</x:v>
      </x:c>
      <x:c r="B615" s="8" t="str">
        <x:v>Severe revenue</x:v>
      </x:c>
      <x:c r="C615" s="8" t="str">
        <x:v>Atlas notes</x:v>
      </x:c>
      <x:c r="D615" s="22" t="n">
        <x:v>3</x:v>
      </x:c>
      <x:c r="E615" s="8" t="n">
        <x:v>900</x:v>
      </x:c>
      <x:c r="F615" s="23" t="n">
        <x:v>0.038</x:v>
      </x:c>
      <x:c r="G615" s="8" t="n">
        <x:v>34.199999999999996</x:v>
      </x:c>
      <x:c r="H615" s="8" t="n">
        <x:v>0</x:v>
      </x:c>
      <x:c r="I615" s="8" t="n">
        <x:v>0</x:v>
      </x:c>
      <x:c r="J615" s="8" t="n">
        <x:v>0</x:v>
      </x:c>
      <x:c r="K615" s="8" t="n">
        <x:v>0</x:v>
      </x:c>
      <x:c r="L615" s="8" t="n">
        <x:v>0</x:v>
      </x:c>
      <x:c r="M615" s="21" t="n">
        <x:f>E615+K615-I615-J615-L615</x:f>
        <x:v>900</x:v>
      </x:c>
    </x:row>
    <x:row r="616" ht="36" customHeight="1">
      <x:c r="A616" s="8" t="str">
        <x:v>Cash-first</x:v>
      </x:c>
      <x:c r="B616" s="8" t="str">
        <x:v>Severe revenue</x:v>
      </x:c>
      <x:c r="C616" s="8" t="str">
        <x:v>Atlas finance lease</x:v>
      </x:c>
      <x:c r="D616" s="22" t="n">
        <x:v>3</x:v>
      </x:c>
      <x:c r="E616" s="8" t="n">
        <x:v>48</x:v>
      </x:c>
      <x:c r="F616" s="23" t="n">
        <x:v>0.05</x:v>
      </x:c>
      <x:c r="G616" s="8" t="n">
        <x:v>2.4000000000000004</x:v>
      </x:c>
      <x:c r="H616" s="8" t="n">
        <x:v>16</x:v>
      </x:c>
      <x:c r="I616" s="8" t="n">
        <x:v>16</x:v>
      </x:c>
      <x:c r="J616" s="8" t="n">
        <x:v>0</x:v>
      </x:c>
      <x:c r="K616" s="8" t="n">
        <x:v>0</x:v>
      </x:c>
      <x:c r="L616" s="8" t="n">
        <x:v>0</x:v>
      </x:c>
      <x:c r="M616" s="21" t="n">
        <x:f>E616+K616-I616-J616-L616</x:f>
        <x:v>32</x:v>
      </x:c>
    </x:row>
    <x:row r="617" ht="36" customHeight="1">
      <x:c r="A617" s="8" t="str">
        <x:v>Cash-first</x:v>
      </x:c>
      <x:c r="B617" s="8" t="str">
        <x:v>Severe revenue</x:v>
      </x:c>
      <x:c r="C617" s="8" t="str">
        <x:v>Beacon notes</x:v>
      </x:c>
      <x:c r="D617" s="22" t="n">
        <x:v>3</x:v>
      </x:c>
      <x:c r="E617" s="8" t="n">
        <x:v>350</x:v>
      </x:c>
      <x:c r="F617" s="23" t="n">
        <x:v>0.0475</x:v>
      </x:c>
      <x:c r="G617" s="8" t="n">
        <x:v>16.625</x:v>
      </x:c>
      <x:c r="H617" s="8" t="n">
        <x:v>350</x:v>
      </x:c>
      <x:c r="I617" s="8" t="n">
        <x:v>350</x:v>
      </x:c>
      <x:c r="J617" s="8" t="n">
        <x:v>0</x:v>
      </x:c>
      <x:c r="K617" s="8" t="n">
        <x:v>0</x:v>
      </x:c>
      <x:c r="L617" s="8" t="n">
        <x:v>0</x:v>
      </x:c>
      <x:c r="M617" s="21" t="n">
        <x:f>E617+K617-I617-J617-L617</x:f>
        <x:v>0</x:v>
      </x:c>
    </x:row>
    <x:row r="618" ht="36" customHeight="1">
      <x:c r="A618" s="8" t="str">
        <x:v>Cash-first</x:v>
      </x:c>
      <x:c r="B618" s="8" t="str">
        <x:v>Severe revenue</x:v>
      </x:c>
      <x:c r="C618" s="8" t="str">
        <x:v>Acquisition term</x:v>
      </x:c>
      <x:c r="D618" s="22" t="n">
        <x:v>3</x:v>
      </x:c>
      <x:c r="E618" s="8" t="n">
        <x:v>1047.3050106911905</x:v>
      </x:c>
      <x:c r="F618" s="23" t="n">
        <x:v>0.060000000000000005</x:v>
      </x:c>
      <x:c r="G618" s="8" t="n">
        <x:v>62.838300641471434</x:v>
      </x:c>
      <x:c r="H618" s="8" t="n">
        <x:v>26.802030456852794</x:v>
      </x:c>
      <x:c r="I618" s="8" t="n">
        <x:v>26.802030456852794</x:v>
      </x:c>
      <x:c r="J618" s="8" t="n">
        <x:v>0</x:v>
      </x:c>
      <x:c r="K618" s="8" t="n">
        <x:v>0</x:v>
      </x:c>
      <x:c r="L618" s="8" t="n">
        <x:v>0</x:v>
      </x:c>
      <x:c r="M618" s="21" t="n">
        <x:f>E618+K618-I618-J618-L618</x:f>
        <x:v>1020.5029802343378</x:v>
      </x:c>
    </x:row>
    <x:row r="619" ht="36" customHeight="1">
      <x:c r="A619" s="8" t="str">
        <x:v>Cash-first</x:v>
      </x:c>
      <x:c r="B619" s="8" t="str">
        <x:v>Severe revenue</x:v>
      </x:c>
      <x:c r="C619" s="8" t="str">
        <x:v>Committed revolver</x:v>
      </x:c>
      <x:c r="D619" s="22" t="n">
        <x:v>3</x:v>
      </x:c>
      <x:c r="E619" s="8" t="n">
        <x:v>0</x:v>
      </x:c>
      <x:c r="F619" s="23" t="n">
        <x:v>0.0575</x:v>
      </x:c>
      <x:c r="G619" s="8" t="n">
        <x:v>0</x:v>
      </x:c>
      <x:c r="H619" s="8" t="n">
        <x:v>0</x:v>
      </x:c>
      <x:c r="I619" s="8" t="n">
        <x:v>0</x:v>
      </x:c>
      <x:c r="J619" s="8" t="n">
        <x:v>0</x:v>
      </x:c>
      <x:c r="K619" s="8" t="n">
        <x:v>155.84318416783663</x:v>
      </x:c>
      <x:c r="L619" s="8" t="n">
        <x:v>0</x:v>
      </x:c>
      <x:c r="M619" s="21" t="n">
        <x:f>E619+K619-I619-J619-L619</x:f>
        <x:v>155.84318416783663</x:v>
      </x:c>
    </x:row>
    <x:row r="620" ht="36" customHeight="1">
      <x:c r="A620" s="8" t="str">
        <x:v>Cash-first</x:v>
      </x:c>
      <x:c r="B620" s="8" t="str">
        <x:v>Severe revenue</x:v>
      </x:c>
      <x:c r="C620" s="8" t="str">
        <x:v>Atlas notes</x:v>
      </x:c>
      <x:c r="D620" s="22" t="n">
        <x:v>4</x:v>
      </x:c>
      <x:c r="E620" s="8" t="n">
        <x:v>900</x:v>
      </x:c>
      <x:c r="F620" s="23" t="n">
        <x:v>0.038</x:v>
      </x:c>
      <x:c r="G620" s="8" t="n">
        <x:v>34.199999999999996</x:v>
      </x:c>
      <x:c r="H620" s="8" t="n">
        <x:v>900</x:v>
      </x:c>
      <x:c r="I620" s="8" t="n">
        <x:v>900</x:v>
      </x:c>
      <x:c r="J620" s="8" t="n">
        <x:v>0</x:v>
      </x:c>
      <x:c r="K620" s="8" t="n">
        <x:v>0</x:v>
      </x:c>
      <x:c r="L620" s="8" t="n">
        <x:v>0</x:v>
      </x:c>
      <x:c r="M620" s="21" t="n">
        <x:f>E620+K620-I620-J620-L620</x:f>
        <x:v>0</x:v>
      </x:c>
    </x:row>
    <x:row r="621" ht="36" customHeight="1">
      <x:c r="A621" s="8" t="str">
        <x:v>Cash-first</x:v>
      </x:c>
      <x:c r="B621" s="8" t="str">
        <x:v>Severe revenue</x:v>
      </x:c>
      <x:c r="C621" s="8" t="str">
        <x:v>Atlas finance lease</x:v>
      </x:c>
      <x:c r="D621" s="22" t="n">
        <x:v>4</x:v>
      </x:c>
      <x:c r="E621" s="8" t="n">
        <x:v>32</x:v>
      </x:c>
      <x:c r="F621" s="23" t="n">
        <x:v>0.05</x:v>
      </x:c>
      <x:c r="G621" s="8" t="n">
        <x:v>1.6</x:v>
      </x:c>
      <x:c r="H621" s="8" t="n">
        <x:v>16</x:v>
      </x:c>
      <x:c r="I621" s="8" t="n">
        <x:v>16</x:v>
      </x:c>
      <x:c r="J621" s="8" t="n">
        <x:v>0</x:v>
      </x:c>
      <x:c r="K621" s="8" t="n">
        <x:v>0</x:v>
      </x:c>
      <x:c r="L621" s="8" t="n">
        <x:v>0</x:v>
      </x:c>
      <x:c r="M621" s="21" t="n">
        <x:f>E621+K621-I621-J621-L621</x:f>
        <x:v>16</x:v>
      </x:c>
    </x:row>
    <x:row r="622" ht="36" customHeight="1">
      <x:c r="A622" s="8" t="str">
        <x:v>Cash-first</x:v>
      </x:c>
      <x:c r="B622" s="8" t="str">
        <x:v>Severe revenue</x:v>
      </x:c>
      <x:c r="C622" s="8" t="str">
        <x:v>Beacon notes</x:v>
      </x:c>
      <x:c r="D622" s="22" t="n">
        <x:v>4</x:v>
      </x:c>
      <x:c r="E622" s="8" t="n">
        <x:v>0</x:v>
      </x:c>
      <x:c r="F622" s="23" t="n">
        <x:v>0.0475</x:v>
      </x:c>
      <x:c r="G622" s="8" t="n">
        <x:v>0</x:v>
      </x:c>
      <x:c r="H622" s="8" t="n">
        <x:v>0</x:v>
      </x:c>
      <x:c r="I622" s="8" t="n">
        <x:v>0</x:v>
      </x:c>
      <x:c r="J622" s="8" t="n">
        <x:v>0</x:v>
      </x:c>
      <x:c r="K622" s="8" t="n">
        <x:v>0</x:v>
      </x:c>
      <x:c r="L622" s="8" t="n">
        <x:v>0</x:v>
      </x:c>
      <x:c r="M622" s="21" t="n">
        <x:f>E622+K622-I622-J622-L622</x:f>
        <x:v>0</x:v>
      </x:c>
    </x:row>
    <x:row r="623" ht="36" customHeight="1">
      <x:c r="A623" s="8" t="str">
        <x:v>Cash-first</x:v>
      </x:c>
      <x:c r="B623" s="8" t="str">
        <x:v>Severe revenue</x:v>
      </x:c>
      <x:c r="C623" s="8" t="str">
        <x:v>Acquisition term</x:v>
      </x:c>
      <x:c r="D623" s="22" t="n">
        <x:v>4</x:v>
      </x:c>
      <x:c r="E623" s="8" t="n">
        <x:v>1020.5029802343378</x:v>
      </x:c>
      <x:c r="F623" s="23" t="n">
        <x:v>0.060000000000000005</x:v>
      </x:c>
      <x:c r="G623" s="8" t="n">
        <x:v>61.230178814060274</x:v>
      </x:c>
      <x:c r="H623" s="8" t="n">
        <x:v>26.802030456852794</x:v>
      </x:c>
      <x:c r="I623" s="8" t="n">
        <x:v>26.802030456852794</x:v>
      </x:c>
      <x:c r="J623" s="8" t="n">
        <x:v>0</x:v>
      </x:c>
      <x:c r="K623" s="8" t="n">
        <x:v>0</x:v>
      </x:c>
      <x:c r="L623" s="8" t="n">
        <x:v>0</x:v>
      </x:c>
      <x:c r="M623" s="21" t="n">
        <x:f>E623+K623-I623-J623-L623</x:f>
        <x:v>993.700949777485</x:v>
      </x:c>
    </x:row>
    <x:row r="624" ht="36" customHeight="1">
      <x:c r="A624" s="8" t="str">
        <x:v>Cash-first</x:v>
      </x:c>
      <x:c r="B624" s="8" t="str">
        <x:v>Severe revenue</x:v>
      </x:c>
      <x:c r="C624" s="8" t="str">
        <x:v>Committed revolver</x:v>
      </x:c>
      <x:c r="D624" s="22" t="n">
        <x:v>4</x:v>
      </x:c>
      <x:c r="E624" s="8" t="n">
        <x:v>155.84318416783663</x:v>
      </x:c>
      <x:c r="F624" s="23" t="n">
        <x:v>0.0575</x:v>
      </x:c>
      <x:c r="G624" s="8" t="n">
        <x:v>8.960983089650606</x:v>
      </x:c>
      <x:c r="H624" s="8" t="n">
        <x:v>0</x:v>
      </x:c>
      <x:c r="I624" s="8" t="n">
        <x:v>0</x:v>
      </x:c>
      <x:c r="J624" s="8" t="n">
        <x:v>0</x:v>
      </x:c>
      <x:c r="K624" s="8" t="n">
        <x:v>474.1568158321634</x:v>
      </x:c>
      <x:c r="L624" s="8" t="n">
        <x:v>0</x:v>
      </x:c>
      <x:c r="M624" s="21" t="n">
        <x:f>E624+K624-I624-J624-L624</x:f>
        <x:v>630</x:v>
      </x:c>
    </x:row>
    <x:row r="625" ht="36" customHeight="1">
      <x:c r="A625" s="8" t="str">
        <x:v>Cash-first</x:v>
      </x:c>
      <x:c r="B625" s="8" t="str">
        <x:v>Severe revenue</x:v>
      </x:c>
      <x:c r="C625" s="8" t="str">
        <x:v>Atlas notes</x:v>
      </x:c>
      <x:c r="D625" s="22" t="n">
        <x:v>5</x:v>
      </x:c>
      <x:c r="E625" s="8" t="n">
        <x:v>0</x:v>
      </x:c>
      <x:c r="F625" s="23" t="n">
        <x:v>0.038</x:v>
      </x:c>
      <x:c r="G625" s="8" t="n">
        <x:v>0</x:v>
      </x:c>
      <x:c r="H625" s="8" t="n">
        <x:v>0</x:v>
      </x:c>
      <x:c r="I625" s="8" t="n">
        <x:v>0</x:v>
      </x:c>
      <x:c r="J625" s="8" t="n">
        <x:v>0</x:v>
      </x:c>
      <x:c r="K625" s="8" t="n">
        <x:v>0</x:v>
      </x:c>
      <x:c r="L625" s="8" t="n">
        <x:v>0</x:v>
      </x:c>
      <x:c r="M625" s="21" t="n">
        <x:f>E625+K625-I625-J625-L625</x:f>
        <x:v>0</x:v>
      </x:c>
    </x:row>
    <x:row r="626" ht="36" customHeight="1">
      <x:c r="A626" s="8" t="str">
        <x:v>Cash-first</x:v>
      </x:c>
      <x:c r="B626" s="8" t="str">
        <x:v>Severe revenue</x:v>
      </x:c>
      <x:c r="C626" s="8" t="str">
        <x:v>Atlas finance lease</x:v>
      </x:c>
      <x:c r="D626" s="22" t="n">
        <x:v>5</x:v>
      </x:c>
      <x:c r="E626" s="8" t="n">
        <x:v>16</x:v>
      </x:c>
      <x:c r="F626" s="23" t="n">
        <x:v>0.05</x:v>
      </x:c>
      <x:c r="G626" s="8" t="n">
        <x:v>0.8</x:v>
      </x:c>
      <x:c r="H626" s="8" t="n">
        <x:v>16</x:v>
      </x:c>
      <x:c r="I626" s="8" t="n">
        <x:v>16</x:v>
      </x:c>
      <x:c r="J626" s="8" t="n">
        <x:v>0</x:v>
      </x:c>
      <x:c r="K626" s="8" t="n">
        <x:v>0</x:v>
      </x:c>
      <x:c r="L626" s="8" t="n">
        <x:v>0</x:v>
      </x:c>
      <x:c r="M626" s="21" t="n">
        <x:f>E626+K626-I626-J626-L626</x:f>
        <x:v>0</x:v>
      </x:c>
    </x:row>
    <x:row r="627" ht="36" customHeight="1">
      <x:c r="A627" s="8" t="str">
        <x:v>Cash-first</x:v>
      </x:c>
      <x:c r="B627" s="8" t="str">
        <x:v>Severe revenue</x:v>
      </x:c>
      <x:c r="C627" s="8" t="str">
        <x:v>Beacon notes</x:v>
      </x:c>
      <x:c r="D627" s="22" t="n">
        <x:v>5</x:v>
      </x:c>
      <x:c r="E627" s="8" t="n">
        <x:v>0</x:v>
      </x:c>
      <x:c r="F627" s="23" t="n">
        <x:v>0.0475</x:v>
      </x:c>
      <x:c r="G627" s="8" t="n">
        <x:v>0</x:v>
      </x:c>
      <x:c r="H627" s="8" t="n">
        <x:v>0</x:v>
      </x:c>
      <x:c r="I627" s="8" t="n">
        <x:v>0</x:v>
      </x:c>
      <x:c r="J627" s="8" t="n">
        <x:v>0</x:v>
      </x:c>
      <x:c r="K627" s="8" t="n">
        <x:v>0</x:v>
      </x:c>
      <x:c r="L627" s="8" t="n">
        <x:v>0</x:v>
      </x:c>
      <x:c r="M627" s="21" t="n">
        <x:f>E627+K627-I627-J627-L627</x:f>
        <x:v>0</x:v>
      </x:c>
    </x:row>
    <x:row r="628" ht="36" customHeight="1">
      <x:c r="A628" s="8" t="str">
        <x:v>Cash-first</x:v>
      </x:c>
      <x:c r="B628" s="8" t="str">
        <x:v>Severe revenue</x:v>
      </x:c>
      <x:c r="C628" s="8" t="str">
        <x:v>Acquisition term</x:v>
      </x:c>
      <x:c r="D628" s="22" t="n">
        <x:v>5</x:v>
      </x:c>
      <x:c r="E628" s="8" t="n">
        <x:v>993.700949777485</x:v>
      </x:c>
      <x:c r="F628" s="23" t="n">
        <x:v>0.060000000000000005</x:v>
      </x:c>
      <x:c r="G628" s="8" t="n">
        <x:v>59.622056986649106</x:v>
      </x:c>
      <x:c r="H628" s="8" t="n">
        <x:v>993.700949777485</x:v>
      </x:c>
      <x:c r="I628" s="8" t="n">
        <x:v>863.4578595636441</x:v>
      </x:c>
      <x:c r="J628" s="8" t="n">
        <x:v>0</x:v>
      </x:c>
      <x:c r="K628" s="8" t="n">
        <x:v>0</x:v>
      </x:c>
      <x:c r="L628" s="8" t="n">
        <x:v>0</x:v>
      </x:c>
      <x:c r="M628" s="21" t="n">
        <x:f>E628+K628-I628-J628-L628</x:f>
        <x:v>130.2430902138409</x:v>
      </x:c>
    </x:row>
    <x:row r="629" ht="36" customHeight="1">
      <x:c r="A629" s="8" t="str">
        <x:v>Cash-first</x:v>
      </x:c>
      <x:c r="B629" s="8" t="str">
        <x:v>Severe revenue</x:v>
      </x:c>
      <x:c r="C629" s="8" t="str">
        <x:v>Committed revolver</x:v>
      </x:c>
      <x:c r="D629" s="22" t="n">
        <x:v>5</x:v>
      </x:c>
      <x:c r="E629" s="8" t="n">
        <x:v>630</x:v>
      </x:c>
      <x:c r="F629" s="23" t="n">
        <x:v>0.0575</x:v>
      </x:c>
      <x:c r="G629" s="8" t="n">
        <x:v>36.225</x:v>
      </x:c>
      <x:c r="H629" s="8" t="n">
        <x:v>630</x:v>
      </x:c>
      <x:c r="I629" s="8" t="n">
        <x:v>0</x:v>
      </x:c>
      <x:c r="J629" s="8" t="n">
        <x:v>0</x:v>
      </x:c>
      <x:c r="K629" s="8" t="n">
        <x:v>0</x:v>
      </x:c>
      <x:c r="L629" s="8" t="n">
        <x:v>0</x:v>
      </x:c>
      <x:c r="M629" s="21" t="n">
        <x:f>E629+K629-I629-J629-L629</x:f>
        <x:v>630</x:v>
      </x:c>
    </x:row>
    <x:row r="630" ht="36" customHeight="1">
      <x:c r="A630" s="8" t="str">
        <x:v>Liquidity-first</x:v>
      </x:c>
      <x:c r="B630" s="8" t="str">
        <x:v>Severe revenue</x:v>
      </x:c>
      <x:c r="C630" s="8" t="str">
        <x:v>Atlas notes</x:v>
      </x:c>
      <x:c r="D630" s="22" t="n">
        <x:v>1</x:v>
      </x:c>
      <x:c r="E630" s="8" t="n">
        <x:v>900</x:v>
      </x:c>
      <x:c r="F630" s="23" t="n">
        <x:v>0.038</x:v>
      </x:c>
      <x:c r="G630" s="8" t="n">
        <x:v>34.199999999999996</x:v>
      </x:c>
      <x:c r="H630" s="8" t="n">
        <x:v>0</x:v>
      </x:c>
      <x:c r="I630" s="8" t="n">
        <x:v>0</x:v>
      </x:c>
      <x:c r="J630" s="8" t="n">
        <x:v>0</x:v>
      </x:c>
      <x:c r="K630" s="8" t="n">
        <x:v>0</x:v>
      </x:c>
      <x:c r="L630" s="8" t="n">
        <x:v>0</x:v>
      </x:c>
      <x:c r="M630" s="21" t="n">
        <x:f>E630+K630-I630-J630-L630</x:f>
        <x:v>900</x:v>
      </x:c>
    </x:row>
    <x:row r="631" ht="36" customHeight="1">
      <x:c r="A631" s="8" t="str">
        <x:v>Liquidity-first</x:v>
      </x:c>
      <x:c r="B631" s="8" t="str">
        <x:v>Severe revenue</x:v>
      </x:c>
      <x:c r="C631" s="8" t="str">
        <x:v>Atlas finance lease</x:v>
      </x:c>
      <x:c r="D631" s="22" t="n">
        <x:v>1</x:v>
      </x:c>
      <x:c r="E631" s="8" t="n">
        <x:v>80</x:v>
      </x:c>
      <x:c r="F631" s="23" t="n">
        <x:v>0.05</x:v>
      </x:c>
      <x:c r="G631" s="8" t="n">
        <x:v>4</x:v>
      </x:c>
      <x:c r="H631" s="8" t="n">
        <x:v>16</x:v>
      </x:c>
      <x:c r="I631" s="8" t="n">
        <x:v>16</x:v>
      </x:c>
      <x:c r="J631" s="8" t="n">
        <x:v>0</x:v>
      </x:c>
      <x:c r="K631" s="8" t="n">
        <x:v>0</x:v>
      </x:c>
      <x:c r="L631" s="8" t="n">
        <x:v>0</x:v>
      </x:c>
      <x:c r="M631" s="21" t="n">
        <x:f>E631+K631-I631-J631-L631</x:f>
        <x:v>64</x:v>
      </x:c>
    </x:row>
    <x:row r="632" ht="36" customHeight="1">
      <x:c r="A632" s="8" t="str">
        <x:v>Liquidity-first</x:v>
      </x:c>
      <x:c r="B632" s="8" t="str">
        <x:v>Severe revenue</x:v>
      </x:c>
      <x:c r="C632" s="8" t="str">
        <x:v>Beacon notes</x:v>
      </x:c>
      <x:c r="D632" s="22" t="n">
        <x:v>1</x:v>
      </x:c>
      <x:c r="E632" s="8" t="n">
        <x:v>350</x:v>
      </x:c>
      <x:c r="F632" s="23" t="n">
        <x:v>0.0475</x:v>
      </x:c>
      <x:c r="G632" s="8" t="n">
        <x:v>16.625</x:v>
      </x:c>
      <x:c r="H632" s="8" t="n">
        <x:v>0</x:v>
      </x:c>
      <x:c r="I632" s="8" t="n">
        <x:v>0</x:v>
      </x:c>
      <x:c r="J632" s="8" t="n">
        <x:v>0</x:v>
      </x:c>
      <x:c r="K632" s="8" t="n">
        <x:v>0</x:v>
      </x:c>
      <x:c r="L632" s="8" t="n">
        <x:v>0</x:v>
      </x:c>
      <x:c r="M632" s="21" t="n">
        <x:f>E632+K632-I632-J632-L632</x:f>
        <x:v>350</x:v>
      </x:c>
    </x:row>
    <x:row r="633" ht="36" customHeight="1">
      <x:c r="A633" s="8" t="str">
        <x:v>Liquidity-first</x:v>
      </x:c>
      <x:c r="B633" s="8" t="str">
        <x:v>Severe revenue</x:v>
      </x:c>
      <x:c r="C633" s="8" t="str">
        <x:v>Acquisition term</x:v>
      </x:c>
      <x:c r="D633" s="22" t="n">
        <x:v>1</x:v>
      </x:c>
      <x:c r="E633" s="8" t="n">
        <x:v>2223.3502538071066</x:v>
      </x:c>
      <x:c r="F633" s="23" t="n">
        <x:v>0.065</x:v>
      </x:c>
      <x:c r="G633" s="8" t="n">
        <x:v>144.51776649746193</x:v>
      </x:c>
      <x:c r="H633" s="8" t="n">
        <x:v>44.46700507614213</x:v>
      </x:c>
      <x:c r="I633" s="8" t="n">
        <x:v>44.46700507614213</x:v>
      </x:c>
      <x:c r="J633" s="8" t="n">
        <x:v>952.4168618315832</x:v>
      </x:c>
      <x:c r="K633" s="8" t="n">
        <x:v>0</x:v>
      </x:c>
      <x:c r="L633" s="8" t="n">
        <x:v>0</x:v>
      </x:c>
      <x:c r="M633" s="21" t="n">
        <x:f>E633+K633-I633-J633-L633</x:f>
        <x:v>1226.4663868993814</x:v>
      </x:c>
    </x:row>
    <x:row r="634" ht="36" customHeight="1">
      <x:c r="A634" s="8" t="str">
        <x:v>Liquidity-first</x:v>
      </x:c>
      <x:c r="B634" s="8" t="str">
        <x:v>Severe revenue</x:v>
      </x:c>
      <x:c r="C634" s="8" t="str">
        <x:v>Committed revolver</x:v>
      </x:c>
      <x:c r="D634" s="22" t="n">
        <x:v>1</x:v>
      </x:c>
      <x:c r="E634" s="8" t="n">
        <x:v>0</x:v>
      </x:c>
      <x:c r="F634" s="23" t="n">
        <x:v>0.0625</x:v>
      </x:c>
      <x:c r="G634" s="8" t="n">
        <x:v>0</x:v>
      </x:c>
      <x:c r="H634" s="8" t="n">
        <x:v>0</x:v>
      </x:c>
      <x:c r="I634" s="8" t="n">
        <x:v>0</x:v>
      </x:c>
      <x:c r="J634" s="8" t="n">
        <x:v>0</x:v>
      </x:c>
      <x:c r="K634" s="8" t="n">
        <x:v>0</x:v>
      </x:c>
      <x:c r="L634" s="8" t="n">
        <x:v>0</x:v>
      </x:c>
      <x:c r="M634" s="21" t="n">
        <x:f>E634+K634-I634-J634-L634</x:f>
        <x:v>0</x:v>
      </x:c>
    </x:row>
    <x:row r="635" ht="36" customHeight="1">
      <x:c r="A635" s="8" t="str">
        <x:v>Liquidity-first</x:v>
      </x:c>
      <x:c r="B635" s="8" t="str">
        <x:v>Severe revenue</x:v>
      </x:c>
      <x:c r="C635" s="8" t="str">
        <x:v>Atlas notes</x:v>
      </x:c>
      <x:c r="D635" s="22" t="n">
        <x:v>2</x:v>
      </x:c>
      <x:c r="E635" s="8" t="n">
        <x:v>900</x:v>
      </x:c>
      <x:c r="F635" s="23" t="n">
        <x:v>0.038</x:v>
      </x:c>
      <x:c r="G635" s="8" t="n">
        <x:v>34.199999999999996</x:v>
      </x:c>
      <x:c r="H635" s="8" t="n">
        <x:v>0</x:v>
      </x:c>
      <x:c r="I635" s="8" t="n">
        <x:v>0</x:v>
      </x:c>
      <x:c r="J635" s="8" t="n">
        <x:v>0</x:v>
      </x:c>
      <x:c r="K635" s="8" t="n">
        <x:v>0</x:v>
      </x:c>
      <x:c r="L635" s="8" t="n">
        <x:v>0</x:v>
      </x:c>
      <x:c r="M635" s="21" t="n">
        <x:f>E635+K635-I635-J635-L635</x:f>
        <x:v>900</x:v>
      </x:c>
    </x:row>
    <x:row r="636" ht="36" customHeight="1">
      <x:c r="A636" s="8" t="str">
        <x:v>Liquidity-first</x:v>
      </x:c>
      <x:c r="B636" s="8" t="str">
        <x:v>Severe revenue</x:v>
      </x:c>
      <x:c r="C636" s="8" t="str">
        <x:v>Atlas finance lease</x:v>
      </x:c>
      <x:c r="D636" s="22" t="n">
        <x:v>2</x:v>
      </x:c>
      <x:c r="E636" s="8" t="n">
        <x:v>64</x:v>
      </x:c>
      <x:c r="F636" s="23" t="n">
        <x:v>0.05</x:v>
      </x:c>
      <x:c r="G636" s="8" t="n">
        <x:v>3.2</x:v>
      </x:c>
      <x:c r="H636" s="8" t="n">
        <x:v>16</x:v>
      </x:c>
      <x:c r="I636" s="8" t="n">
        <x:v>16</x:v>
      </x:c>
      <x:c r="J636" s="8" t="n">
        <x:v>0</x:v>
      </x:c>
      <x:c r="K636" s="8" t="n">
        <x:v>0</x:v>
      </x:c>
      <x:c r="L636" s="8" t="n">
        <x:v>0</x:v>
      </x:c>
      <x:c r="M636" s="21" t="n">
        <x:f>E636+K636-I636-J636-L636</x:f>
        <x:v>48</x:v>
      </x:c>
    </x:row>
    <x:row r="637" ht="36" customHeight="1">
      <x:c r="A637" s="8" t="str">
        <x:v>Liquidity-first</x:v>
      </x:c>
      <x:c r="B637" s="8" t="str">
        <x:v>Severe revenue</x:v>
      </x:c>
      <x:c r="C637" s="8" t="str">
        <x:v>Beacon notes</x:v>
      </x:c>
      <x:c r="D637" s="22" t="n">
        <x:v>2</x:v>
      </x:c>
      <x:c r="E637" s="8" t="n">
        <x:v>350</x:v>
      </x:c>
      <x:c r="F637" s="23" t="n">
        <x:v>0.0475</x:v>
      </x:c>
      <x:c r="G637" s="8" t="n">
        <x:v>16.625</x:v>
      </x:c>
      <x:c r="H637" s="8" t="n">
        <x:v>0</x:v>
      </x:c>
      <x:c r="I637" s="8" t="n">
        <x:v>0</x:v>
      </x:c>
      <x:c r="J637" s="8" t="n">
        <x:v>0</x:v>
      </x:c>
      <x:c r="K637" s="8" t="n">
        <x:v>0</x:v>
      </x:c>
      <x:c r="L637" s="8" t="n">
        <x:v>0</x:v>
      </x:c>
      <x:c r="M637" s="21" t="n">
        <x:f>E637+K637-I637-J637-L637</x:f>
        <x:v>350</x:v>
      </x:c>
    </x:row>
    <x:row r="638" ht="36" customHeight="1">
      <x:c r="A638" s="8" t="str">
        <x:v>Liquidity-first</x:v>
      </x:c>
      <x:c r="B638" s="8" t="str">
        <x:v>Severe revenue</x:v>
      </x:c>
      <x:c r="C638" s="8" t="str">
        <x:v>Acquisition term</x:v>
      </x:c>
      <x:c r="D638" s="22" t="n">
        <x:v>2</x:v>
      </x:c>
      <x:c r="E638" s="8" t="n">
        <x:v>1226.4663868993814</x:v>
      </x:c>
      <x:c r="F638" s="23" t="n">
        <x:v>0.0625</x:v>
      </x:c>
      <x:c r="G638" s="8" t="n">
        <x:v>76.65414918121134</x:v>
      </x:c>
      <x:c r="H638" s="8" t="n">
        <x:v>44.46700507614213</x:v>
      </x:c>
      <x:c r="I638" s="8" t="n">
        <x:v>44.46700507614213</x:v>
      </x:c>
      <x:c r="J638" s="8" t="n">
        <x:v>75.74786891123676</x:v>
      </x:c>
      <x:c r="K638" s="8" t="n">
        <x:v>0</x:v>
      </x:c>
      <x:c r="L638" s="8" t="n">
        <x:v>0</x:v>
      </x:c>
      <x:c r="M638" s="21" t="n">
        <x:f>E638+K638-I638-J638-L638</x:f>
        <x:v>1106.2515129120025</x:v>
      </x:c>
    </x:row>
    <x:row r="639" ht="36" customHeight="1">
      <x:c r="A639" s="8" t="str">
        <x:v>Liquidity-first</x:v>
      </x:c>
      <x:c r="B639" s="8" t="str">
        <x:v>Severe revenue</x:v>
      </x:c>
      <x:c r="C639" s="8" t="str">
        <x:v>Committed revolver</x:v>
      </x:c>
      <x:c r="D639" s="22" t="n">
        <x:v>2</x:v>
      </x:c>
      <x:c r="E639" s="8" t="n">
        <x:v>0</x:v>
      </x:c>
      <x:c r="F639" s="23" t="n">
        <x:v>0.06</x:v>
      </x:c>
      <x:c r="G639" s="8" t="n">
        <x:v>0</x:v>
      </x:c>
      <x:c r="H639" s="8" t="n">
        <x:v>0</x:v>
      </x:c>
      <x:c r="I639" s="8" t="n">
        <x:v>0</x:v>
      </x:c>
      <x:c r="J639" s="8" t="n">
        <x:v>0</x:v>
      </x:c>
      <x:c r="K639" s="8" t="n">
        <x:v>0</x:v>
      </x:c>
      <x:c r="L639" s="8" t="n">
        <x:v>0</x:v>
      </x:c>
      <x:c r="M639" s="21" t="n">
        <x:f>E639+K639-I639-J639-L639</x:f>
        <x:v>0</x:v>
      </x:c>
    </x:row>
    <x:row r="640" ht="36" customHeight="1">
      <x:c r="A640" s="8" t="str">
        <x:v>Liquidity-first</x:v>
      </x:c>
      <x:c r="B640" s="8" t="str">
        <x:v>Severe revenue</x:v>
      </x:c>
      <x:c r="C640" s="8" t="str">
        <x:v>Atlas notes</x:v>
      </x:c>
      <x:c r="D640" s="22" t="n">
        <x:v>3</x:v>
      </x:c>
      <x:c r="E640" s="8" t="n">
        <x:v>900</x:v>
      </x:c>
      <x:c r="F640" s="23" t="n">
        <x:v>0.038</x:v>
      </x:c>
      <x:c r="G640" s="8" t="n">
        <x:v>34.199999999999996</x:v>
      </x:c>
      <x:c r="H640" s="8" t="n">
        <x:v>0</x:v>
      </x:c>
      <x:c r="I640" s="8" t="n">
        <x:v>0</x:v>
      </x:c>
      <x:c r="J640" s="8" t="n">
        <x:v>0</x:v>
      </x:c>
      <x:c r="K640" s="8" t="n">
        <x:v>0</x:v>
      </x:c>
      <x:c r="L640" s="8" t="n">
        <x:v>0</x:v>
      </x:c>
      <x:c r="M640" s="21" t="n">
        <x:f>E640+K640-I640-J640-L640</x:f>
        <x:v>900</x:v>
      </x:c>
    </x:row>
    <x:row r="641" ht="36" customHeight="1">
      <x:c r="A641" s="8" t="str">
        <x:v>Liquidity-first</x:v>
      </x:c>
      <x:c r="B641" s="8" t="str">
        <x:v>Severe revenue</x:v>
      </x:c>
      <x:c r="C641" s="8" t="str">
        <x:v>Atlas finance lease</x:v>
      </x:c>
      <x:c r="D641" s="22" t="n">
        <x:v>3</x:v>
      </x:c>
      <x:c r="E641" s="8" t="n">
        <x:v>48</x:v>
      </x:c>
      <x:c r="F641" s="23" t="n">
        <x:v>0.05</x:v>
      </x:c>
      <x:c r="G641" s="8" t="n">
        <x:v>2.4000000000000004</x:v>
      </x:c>
      <x:c r="H641" s="8" t="n">
        <x:v>16</x:v>
      </x:c>
      <x:c r="I641" s="8" t="n">
        <x:v>16</x:v>
      </x:c>
      <x:c r="J641" s="8" t="n">
        <x:v>0</x:v>
      </x:c>
      <x:c r="K641" s="8" t="n">
        <x:v>0</x:v>
      </x:c>
      <x:c r="L641" s="8" t="n">
        <x:v>0</x:v>
      </x:c>
      <x:c r="M641" s="21" t="n">
        <x:f>E641+K641-I641-J641-L641</x:f>
        <x:v>32</x:v>
      </x:c>
    </x:row>
    <x:row r="642" ht="36" customHeight="1">
      <x:c r="A642" s="8" t="str">
        <x:v>Liquidity-first</x:v>
      </x:c>
      <x:c r="B642" s="8" t="str">
        <x:v>Severe revenue</x:v>
      </x:c>
      <x:c r="C642" s="8" t="str">
        <x:v>Beacon notes</x:v>
      </x:c>
      <x:c r="D642" s="22" t="n">
        <x:v>3</x:v>
      </x:c>
      <x:c r="E642" s="8" t="n">
        <x:v>350</x:v>
      </x:c>
      <x:c r="F642" s="23" t="n">
        <x:v>0.0475</x:v>
      </x:c>
      <x:c r="G642" s="8" t="n">
        <x:v>16.625</x:v>
      </x:c>
      <x:c r="H642" s="8" t="n">
        <x:v>350</x:v>
      </x:c>
      <x:c r="I642" s="8" t="n">
        <x:v>350</x:v>
      </x:c>
      <x:c r="J642" s="8" t="n">
        <x:v>0</x:v>
      </x:c>
      <x:c r="K642" s="8" t="n">
        <x:v>0</x:v>
      </x:c>
      <x:c r="L642" s="8" t="n">
        <x:v>0</x:v>
      </x:c>
      <x:c r="M642" s="21" t="n">
        <x:f>E642+K642-I642-J642-L642</x:f>
        <x:v>0</x:v>
      </x:c>
    </x:row>
    <x:row r="643" ht="36" customHeight="1">
      <x:c r="A643" s="8" t="str">
        <x:v>Liquidity-first</x:v>
      </x:c>
      <x:c r="B643" s="8" t="str">
        <x:v>Severe revenue</x:v>
      </x:c>
      <x:c r="C643" s="8" t="str">
        <x:v>Acquisition term</x:v>
      </x:c>
      <x:c r="D643" s="22" t="n">
        <x:v>3</x:v>
      </x:c>
      <x:c r="E643" s="8" t="n">
        <x:v>1106.2515129120025</x:v>
      </x:c>
      <x:c r="F643" s="23" t="n">
        <x:v>0.060000000000000005</x:v>
      </x:c>
      <x:c r="G643" s="8" t="n">
        <x:v>66.37509077472015</x:v>
      </x:c>
      <x:c r="H643" s="8" t="n">
        <x:v>44.46700507614213</x:v>
      </x:c>
      <x:c r="I643" s="8" t="n">
        <x:v>44.46700507614213</x:v>
      </x:c>
      <x:c r="J643" s="8" t="n">
        <x:v>0</x:v>
      </x:c>
      <x:c r="K643" s="8" t="n">
        <x:v>0</x:v>
      </x:c>
      <x:c r="L643" s="8" t="n">
        <x:v>0</x:v>
      </x:c>
      <x:c r="M643" s="21" t="n">
        <x:f>E643+K643-I643-J643-L643</x:f>
        <x:v>1061.7845078358603</x:v>
      </x:c>
    </x:row>
    <x:row r="644" ht="36" customHeight="1">
      <x:c r="A644" s="8" t="str">
        <x:v>Liquidity-first</x:v>
      </x:c>
      <x:c r="B644" s="8" t="str">
        <x:v>Severe revenue</x:v>
      </x:c>
      <x:c r="C644" s="8" t="str">
        <x:v>Committed revolver</x:v>
      </x:c>
      <x:c r="D644" s="22" t="n">
        <x:v>3</x:v>
      </x:c>
      <x:c r="E644" s="8" t="n">
        <x:v>0</x:v>
      </x:c>
      <x:c r="F644" s="23" t="n">
        <x:v>0.0575</x:v>
      </x:c>
      <x:c r="G644" s="8" t="n">
        <x:v>0</x:v>
      </x:c>
      <x:c r="H644" s="8" t="n">
        <x:v>0</x:v>
      </x:c>
      <x:c r="I644" s="8" t="n">
        <x:v>0</x:v>
      </x:c>
      <x:c r="J644" s="8" t="n">
        <x:v>0</x:v>
      </x:c>
      <x:c r="K644" s="8" t="n">
        <x:v>176.16075138706276</x:v>
      </x:c>
      <x:c r="L644" s="8" t="n">
        <x:v>0</x:v>
      </x:c>
      <x:c r="M644" s="21" t="n">
        <x:f>E644+K644-I644-J644-L644</x:f>
        <x:v>176.16075138706276</x:v>
      </x:c>
    </x:row>
    <x:row r="645" ht="36" customHeight="1">
      <x:c r="A645" s="8" t="str">
        <x:v>Liquidity-first</x:v>
      </x:c>
      <x:c r="B645" s="8" t="str">
        <x:v>Severe revenue</x:v>
      </x:c>
      <x:c r="C645" s="8" t="str">
        <x:v>Atlas notes</x:v>
      </x:c>
      <x:c r="D645" s="22" t="n">
        <x:v>4</x:v>
      </x:c>
      <x:c r="E645" s="8" t="n">
        <x:v>900</x:v>
      </x:c>
      <x:c r="F645" s="23" t="n">
        <x:v>0.038</x:v>
      </x:c>
      <x:c r="G645" s="8" t="n">
        <x:v>34.199999999999996</x:v>
      </x:c>
      <x:c r="H645" s="8" t="n">
        <x:v>900</x:v>
      </x:c>
      <x:c r="I645" s="8" t="n">
        <x:v>900</x:v>
      </x:c>
      <x:c r="J645" s="8" t="n">
        <x:v>0</x:v>
      </x:c>
      <x:c r="K645" s="8" t="n">
        <x:v>0</x:v>
      </x:c>
      <x:c r="L645" s="8" t="n">
        <x:v>0</x:v>
      </x:c>
      <x:c r="M645" s="21" t="n">
        <x:f>E645+K645-I645-J645-L645</x:f>
        <x:v>0</x:v>
      </x:c>
    </x:row>
    <x:row r="646" ht="36" customHeight="1">
      <x:c r="A646" s="8" t="str">
        <x:v>Liquidity-first</x:v>
      </x:c>
      <x:c r="B646" s="8" t="str">
        <x:v>Severe revenue</x:v>
      </x:c>
      <x:c r="C646" s="8" t="str">
        <x:v>Atlas finance lease</x:v>
      </x:c>
      <x:c r="D646" s="22" t="n">
        <x:v>4</x:v>
      </x:c>
      <x:c r="E646" s="8" t="n">
        <x:v>32</x:v>
      </x:c>
      <x:c r="F646" s="23" t="n">
        <x:v>0.05</x:v>
      </x:c>
      <x:c r="G646" s="8" t="n">
        <x:v>1.6</x:v>
      </x:c>
      <x:c r="H646" s="8" t="n">
        <x:v>16</x:v>
      </x:c>
      <x:c r="I646" s="8" t="n">
        <x:v>16</x:v>
      </x:c>
      <x:c r="J646" s="8" t="n">
        <x:v>0</x:v>
      </x:c>
      <x:c r="K646" s="8" t="n">
        <x:v>0</x:v>
      </x:c>
      <x:c r="L646" s="8" t="n">
        <x:v>0</x:v>
      </x:c>
      <x:c r="M646" s="21" t="n">
        <x:f>E646+K646-I646-J646-L646</x:f>
        <x:v>16</x:v>
      </x:c>
    </x:row>
    <x:row r="647" ht="36" customHeight="1">
      <x:c r="A647" s="8" t="str">
        <x:v>Liquidity-first</x:v>
      </x:c>
      <x:c r="B647" s="8" t="str">
        <x:v>Severe revenue</x:v>
      </x:c>
      <x:c r="C647" s="8" t="str">
        <x:v>Beacon notes</x:v>
      </x:c>
      <x:c r="D647" s="22" t="n">
        <x:v>4</x:v>
      </x:c>
      <x:c r="E647" s="8" t="n">
        <x:v>0</x:v>
      </x:c>
      <x:c r="F647" s="23" t="n">
        <x:v>0.0475</x:v>
      </x:c>
      <x:c r="G647" s="8" t="n">
        <x:v>0</x:v>
      </x:c>
      <x:c r="H647" s="8" t="n">
        <x:v>0</x:v>
      </x:c>
      <x:c r="I647" s="8" t="n">
        <x:v>0</x:v>
      </x:c>
      <x:c r="J647" s="8" t="n">
        <x:v>0</x:v>
      </x:c>
      <x:c r="K647" s="8" t="n">
        <x:v>0</x:v>
      </x:c>
      <x:c r="L647" s="8" t="n">
        <x:v>0</x:v>
      </x:c>
      <x:c r="M647" s="21" t="n">
        <x:f>E647+K647-I647-J647-L647</x:f>
        <x:v>0</x:v>
      </x:c>
    </x:row>
    <x:row r="648" ht="36" customHeight="1">
      <x:c r="A648" s="8" t="str">
        <x:v>Liquidity-first</x:v>
      </x:c>
      <x:c r="B648" s="8" t="str">
        <x:v>Severe revenue</x:v>
      </x:c>
      <x:c r="C648" s="8" t="str">
        <x:v>Acquisition term</x:v>
      </x:c>
      <x:c r="D648" s="22" t="n">
        <x:v>4</x:v>
      </x:c>
      <x:c r="E648" s="8" t="n">
        <x:v>1061.7845078358603</x:v>
      </x:c>
      <x:c r="F648" s="23" t="n">
        <x:v>0.060000000000000005</x:v>
      </x:c>
      <x:c r="G648" s="8" t="n">
        <x:v>63.70707047015162</x:v>
      </x:c>
      <x:c r="H648" s="8" t="n">
        <x:v>44.46700507614213</x:v>
      </x:c>
      <x:c r="I648" s="8" t="n">
        <x:v>44.46700507614213</x:v>
      </x:c>
      <x:c r="J648" s="8" t="n">
        <x:v>0</x:v>
      </x:c>
      <x:c r="K648" s="8" t="n">
        <x:v>0</x:v>
      </x:c>
      <x:c r="L648" s="8" t="n">
        <x:v>0</x:v>
      </x:c>
      <x:c r="M648" s="21" t="n">
        <x:f>E648+K648-I648-J648-L648</x:f>
        <x:v>1017.3175027597181</x:v>
      </x:c>
    </x:row>
    <x:row r="649" ht="36" customHeight="1">
      <x:c r="A649" s="8" t="str">
        <x:v>Liquidity-first</x:v>
      </x:c>
      <x:c r="B649" s="8" t="str">
        <x:v>Severe revenue</x:v>
      </x:c>
      <x:c r="C649" s="8" t="str">
        <x:v>Committed revolver</x:v>
      </x:c>
      <x:c r="D649" s="22" t="n">
        <x:v>4</x:v>
      </x:c>
      <x:c r="E649" s="8" t="n">
        <x:v>176.16075138706276</x:v>
      </x:c>
      <x:c r="F649" s="23" t="n">
        <x:v>0.0575</x:v>
      </x:c>
      <x:c r="G649" s="8" t="n">
        <x:v>10.12924320475611</x:v>
      </x:c>
      <x:c r="H649" s="8" t="n">
        <x:v>0</x:v>
      </x:c>
      <x:c r="I649" s="8" t="n">
        <x:v>0</x:v>
      </x:c>
      <x:c r="J649" s="8" t="n">
        <x:v>0</x:v>
      </x:c>
      <x:c r="K649" s="8" t="n">
        <x:v>453.83924861293724</x:v>
      </x:c>
      <x:c r="L649" s="8" t="n">
        <x:v>0</x:v>
      </x:c>
      <x:c r="M649" s="21" t="n">
        <x:f>E649+K649-I649-J649-L649</x:f>
        <x:v>630</x:v>
      </x:c>
    </x:row>
    <x:row r="650" ht="36" customHeight="1">
      <x:c r="A650" s="8" t="str">
        <x:v>Liquidity-first</x:v>
      </x:c>
      <x:c r="B650" s="8" t="str">
        <x:v>Severe revenue</x:v>
      </x:c>
      <x:c r="C650" s="8" t="str">
        <x:v>Atlas notes</x:v>
      </x:c>
      <x:c r="D650" s="22" t="n">
        <x:v>5</x:v>
      </x:c>
      <x:c r="E650" s="8" t="n">
        <x:v>0</x:v>
      </x:c>
      <x:c r="F650" s="23" t="n">
        <x:v>0.038</x:v>
      </x:c>
      <x:c r="G650" s="8" t="n">
        <x:v>0</x:v>
      </x:c>
      <x:c r="H650" s="8" t="n">
        <x:v>0</x:v>
      </x:c>
      <x:c r="I650" s="8" t="n">
        <x:v>0</x:v>
      </x:c>
      <x:c r="J650" s="8" t="n">
        <x:v>0</x:v>
      </x:c>
      <x:c r="K650" s="8" t="n">
        <x:v>0</x:v>
      </x:c>
      <x:c r="L650" s="8" t="n">
        <x:v>0</x:v>
      </x:c>
      <x:c r="M650" s="21" t="n">
        <x:f>E650+K650-I650-J650-L650</x:f>
        <x:v>0</x:v>
      </x:c>
    </x:row>
    <x:row r="651" ht="36" customHeight="1">
      <x:c r="A651" s="8" t="str">
        <x:v>Liquidity-first</x:v>
      </x:c>
      <x:c r="B651" s="8" t="str">
        <x:v>Severe revenue</x:v>
      </x:c>
      <x:c r="C651" s="8" t="str">
        <x:v>Atlas finance lease</x:v>
      </x:c>
      <x:c r="D651" s="22" t="n">
        <x:v>5</x:v>
      </x:c>
      <x:c r="E651" s="8" t="n">
        <x:v>16</x:v>
      </x:c>
      <x:c r="F651" s="23" t="n">
        <x:v>0.05</x:v>
      </x:c>
      <x:c r="G651" s="8" t="n">
        <x:v>0.8</x:v>
      </x:c>
      <x:c r="H651" s="8" t="n">
        <x:v>16</x:v>
      </x:c>
      <x:c r="I651" s="8" t="n">
        <x:v>16</x:v>
      </x:c>
      <x:c r="J651" s="8" t="n">
        <x:v>0</x:v>
      </x:c>
      <x:c r="K651" s="8" t="n">
        <x:v>0</x:v>
      </x:c>
      <x:c r="L651" s="8" t="n">
        <x:v>0</x:v>
      </x:c>
      <x:c r="M651" s="21" t="n">
        <x:f>E651+K651-I651-J651-L651</x:f>
        <x:v>0</x:v>
      </x:c>
    </x:row>
    <x:row r="652" ht="36" customHeight="1">
      <x:c r="A652" s="8" t="str">
        <x:v>Liquidity-first</x:v>
      </x:c>
      <x:c r="B652" s="8" t="str">
        <x:v>Severe revenue</x:v>
      </x:c>
      <x:c r="C652" s="8" t="str">
        <x:v>Beacon notes</x:v>
      </x:c>
      <x:c r="D652" s="22" t="n">
        <x:v>5</x:v>
      </x:c>
      <x:c r="E652" s="8" t="n">
        <x:v>0</x:v>
      </x:c>
      <x:c r="F652" s="23" t="n">
        <x:v>0.0475</x:v>
      </x:c>
      <x:c r="G652" s="8" t="n">
        <x:v>0</x:v>
      </x:c>
      <x:c r="H652" s="8" t="n">
        <x:v>0</x:v>
      </x:c>
      <x:c r="I652" s="8" t="n">
        <x:v>0</x:v>
      </x:c>
      <x:c r="J652" s="8" t="n">
        <x:v>0</x:v>
      </x:c>
      <x:c r="K652" s="8" t="n">
        <x:v>0</x:v>
      </x:c>
      <x:c r="L652" s="8" t="n">
        <x:v>0</x:v>
      </x:c>
      <x:c r="M652" s="21" t="n">
        <x:f>E652+K652-I652-J652-L652</x:f>
        <x:v>0</x:v>
      </x:c>
    </x:row>
    <x:row r="653" ht="36" customHeight="1">
      <x:c r="A653" s="8" t="str">
        <x:v>Liquidity-first</x:v>
      </x:c>
      <x:c r="B653" s="8" t="str">
        <x:v>Severe revenue</x:v>
      </x:c>
      <x:c r="C653" s="8" t="str">
        <x:v>Acquisition term</x:v>
      </x:c>
      <x:c r="D653" s="22" t="n">
        <x:v>5</x:v>
      </x:c>
      <x:c r="E653" s="8" t="n">
        <x:v>1017.3175027597181</x:v>
      </x:c>
      <x:c r="F653" s="23" t="n">
        <x:v>0.060000000000000005</x:v>
      </x:c>
      <x:c r="G653" s="8" t="n">
        <x:v>61.03905016558309</x:v>
      </x:c>
      <x:c r="H653" s="8" t="n">
        <x:v>1017.3175027597181</x:v>
      </x:c>
      <x:c r="I653" s="8" t="n">
        <x:v>821.6787090125304</x:v>
      </x:c>
      <x:c r="J653" s="8" t="n">
        <x:v>0</x:v>
      </x:c>
      <x:c r="K653" s="8" t="n">
        <x:v>0</x:v>
      </x:c>
      <x:c r="L653" s="8" t="n">
        <x:v>0</x:v>
      </x:c>
      <x:c r="M653" s="21" t="n">
        <x:f>E653+K653-I653-J653-L653</x:f>
        <x:v>195.63879374718772</x:v>
      </x:c>
    </x:row>
    <x:row r="654" ht="36" customHeight="1">
      <x:c r="A654" s="8" t="str">
        <x:v>Liquidity-first</x:v>
      </x:c>
      <x:c r="B654" s="8" t="str">
        <x:v>Severe revenue</x:v>
      </x:c>
      <x:c r="C654" s="8" t="str">
        <x:v>Committed revolver</x:v>
      </x:c>
      <x:c r="D654" s="22" t="n">
        <x:v>5</x:v>
      </x:c>
      <x:c r="E654" s="8" t="n">
        <x:v>630</x:v>
      </x:c>
      <x:c r="F654" s="23" t="n">
        <x:v>0.0575</x:v>
      </x:c>
      <x:c r="G654" s="8" t="n">
        <x:v>36.225</x:v>
      </x:c>
      <x:c r="H654" s="8" t="n">
        <x:v>630</x:v>
      </x:c>
      <x:c r="I654" s="8" t="n">
        <x:v>0</x:v>
      </x:c>
      <x:c r="J654" s="8" t="n">
        <x:v>0</x:v>
      </x:c>
      <x:c r="K654" s="8" t="n">
        <x:v>0</x:v>
      </x:c>
      <x:c r="L654" s="8" t="n">
        <x:v>0</x:v>
      </x:c>
      <x:c r="M654" s="21" t="n">
        <x:f>E654+K654-I654-J654-L654</x:f>
        <x:v>630</x:v>
      </x:c>
    </x:row>
    <x:row r="655" ht="36" customHeight="1">
      <x:c r="A655" s="8" t="str">
        <x:v>Mixed consideration</x:v>
      </x:c>
      <x:c r="B655" s="8" t="str">
        <x:v>Severe revenue</x:v>
      </x:c>
      <x:c r="C655" s="8" t="str">
        <x:v>Atlas notes</x:v>
      </x:c>
      <x:c r="D655" s="22" t="n">
        <x:v>1</x:v>
      </x:c>
      <x:c r="E655" s="8" t="n">
        <x:v>900</x:v>
      </x:c>
      <x:c r="F655" s="23" t="n">
        <x:v>0.038</x:v>
      </x:c>
      <x:c r="G655" s="8" t="n">
        <x:v>34.199999999999996</x:v>
      </x:c>
      <x:c r="H655" s="8" t="n">
        <x:v>0</x:v>
      </x:c>
      <x:c r="I655" s="8" t="n">
        <x:v>0</x:v>
      </x:c>
      <x:c r="J655" s="8" t="n">
        <x:v>0</x:v>
      </x:c>
      <x:c r="K655" s="8" t="n">
        <x:v>0</x:v>
      </x:c>
      <x:c r="L655" s="8" t="n">
        <x:v>0</x:v>
      </x:c>
      <x:c r="M655" s="21" t="n">
        <x:f>E655+K655-I655-J655-L655</x:f>
        <x:v>900</x:v>
      </x:c>
    </x:row>
    <x:row r="656" ht="36" customHeight="1">
      <x:c r="A656" s="8" t="str">
        <x:v>Mixed consideration</x:v>
      </x:c>
      <x:c r="B656" s="8" t="str">
        <x:v>Severe revenue</x:v>
      </x:c>
      <x:c r="C656" s="8" t="str">
        <x:v>Atlas finance lease</x:v>
      </x:c>
      <x:c r="D656" s="22" t="n">
        <x:v>1</x:v>
      </x:c>
      <x:c r="E656" s="8" t="n">
        <x:v>80</x:v>
      </x:c>
      <x:c r="F656" s="23" t="n">
        <x:v>0.05</x:v>
      </x:c>
      <x:c r="G656" s="8" t="n">
        <x:v>4</x:v>
      </x:c>
      <x:c r="H656" s="8" t="n">
        <x:v>16</x:v>
      </x:c>
      <x:c r="I656" s="8" t="n">
        <x:v>16</x:v>
      </x:c>
      <x:c r="J656" s="8" t="n">
        <x:v>0</x:v>
      </x:c>
      <x:c r="K656" s="8" t="n">
        <x:v>0</x:v>
      </x:c>
      <x:c r="L656" s="8" t="n">
        <x:v>0</x:v>
      </x:c>
      <x:c r="M656" s="21" t="n">
        <x:f>E656+K656-I656-J656-L656</x:f>
        <x:v>64</x:v>
      </x:c>
    </x:row>
    <x:row r="657" ht="36" customHeight="1">
      <x:c r="A657" s="8" t="str">
        <x:v>Mixed consideration</x:v>
      </x:c>
      <x:c r="B657" s="8" t="str">
        <x:v>Severe revenue</x:v>
      </x:c>
      <x:c r="C657" s="8" t="str">
        <x:v>Beacon notes</x:v>
      </x:c>
      <x:c r="D657" s="22" t="n">
        <x:v>1</x:v>
      </x:c>
      <x:c r="E657" s="8" t="n">
        <x:v>350</x:v>
      </x:c>
      <x:c r="F657" s="23" t="n">
        <x:v>0.0475</x:v>
      </x:c>
      <x:c r="G657" s="8" t="n">
        <x:v>16.625</x:v>
      </x:c>
      <x:c r="H657" s="8" t="n">
        <x:v>0</x:v>
      </x:c>
      <x:c r="I657" s="8" t="n">
        <x:v>0</x:v>
      </x:c>
      <x:c r="J657" s="8" t="n">
        <x:v>0</x:v>
      </x:c>
      <x:c r="K657" s="8" t="n">
        <x:v>0</x:v>
      </x:c>
      <x:c r="L657" s="8" t="n">
        <x:v>0</x:v>
      </x:c>
      <x:c r="M657" s="21" t="n">
        <x:f>E657+K657-I657-J657-L657</x:f>
        <x:v>350</x:v>
      </x:c>
    </x:row>
    <x:row r="658" ht="36" customHeight="1">
      <x:c r="A658" s="8" t="str">
        <x:v>Mixed consideration</x:v>
      </x:c>
      <x:c r="B658" s="8" t="str">
        <x:v>Severe revenue</x:v>
      </x:c>
      <x:c r="C658" s="8" t="str">
        <x:v>Acquisition term</x:v>
      </x:c>
      <x:c r="D658" s="22" t="n">
        <x:v>1</x:v>
      </x:c>
      <x:c r="E658" s="8" t="n">
        <x:v>304.56852791878174</x:v>
      </x:c>
      <x:c r="F658" s="23" t="n">
        <x:v>0.065</x:v>
      </x:c>
      <x:c r="G658" s="8" t="n">
        <x:v>19.796954314720814</x:v>
      </x:c>
      <x:c r="H658" s="8" t="n">
        <x:v>6.091370558375635</x:v>
      </x:c>
      <x:c r="I658" s="8" t="n">
        <x:v>6.091370558375635</x:v>
      </x:c>
      <x:c r="J658" s="8" t="n">
        <x:v>214.33310548640543</x:v>
      </x:c>
      <x:c r="K658" s="8" t="n">
        <x:v>0</x:v>
      </x:c>
      <x:c r="L658" s="8" t="n">
        <x:v>0</x:v>
      </x:c>
      <x:c r="M658" s="21" t="n">
        <x:f>E658+K658-I658-J658-L658</x:f>
        <x:v>84.1440518740007</x:v>
      </x:c>
    </x:row>
    <x:row r="659" ht="36" customHeight="1">
      <x:c r="A659" s="8" t="str">
        <x:v>Mixed consideration</x:v>
      </x:c>
      <x:c r="B659" s="8" t="str">
        <x:v>Severe revenue</x:v>
      </x:c>
      <x:c r="C659" s="8" t="str">
        <x:v>Committed revolver</x:v>
      </x:c>
      <x:c r="D659" s="22" t="n">
        <x:v>1</x:v>
      </x:c>
      <x:c r="E659" s="8" t="n">
        <x:v>0</x:v>
      </x:c>
      <x:c r="F659" s="23" t="n">
        <x:v>0.0625</x:v>
      </x:c>
      <x:c r="G659" s="8" t="n">
        <x:v>0</x:v>
      </x:c>
      <x:c r="H659" s="8" t="n">
        <x:v>0</x:v>
      </x:c>
      <x:c r="I659" s="8" t="n">
        <x:v>0</x:v>
      </x:c>
      <x:c r="J659" s="8" t="n">
        <x:v>0</x:v>
      </x:c>
      <x:c r="K659" s="8" t="n">
        <x:v>0</x:v>
      </x:c>
      <x:c r="L659" s="8" t="n">
        <x:v>0</x:v>
      </x:c>
      <x:c r="M659" s="21" t="n">
        <x:f>E659+K659-I659-J659-L659</x:f>
        <x:v>0</x:v>
      </x:c>
    </x:row>
    <x:row r="660" ht="36" customHeight="1">
      <x:c r="A660" s="8" t="str">
        <x:v>Mixed consideration</x:v>
      </x:c>
      <x:c r="B660" s="8" t="str">
        <x:v>Severe revenue</x:v>
      </x:c>
      <x:c r="C660" s="8" t="str">
        <x:v>Atlas notes</x:v>
      </x:c>
      <x:c r="D660" s="22" t="n">
        <x:v>2</x:v>
      </x:c>
      <x:c r="E660" s="8" t="n">
        <x:v>900</x:v>
      </x:c>
      <x:c r="F660" s="23" t="n">
        <x:v>0.038</x:v>
      </x:c>
      <x:c r="G660" s="8" t="n">
        <x:v>34.199999999999996</x:v>
      </x:c>
      <x:c r="H660" s="8" t="n">
        <x:v>0</x:v>
      </x:c>
      <x:c r="I660" s="8" t="n">
        <x:v>0</x:v>
      </x:c>
      <x:c r="J660" s="8" t="n">
        <x:v>0</x:v>
      </x:c>
      <x:c r="K660" s="8" t="n">
        <x:v>0</x:v>
      </x:c>
      <x:c r="L660" s="8" t="n">
        <x:v>0</x:v>
      </x:c>
      <x:c r="M660" s="21" t="n">
        <x:f>E660+K660-I660-J660-L660</x:f>
        <x:v>900</x:v>
      </x:c>
    </x:row>
    <x:row r="661" ht="36" customHeight="1">
      <x:c r="A661" s="8" t="str">
        <x:v>Mixed consideration</x:v>
      </x:c>
      <x:c r="B661" s="8" t="str">
        <x:v>Severe revenue</x:v>
      </x:c>
      <x:c r="C661" s="8" t="str">
        <x:v>Atlas finance lease</x:v>
      </x:c>
      <x:c r="D661" s="22" t="n">
        <x:v>2</x:v>
      </x:c>
      <x:c r="E661" s="8" t="n">
        <x:v>64</x:v>
      </x:c>
      <x:c r="F661" s="23" t="n">
        <x:v>0.05</x:v>
      </x:c>
      <x:c r="G661" s="8" t="n">
        <x:v>3.2</x:v>
      </x:c>
      <x:c r="H661" s="8" t="n">
        <x:v>16</x:v>
      </x:c>
      <x:c r="I661" s="8" t="n">
        <x:v>16</x:v>
      </x:c>
      <x:c r="J661" s="8" t="n">
        <x:v>48</x:v>
      </x:c>
      <x:c r="K661" s="8" t="n">
        <x:v>0</x:v>
      </x:c>
      <x:c r="L661" s="8" t="n">
        <x:v>0</x:v>
      </x:c>
      <x:c r="M661" s="21" t="n">
        <x:f>E661+K661-I661-J661-L661</x:f>
        <x:v>0</x:v>
      </x:c>
    </x:row>
    <x:row r="662" ht="36" customHeight="1">
      <x:c r="A662" s="8" t="str">
        <x:v>Mixed consideration</x:v>
      </x:c>
      <x:c r="B662" s="8" t="str">
        <x:v>Severe revenue</x:v>
      </x:c>
      <x:c r="C662" s="8" t="str">
        <x:v>Beacon notes</x:v>
      </x:c>
      <x:c r="D662" s="22" t="n">
        <x:v>2</x:v>
      </x:c>
      <x:c r="E662" s="8" t="n">
        <x:v>350</x:v>
      </x:c>
      <x:c r="F662" s="23" t="n">
        <x:v>0.0475</x:v>
      </x:c>
      <x:c r="G662" s="8" t="n">
        <x:v>16.625</x:v>
      </x:c>
      <x:c r="H662" s="8" t="n">
        <x:v>0</x:v>
      </x:c>
      <x:c r="I662" s="8" t="n">
        <x:v>0</x:v>
      </x:c>
      <x:c r="J662" s="8" t="n">
        <x:v>41.61718156769287</x:v>
      </x:c>
      <x:c r="K662" s="8" t="n">
        <x:v>0</x:v>
      </x:c>
      <x:c r="L662" s="8" t="n">
        <x:v>0</x:v>
      </x:c>
      <x:c r="M662" s="21" t="n">
        <x:f>E662+K662-I662-J662-L662</x:f>
        <x:v>308.38281843230715</x:v>
      </x:c>
    </x:row>
    <x:row r="663" ht="36" customHeight="1">
      <x:c r="A663" s="8" t="str">
        <x:v>Mixed consideration</x:v>
      </x:c>
      <x:c r="B663" s="8" t="str">
        <x:v>Severe revenue</x:v>
      </x:c>
      <x:c r="C663" s="8" t="str">
        <x:v>Acquisition term</x:v>
      </x:c>
      <x:c r="D663" s="22" t="n">
        <x:v>2</x:v>
      </x:c>
      <x:c r="E663" s="8" t="n">
        <x:v>84.1440518740007</x:v>
      </x:c>
      <x:c r="F663" s="23" t="n">
        <x:v>0.0625</x:v>
      </x:c>
      <x:c r="G663" s="8" t="n">
        <x:v>5.259003242125043</x:v>
      </x:c>
      <x:c r="H663" s="8" t="n">
        <x:v>6.091370558375635</x:v>
      </x:c>
      <x:c r="I663" s="8" t="n">
        <x:v>6.091370558375635</x:v>
      </x:c>
      <x:c r="J663" s="8" t="n">
        <x:v>78.05268131562507</x:v>
      </x:c>
      <x:c r="K663" s="8" t="n">
        <x:v>0</x:v>
      </x:c>
      <x:c r="L663" s="8" t="n">
        <x:v>0</x:v>
      </x:c>
      <x:c r="M663" s="21" t="n">
        <x:f>E663+K663-I663-J663-L663</x:f>
        <x:v>0</x:v>
      </x:c>
    </x:row>
    <x:row r="664" ht="36" customHeight="1">
      <x:c r="A664" s="8" t="str">
        <x:v>Mixed consideration</x:v>
      </x:c>
      <x:c r="B664" s="8" t="str">
        <x:v>Severe revenue</x:v>
      </x:c>
      <x:c r="C664" s="8" t="str">
        <x:v>Committed revolver</x:v>
      </x:c>
      <x:c r="D664" s="22" t="n">
        <x:v>2</x:v>
      </x:c>
      <x:c r="E664" s="8" t="n">
        <x:v>0</x:v>
      </x:c>
      <x:c r="F664" s="23" t="n">
        <x:v>0.06</x:v>
      </x:c>
      <x:c r="G664" s="8" t="n">
        <x:v>0</x:v>
      </x:c>
      <x:c r="H664" s="8" t="n">
        <x:v>0</x:v>
      </x:c>
      <x:c r="I664" s="8" t="n">
        <x:v>0</x:v>
      </x:c>
      <x:c r="J664" s="8" t="n">
        <x:v>0</x:v>
      </x:c>
      <x:c r="K664" s="8" t="n">
        <x:v>0</x:v>
      </x:c>
      <x:c r="L664" s="8" t="n">
        <x:v>0</x:v>
      </x:c>
      <x:c r="M664" s="21" t="n">
        <x:f>E664+K664-I664-J664-L664</x:f>
        <x:v>0</x:v>
      </x:c>
    </x:row>
    <x:row r="665" ht="36" customHeight="1">
      <x:c r="A665" s="8" t="str">
        <x:v>Mixed consideration</x:v>
      </x:c>
      <x:c r="B665" s="8" t="str">
        <x:v>Severe revenue</x:v>
      </x:c>
      <x:c r="C665" s="8" t="str">
        <x:v>Atlas notes</x:v>
      </x:c>
      <x:c r="D665" s="22" t="n">
        <x:v>3</x:v>
      </x:c>
      <x:c r="E665" s="8" t="n">
        <x:v>900</x:v>
      </x:c>
      <x:c r="F665" s="23" t="n">
        <x:v>0.038</x:v>
      </x:c>
      <x:c r="G665" s="8" t="n">
        <x:v>34.199999999999996</x:v>
      </x:c>
      <x:c r="H665" s="8" t="n">
        <x:v>0</x:v>
      </x:c>
      <x:c r="I665" s="8" t="n">
        <x:v>0</x:v>
      </x:c>
      <x:c r="J665" s="8" t="n">
        <x:v>0</x:v>
      </x:c>
      <x:c r="K665" s="8" t="n">
        <x:v>0</x:v>
      </x:c>
      <x:c r="L665" s="8" t="n">
        <x:v>0</x:v>
      </x:c>
      <x:c r="M665" s="21" t="n">
        <x:f>E665+K665-I665-J665-L665</x:f>
        <x:v>900</x:v>
      </x:c>
    </x:row>
    <x:row r="666" ht="36" customHeight="1">
      <x:c r="A666" s="8" t="str">
        <x:v>Mixed consideration</x:v>
      </x:c>
      <x:c r="B666" s="8" t="str">
        <x:v>Severe revenue</x:v>
      </x:c>
      <x:c r="C666" s="8" t="str">
        <x:v>Atlas finance lease</x:v>
      </x:c>
      <x:c r="D666" s="22" t="n">
        <x:v>3</x:v>
      </x:c>
      <x:c r="E666" s="8" t="n">
        <x:v>0</x:v>
      </x:c>
      <x:c r="F666" s="23" t="n">
        <x:v>0.05</x:v>
      </x:c>
      <x:c r="G666" s="8" t="n">
        <x:v>0</x:v>
      </x:c>
      <x:c r="H666" s="8" t="n">
        <x:v>0</x:v>
      </x:c>
      <x:c r="I666" s="8" t="n">
        <x:v>0</x:v>
      </x:c>
      <x:c r="J666" s="8" t="n">
        <x:v>0</x:v>
      </x:c>
      <x:c r="K666" s="8" t="n">
        <x:v>0</x:v>
      </x:c>
      <x:c r="L666" s="8" t="n">
        <x:v>0</x:v>
      </x:c>
      <x:c r="M666" s="21" t="n">
        <x:f>E666+K666-I666-J666-L666</x:f>
        <x:v>0</x:v>
      </x:c>
    </x:row>
    <x:row r="667" ht="36" customHeight="1">
      <x:c r="A667" s="8" t="str">
        <x:v>Mixed consideration</x:v>
      </x:c>
      <x:c r="B667" s="8" t="str">
        <x:v>Severe revenue</x:v>
      </x:c>
      <x:c r="C667" s="8" t="str">
        <x:v>Beacon notes</x:v>
      </x:c>
      <x:c r="D667" s="22" t="n">
        <x:v>3</x:v>
      </x:c>
      <x:c r="E667" s="8" t="n">
        <x:v>308.38281843230715</x:v>
      </x:c>
      <x:c r="F667" s="23" t="n">
        <x:v>0.0475</x:v>
      </x:c>
      <x:c r="G667" s="8" t="n">
        <x:v>14.64818387553459</x:v>
      </x:c>
      <x:c r="H667" s="8" t="n">
        <x:v>308.38281843230715</x:v>
      </x:c>
      <x:c r="I667" s="8" t="n">
        <x:v>308.38281843230715</x:v>
      </x:c>
      <x:c r="J667" s="8" t="n">
        <x:v>0</x:v>
      </x:c>
      <x:c r="K667" s="8" t="n">
        <x:v>0</x:v>
      </x:c>
      <x:c r="L667" s="8" t="n">
        <x:v>0</x:v>
      </x:c>
      <x:c r="M667" s="21" t="n">
        <x:f>E667+K667-I667-J667-L667</x:f>
        <x:v>0</x:v>
      </x:c>
    </x:row>
    <x:row r="668" ht="36" customHeight="1">
      <x:c r="A668" s="8" t="str">
        <x:v>Mixed consideration</x:v>
      </x:c>
      <x:c r="B668" s="8" t="str">
        <x:v>Severe revenue</x:v>
      </x:c>
      <x:c r="C668" s="8" t="str">
        <x:v>Acquisition term</x:v>
      </x:c>
      <x:c r="D668" s="22" t="n">
        <x:v>3</x:v>
      </x:c>
      <x:c r="E668" s="8" t="n">
        <x:v>0</x:v>
      </x:c>
      <x:c r="F668" s="23" t="n">
        <x:v>0.060000000000000005</x:v>
      </x:c>
      <x:c r="G668" s="8" t="n">
        <x:v>0</x:v>
      </x:c>
      <x:c r="H668" s="8" t="n">
        <x:v>0</x:v>
      </x:c>
      <x:c r="I668" s="8" t="n">
        <x:v>0</x:v>
      </x:c>
      <x:c r="J668" s="8" t="n">
        <x:v>0</x:v>
      </x:c>
      <x:c r="K668" s="8" t="n">
        <x:v>0</x:v>
      </x:c>
      <x:c r="L668" s="8" t="n">
        <x:v>0</x:v>
      </x:c>
      <x:c r="M668" s="21" t="n">
        <x:f>E668+K668-I668-J668-L668</x:f>
        <x:v>0</x:v>
      </x:c>
    </x:row>
    <x:row r="669" ht="36" customHeight="1">
      <x:c r="A669" s="8" t="str">
        <x:v>Mixed consideration</x:v>
      </x:c>
      <x:c r="B669" s="8" t="str">
        <x:v>Severe revenue</x:v>
      </x:c>
      <x:c r="C669" s="8" t="str">
        <x:v>Committed revolver</x:v>
      </x:c>
      <x:c r="D669" s="22" t="n">
        <x:v>3</x:v>
      </x:c>
      <x:c r="E669" s="8" t="n">
        <x:v>0</x:v>
      </x:c>
      <x:c r="F669" s="23" t="n">
        <x:v>0.0575</x:v>
      </x:c>
      <x:c r="G669" s="8" t="n">
        <x:v>0</x:v>
      </x:c>
      <x:c r="H669" s="8" t="n">
        <x:v>0</x:v>
      </x:c>
      <x:c r="I669" s="8" t="n">
        <x:v>0</x:v>
      </x:c>
      <x:c r="J669" s="8" t="n">
        <x:v>0</x:v>
      </x:c>
      <x:c r="K669" s="8" t="n">
        <x:v>21.012634568838394</x:v>
      </x:c>
      <x:c r="L669" s="8" t="n">
        <x:v>0</x:v>
      </x:c>
      <x:c r="M669" s="21" t="n">
        <x:f>E669+K669-I669-J669-L669</x:f>
        <x:v>21.012634568838394</x:v>
      </x:c>
    </x:row>
    <x:row r="670" ht="36" customHeight="1">
      <x:c r="A670" s="8" t="str">
        <x:v>Mixed consideration</x:v>
      </x:c>
      <x:c r="B670" s="8" t="str">
        <x:v>Severe revenue</x:v>
      </x:c>
      <x:c r="C670" s="8" t="str">
        <x:v>Atlas notes</x:v>
      </x:c>
      <x:c r="D670" s="22" t="n">
        <x:v>4</x:v>
      </x:c>
      <x:c r="E670" s="8" t="n">
        <x:v>900</x:v>
      </x:c>
      <x:c r="F670" s="23" t="n">
        <x:v>0.038</x:v>
      </x:c>
      <x:c r="G670" s="8" t="n">
        <x:v>34.199999999999996</x:v>
      </x:c>
      <x:c r="H670" s="8" t="n">
        <x:v>900</x:v>
      </x:c>
      <x:c r="I670" s="8" t="n">
        <x:v>900</x:v>
      </x:c>
      <x:c r="J670" s="8" t="n">
        <x:v>0</x:v>
      </x:c>
      <x:c r="K670" s="8" t="n">
        <x:v>0</x:v>
      </x:c>
      <x:c r="L670" s="8" t="n">
        <x:v>0</x:v>
      </x:c>
      <x:c r="M670" s="21" t="n">
        <x:f>E670+K670-I670-J670-L670</x:f>
        <x:v>0</x:v>
      </x:c>
    </x:row>
    <x:row r="671" ht="36" customHeight="1">
      <x:c r="A671" s="8" t="str">
        <x:v>Mixed consideration</x:v>
      </x:c>
      <x:c r="B671" s="8" t="str">
        <x:v>Severe revenue</x:v>
      </x:c>
      <x:c r="C671" s="8" t="str">
        <x:v>Atlas finance lease</x:v>
      </x:c>
      <x:c r="D671" s="22" t="n">
        <x:v>4</x:v>
      </x:c>
      <x:c r="E671" s="8" t="n">
        <x:v>0</x:v>
      </x:c>
      <x:c r="F671" s="23" t="n">
        <x:v>0.05</x:v>
      </x:c>
      <x:c r="G671" s="8" t="n">
        <x:v>0</x:v>
      </x:c>
      <x:c r="H671" s="8" t="n">
        <x:v>0</x:v>
      </x:c>
      <x:c r="I671" s="8" t="n">
        <x:v>0</x:v>
      </x:c>
      <x:c r="J671" s="8" t="n">
        <x:v>0</x:v>
      </x:c>
      <x:c r="K671" s="8" t="n">
        <x:v>0</x:v>
      </x:c>
      <x:c r="L671" s="8" t="n">
        <x:v>0</x:v>
      </x:c>
      <x:c r="M671" s="21" t="n">
        <x:f>E671+K671-I671-J671-L671</x:f>
        <x:v>0</x:v>
      </x:c>
    </x:row>
    <x:row r="672" ht="36" customHeight="1">
      <x:c r="A672" s="8" t="str">
        <x:v>Mixed consideration</x:v>
      </x:c>
      <x:c r="B672" s="8" t="str">
        <x:v>Severe revenue</x:v>
      </x:c>
      <x:c r="C672" s="8" t="str">
        <x:v>Beacon notes</x:v>
      </x:c>
      <x:c r="D672" s="22" t="n">
        <x:v>4</x:v>
      </x:c>
      <x:c r="E672" s="8" t="n">
        <x:v>0</x:v>
      </x:c>
      <x:c r="F672" s="23" t="n">
        <x:v>0.0475</x:v>
      </x:c>
      <x:c r="G672" s="8" t="n">
        <x:v>0</x:v>
      </x:c>
      <x:c r="H672" s="8" t="n">
        <x:v>0</x:v>
      </x:c>
      <x:c r="I672" s="8" t="n">
        <x:v>0</x:v>
      </x:c>
      <x:c r="J672" s="8" t="n">
        <x:v>0</x:v>
      </x:c>
      <x:c r="K672" s="8" t="n">
        <x:v>0</x:v>
      </x:c>
      <x:c r="L672" s="8" t="n">
        <x:v>0</x:v>
      </x:c>
      <x:c r="M672" s="21" t="n">
        <x:f>E672+K672-I672-J672-L672</x:f>
        <x:v>0</x:v>
      </x:c>
    </x:row>
    <x:row r="673" ht="36" customHeight="1">
      <x:c r="A673" s="8" t="str">
        <x:v>Mixed consideration</x:v>
      </x:c>
      <x:c r="B673" s="8" t="str">
        <x:v>Severe revenue</x:v>
      </x:c>
      <x:c r="C673" s="8" t="str">
        <x:v>Acquisition term</x:v>
      </x:c>
      <x:c r="D673" s="22" t="n">
        <x:v>4</x:v>
      </x:c>
      <x:c r="E673" s="8" t="n">
        <x:v>0</x:v>
      </x:c>
      <x:c r="F673" s="23" t="n">
        <x:v>0.060000000000000005</x:v>
      </x:c>
      <x:c r="G673" s="8" t="n">
        <x:v>0</x:v>
      </x:c>
      <x:c r="H673" s="8" t="n">
        <x:v>0</x:v>
      </x:c>
      <x:c r="I673" s="8" t="n">
        <x:v>0</x:v>
      </x:c>
      <x:c r="J673" s="8" t="n">
        <x:v>0</x:v>
      </x:c>
      <x:c r="K673" s="8" t="n">
        <x:v>0</x:v>
      </x:c>
      <x:c r="L673" s="8" t="n">
        <x:v>0</x:v>
      </x:c>
      <x:c r="M673" s="21" t="n">
        <x:f>E673+K673-I673-J673-L673</x:f>
        <x:v>0</x:v>
      </x:c>
    </x:row>
    <x:row r="674" ht="36" customHeight="1">
      <x:c r="A674" s="8" t="str">
        <x:v>Mixed consideration</x:v>
      </x:c>
      <x:c r="B674" s="8" t="str">
        <x:v>Severe revenue</x:v>
      </x:c>
      <x:c r="C674" s="8" t="str">
        <x:v>Committed revolver</x:v>
      </x:c>
      <x:c r="D674" s="22" t="n">
        <x:v>4</x:v>
      </x:c>
      <x:c r="E674" s="8" t="n">
        <x:v>21.012634568838394</x:v>
      </x:c>
      <x:c r="F674" s="23" t="n">
        <x:v>0.0575</x:v>
      </x:c>
      <x:c r="G674" s="8" t="n">
        <x:v>1.2082264877082076</x:v>
      </x:c>
      <x:c r="H674" s="8" t="n">
        <x:v>0</x:v>
      </x:c>
      <x:c r="I674" s="8" t="n">
        <x:v>0</x:v>
      </x:c>
      <x:c r="J674" s="8" t="n">
        <x:v>0</x:v>
      </x:c>
      <x:c r="K674" s="8" t="n">
        <x:v>562.0921804514082</x:v>
      </x:c>
      <x:c r="L674" s="8" t="n">
        <x:v>0</x:v>
      </x:c>
      <x:c r="M674" s="21" t="n">
        <x:f>E674+K674-I674-J674-L674</x:f>
        <x:v>583.1048150202466</x:v>
      </x:c>
    </x:row>
    <x:row r="675" ht="36" customHeight="1">
      <x:c r="A675" s="8" t="str">
        <x:v>Mixed consideration</x:v>
      </x:c>
      <x:c r="B675" s="8" t="str">
        <x:v>Severe revenue</x:v>
      </x:c>
      <x:c r="C675" s="8" t="str">
        <x:v>Atlas notes</x:v>
      </x:c>
      <x:c r="D675" s="22" t="n">
        <x:v>5</x:v>
      </x:c>
      <x:c r="E675" s="8" t="n">
        <x:v>0</x:v>
      </x:c>
      <x:c r="F675" s="23" t="n">
        <x:v>0.038</x:v>
      </x:c>
      <x:c r="G675" s="8" t="n">
        <x:v>0</x:v>
      </x:c>
      <x:c r="H675" s="8" t="n">
        <x:v>0</x:v>
      </x:c>
      <x:c r="I675" s="8" t="n">
        <x:v>0</x:v>
      </x:c>
      <x:c r="J675" s="8" t="n">
        <x:v>0</x:v>
      </x:c>
      <x:c r="K675" s="8" t="n">
        <x:v>0</x:v>
      </x:c>
      <x:c r="L675" s="8" t="n">
        <x:v>0</x:v>
      </x:c>
      <x:c r="M675" s="21" t="n">
        <x:f>E675+K675-I675-J675-L675</x:f>
        <x:v>0</x:v>
      </x:c>
    </x:row>
    <x:row r="676" ht="36" customHeight="1">
      <x:c r="A676" s="8" t="str">
        <x:v>Mixed consideration</x:v>
      </x:c>
      <x:c r="B676" s="8" t="str">
        <x:v>Severe revenue</x:v>
      </x:c>
      <x:c r="C676" s="8" t="str">
        <x:v>Atlas finance lease</x:v>
      </x:c>
      <x:c r="D676" s="22" t="n">
        <x:v>5</x:v>
      </x:c>
      <x:c r="E676" s="8" t="n">
        <x:v>0</x:v>
      </x:c>
      <x:c r="F676" s="23" t="n">
        <x:v>0.05</x:v>
      </x:c>
      <x:c r="G676" s="8" t="n">
        <x:v>0</x:v>
      </x:c>
      <x:c r="H676" s="8" t="n">
        <x:v>0</x:v>
      </x:c>
      <x:c r="I676" s="8" t="n">
        <x:v>0</x:v>
      </x:c>
      <x:c r="J676" s="8" t="n">
        <x:v>0</x:v>
      </x:c>
      <x:c r="K676" s="8" t="n">
        <x:v>0</x:v>
      </x:c>
      <x:c r="L676" s="8" t="n">
        <x:v>0</x:v>
      </x:c>
      <x:c r="M676" s="21" t="n">
        <x:f>E676+K676-I676-J676-L676</x:f>
        <x:v>0</x:v>
      </x:c>
    </x:row>
    <x:row r="677" ht="36" customHeight="1">
      <x:c r="A677" s="8" t="str">
        <x:v>Mixed consideration</x:v>
      </x:c>
      <x:c r="B677" s="8" t="str">
        <x:v>Severe revenue</x:v>
      </x:c>
      <x:c r="C677" s="8" t="str">
        <x:v>Beacon notes</x:v>
      </x:c>
      <x:c r="D677" s="22" t="n">
        <x:v>5</x:v>
      </x:c>
      <x:c r="E677" s="8" t="n">
        <x:v>0</x:v>
      </x:c>
      <x:c r="F677" s="23" t="n">
        <x:v>0.0475</x:v>
      </x:c>
      <x:c r="G677" s="8" t="n">
        <x:v>0</x:v>
      </x:c>
      <x:c r="H677" s="8" t="n">
        <x:v>0</x:v>
      </x:c>
      <x:c r="I677" s="8" t="n">
        <x:v>0</x:v>
      </x:c>
      <x:c r="J677" s="8" t="n">
        <x:v>0</x:v>
      </x:c>
      <x:c r="K677" s="8" t="n">
        <x:v>0</x:v>
      </x:c>
      <x:c r="L677" s="8" t="n">
        <x:v>0</x:v>
      </x:c>
      <x:c r="M677" s="21" t="n">
        <x:f>E677+K677-I677-J677-L677</x:f>
        <x:v>0</x:v>
      </x:c>
    </x:row>
    <x:row r="678" ht="36" customHeight="1">
      <x:c r="A678" s="8" t="str">
        <x:v>Mixed consideration</x:v>
      </x:c>
      <x:c r="B678" s="8" t="str">
        <x:v>Severe revenue</x:v>
      </x:c>
      <x:c r="C678" s="8" t="str">
        <x:v>Acquisition term</x:v>
      </x:c>
      <x:c r="D678" s="22" t="n">
        <x:v>5</x:v>
      </x:c>
      <x:c r="E678" s="8" t="n">
        <x:v>0</x:v>
      </x:c>
      <x:c r="F678" s="23" t="n">
        <x:v>0.060000000000000005</x:v>
      </x:c>
      <x:c r="G678" s="8" t="n">
        <x:v>0</x:v>
      </x:c>
      <x:c r="H678" s="8" t="n">
        <x:v>0</x:v>
      </x:c>
      <x:c r="I678" s="8" t="n">
        <x:v>0</x:v>
      </x:c>
      <x:c r="J678" s="8" t="n">
        <x:v>0</x:v>
      </x:c>
      <x:c r="K678" s="8" t="n">
        <x:v>0</x:v>
      </x:c>
      <x:c r="L678" s="8" t="n">
        <x:v>0</x:v>
      </x:c>
      <x:c r="M678" s="21" t="n">
        <x:f>E678+K678-I678-J678-L678</x:f>
        <x:v>0</x:v>
      </x:c>
    </x:row>
    <x:row r="679" ht="36" customHeight="1">
      <x:c r="A679" s="8" t="str">
        <x:v>Mixed consideration</x:v>
      </x:c>
      <x:c r="B679" s="8" t="str">
        <x:v>Severe revenue</x:v>
      </x:c>
      <x:c r="C679" s="8" t="str">
        <x:v>Committed revolver</x:v>
      </x:c>
      <x:c r="D679" s="22" t="n">
        <x:v>5</x:v>
      </x:c>
      <x:c r="E679" s="8" t="n">
        <x:v>583.1048150202466</x:v>
      </x:c>
      <x:c r="F679" s="23" t="n">
        <x:v>0.0575</x:v>
      </x:c>
      <x:c r="G679" s="8" t="n">
        <x:v>33.52852686366418</x:v>
      </x:c>
      <x:c r="H679" s="8" t="n">
        <x:v>583.1048150202466</x:v>
      </x:c>
      <x:c r="I679" s="8" t="n">
        <x:v>583.1048150202466</x:v>
      </x:c>
      <x:c r="J679" s="8" t="n">
        <x:v>0</x:v>
      </x:c>
      <x:c r="K679" s="8" t="n">
        <x:v>0</x:v>
      </x:c>
      <x:c r="L679" s="8" t="n">
        <x:v>0</x:v>
      </x:c>
      <x:c r="M679" s="21" t="n">
        <x:f>E679+K679-I679-J679-L679</x:f>
        <x:v>0</x:v>
      </x:c>
    </x:row>
    <x:row r="680" ht="36" customHeight="1">
      <x:c r="A680" s="8" t="str">
        <x:v>Cash-first</x:v>
      </x:c>
      <x:c r="B680" s="8" t="str">
        <x:v>Severe margin</x:v>
      </x:c>
      <x:c r="C680" s="8" t="str">
        <x:v>Atlas notes</x:v>
      </x:c>
      <x:c r="D680" s="22" t="n">
        <x:v>1</x:v>
      </x:c>
      <x:c r="E680" s="8" t="n">
        <x:v>900</x:v>
      </x:c>
      <x:c r="F680" s="23" t="n">
        <x:v>0.038</x:v>
      </x:c>
      <x:c r="G680" s="8" t="n">
        <x:v>34.199999999999996</x:v>
      </x:c>
      <x:c r="H680" s="8" t="n">
        <x:v>0</x:v>
      </x:c>
      <x:c r="I680" s="8" t="n">
        <x:v>0</x:v>
      </x:c>
      <x:c r="J680" s="8" t="n">
        <x:v>0</x:v>
      </x:c>
      <x:c r="K680" s="8" t="n">
        <x:v>0</x:v>
      </x:c>
      <x:c r="L680" s="8" t="n">
        <x:v>0</x:v>
      </x:c>
      <x:c r="M680" s="21" t="n">
        <x:f>E680+K680-I680-J680-L680</x:f>
        <x:v>900</x:v>
      </x:c>
    </x:row>
    <x:row r="681" ht="36" customHeight="1">
      <x:c r="A681" s="8" t="str">
        <x:v>Cash-first</x:v>
      </x:c>
      <x:c r="B681" s="8" t="str">
        <x:v>Severe margin</x:v>
      </x:c>
      <x:c r="C681" s="8" t="str">
        <x:v>Atlas finance lease</x:v>
      </x:c>
      <x:c r="D681" s="22" t="n">
        <x:v>1</x:v>
      </x:c>
      <x:c r="E681" s="8" t="n">
        <x:v>80</x:v>
      </x:c>
      <x:c r="F681" s="23" t="n">
        <x:v>0.05</x:v>
      </x:c>
      <x:c r="G681" s="8" t="n">
        <x:v>4</x:v>
      </x:c>
      <x:c r="H681" s="8" t="n">
        <x:v>16</x:v>
      </x:c>
      <x:c r="I681" s="8" t="n">
        <x:v>16</x:v>
      </x:c>
      <x:c r="J681" s="8" t="n">
        <x:v>0</x:v>
      </x:c>
      <x:c r="K681" s="8" t="n">
        <x:v>0</x:v>
      </x:c>
      <x:c r="L681" s="8" t="n">
        <x:v>0</x:v>
      </x:c>
      <x:c r="M681" s="21" t="n">
        <x:f>E681+K681-I681-J681-L681</x:f>
        <x:v>64</x:v>
      </x:c>
    </x:row>
    <x:row r="682" ht="36" customHeight="1">
      <x:c r="A682" s="8" t="str">
        <x:v>Cash-first</x:v>
      </x:c>
      <x:c r="B682" s="8" t="str">
        <x:v>Severe margin</x:v>
      </x:c>
      <x:c r="C682" s="8" t="str">
        <x:v>Beacon notes</x:v>
      </x:c>
      <x:c r="D682" s="22" t="n">
        <x:v>1</x:v>
      </x:c>
      <x:c r="E682" s="8" t="n">
        <x:v>350</x:v>
      </x:c>
      <x:c r="F682" s="23" t="n">
        <x:v>0.0475</x:v>
      </x:c>
      <x:c r="G682" s="8" t="n">
        <x:v>16.625</x:v>
      </x:c>
      <x:c r="H682" s="8" t="n">
        <x:v>0</x:v>
      </x:c>
      <x:c r="I682" s="8" t="n">
        <x:v>0</x:v>
      </x:c>
      <x:c r="J682" s="8" t="n">
        <x:v>0</x:v>
      </x:c>
      <x:c r="K682" s="8" t="n">
        <x:v>0</x:v>
      </x:c>
      <x:c r="L682" s="8" t="n">
        <x:v>0</x:v>
      </x:c>
      <x:c r="M682" s="21" t="n">
        <x:f>E682+K682-I682-J682-L682</x:f>
        <x:v>350</x:v>
      </x:c>
    </x:row>
    <x:row r="683" ht="36" customHeight="1">
      <x:c r="A683" s="8" t="str">
        <x:v>Cash-first</x:v>
      </x:c>
      <x:c r="B683" s="8" t="str">
        <x:v>Severe margin</x:v>
      </x:c>
      <x:c r="C683" s="8" t="str">
        <x:v>Acquisition term</x:v>
      </x:c>
      <x:c r="D683" s="22" t="n">
        <x:v>1</x:v>
      </x:c>
      <x:c r="E683" s="8" t="n">
        <x:v>1340.1015228426397</x:v>
      </x:c>
      <x:c r="F683" s="23" t="n">
        <x:v>0.065</x:v>
      </x:c>
      <x:c r="G683" s="8" t="n">
        <x:v>87.10659898477158</x:v>
      </x:c>
      <x:c r="H683" s="8" t="n">
        <x:v>26.802030456852794</x:v>
      </x:c>
      <x:c r="I683" s="8" t="n">
        <x:v>26.802030456852794</x:v>
      </x:c>
      <x:c r="J683" s="8" t="n">
        <x:v>0</x:v>
      </x:c>
      <x:c r="K683" s="8" t="n">
        <x:v>0</x:v>
      </x:c>
      <x:c r="L683" s="8" t="n">
        <x:v>0</x:v>
      </x:c>
      <x:c r="M683" s="21" t="n">
        <x:f>E683+K683-I683-J683-L683</x:f>
        <x:v>1313.2994923857868</x:v>
      </x:c>
    </x:row>
    <x:row r="684" ht="36" customHeight="1">
      <x:c r="A684" s="8" t="str">
        <x:v>Cash-first</x:v>
      </x:c>
      <x:c r="B684" s="8" t="str">
        <x:v>Severe margin</x:v>
      </x:c>
      <x:c r="C684" s="8" t="str">
        <x:v>Committed revolver</x:v>
      </x:c>
      <x:c r="D684" s="22" t="n">
        <x:v>1</x:v>
      </x:c>
      <x:c r="E684" s="8" t="n">
        <x:v>0</x:v>
      </x:c>
      <x:c r="F684" s="23" t="n">
        <x:v>0.0625</x:v>
      </x:c>
      <x:c r="G684" s="8" t="n">
        <x:v>0</x:v>
      </x:c>
      <x:c r="H684" s="8" t="n">
        <x:v>0</x:v>
      </x:c>
      <x:c r="I684" s="8" t="n">
        <x:v>0</x:v>
      </x:c>
      <x:c r="J684" s="8" t="n">
        <x:v>0</x:v>
      </x:c>
      <x:c r="K684" s="8" t="n">
        <x:v>25.774873531047547</x:v>
      </x:c>
      <x:c r="L684" s="8" t="n">
        <x:v>0</x:v>
      </x:c>
      <x:c r="M684" s="21" t="n">
        <x:f>E684+K684-I684-J684-L684</x:f>
        <x:v>25.774873531047547</x:v>
      </x:c>
    </x:row>
    <x:row r="685" ht="36" customHeight="1">
      <x:c r="A685" s="8" t="str">
        <x:v>Cash-first</x:v>
      </x:c>
      <x:c r="B685" s="8" t="str">
        <x:v>Severe margin</x:v>
      </x:c>
      <x:c r="C685" s="8" t="str">
        <x:v>Atlas notes</x:v>
      </x:c>
      <x:c r="D685" s="22" t="n">
        <x:v>2</x:v>
      </x:c>
      <x:c r="E685" s="8" t="n">
        <x:v>900</x:v>
      </x:c>
      <x:c r="F685" s="23" t="n">
        <x:v>0.038</x:v>
      </x:c>
      <x:c r="G685" s="8" t="n">
        <x:v>34.199999999999996</x:v>
      </x:c>
      <x:c r="H685" s="8" t="n">
        <x:v>0</x:v>
      </x:c>
      <x:c r="I685" s="8" t="n">
        <x:v>0</x:v>
      </x:c>
      <x:c r="J685" s="8" t="n">
        <x:v>0</x:v>
      </x:c>
      <x:c r="K685" s="8" t="n">
        <x:v>0</x:v>
      </x:c>
      <x:c r="L685" s="8" t="n">
        <x:v>0</x:v>
      </x:c>
      <x:c r="M685" s="21" t="n">
        <x:f>E685+K685-I685-J685-L685</x:f>
        <x:v>900</x:v>
      </x:c>
    </x:row>
    <x:row r="686" ht="36" customHeight="1">
      <x:c r="A686" s="8" t="str">
        <x:v>Cash-first</x:v>
      </x:c>
      <x:c r="B686" s="8" t="str">
        <x:v>Severe margin</x:v>
      </x:c>
      <x:c r="C686" s="8" t="str">
        <x:v>Atlas finance lease</x:v>
      </x:c>
      <x:c r="D686" s="22" t="n">
        <x:v>2</x:v>
      </x:c>
      <x:c r="E686" s="8" t="n">
        <x:v>64</x:v>
      </x:c>
      <x:c r="F686" s="23" t="n">
        <x:v>0.05</x:v>
      </x:c>
      <x:c r="G686" s="8" t="n">
        <x:v>3.2</x:v>
      </x:c>
      <x:c r="H686" s="8" t="n">
        <x:v>16</x:v>
      </x:c>
      <x:c r="I686" s="8" t="n">
        <x:v>16</x:v>
      </x:c>
      <x:c r="J686" s="8" t="n">
        <x:v>0</x:v>
      </x:c>
      <x:c r="K686" s="8" t="n">
        <x:v>0</x:v>
      </x:c>
      <x:c r="L686" s="8" t="n">
        <x:v>0</x:v>
      </x:c>
      <x:c r="M686" s="21" t="n">
        <x:f>E686+K686-I686-J686-L686</x:f>
        <x:v>48</x:v>
      </x:c>
    </x:row>
    <x:row r="687" ht="36" customHeight="1">
      <x:c r="A687" s="8" t="str">
        <x:v>Cash-first</x:v>
      </x:c>
      <x:c r="B687" s="8" t="str">
        <x:v>Severe margin</x:v>
      </x:c>
      <x:c r="C687" s="8" t="str">
        <x:v>Beacon notes</x:v>
      </x:c>
      <x:c r="D687" s="22" t="n">
        <x:v>2</x:v>
      </x:c>
      <x:c r="E687" s="8" t="n">
        <x:v>350</x:v>
      </x:c>
      <x:c r="F687" s="23" t="n">
        <x:v>0.0475</x:v>
      </x:c>
      <x:c r="G687" s="8" t="n">
        <x:v>16.625</x:v>
      </x:c>
      <x:c r="H687" s="8" t="n">
        <x:v>0</x:v>
      </x:c>
      <x:c r="I687" s="8" t="n">
        <x:v>0</x:v>
      </x:c>
      <x:c r="J687" s="8" t="n">
        <x:v>0</x:v>
      </x:c>
      <x:c r="K687" s="8" t="n">
        <x:v>0</x:v>
      </x:c>
      <x:c r="L687" s="8" t="n">
        <x:v>0</x:v>
      </x:c>
      <x:c r="M687" s="21" t="n">
        <x:f>E687+K687-I687-J687-L687</x:f>
        <x:v>350</x:v>
      </x:c>
    </x:row>
    <x:row r="688" ht="36" customHeight="1">
      <x:c r="A688" s="8" t="str">
        <x:v>Cash-first</x:v>
      </x:c>
      <x:c r="B688" s="8" t="str">
        <x:v>Severe margin</x:v>
      </x:c>
      <x:c r="C688" s="8" t="str">
        <x:v>Acquisition term</x:v>
      </x:c>
      <x:c r="D688" s="22" t="n">
        <x:v>2</x:v>
      </x:c>
      <x:c r="E688" s="8" t="n">
        <x:v>1313.2994923857868</x:v>
      </x:c>
      <x:c r="F688" s="23" t="n">
        <x:v>0.0625</x:v>
      </x:c>
      <x:c r="G688" s="8" t="n">
        <x:v>82.08121827411168</x:v>
      </x:c>
      <x:c r="H688" s="8" t="n">
        <x:v>26.802030456852794</x:v>
      </x:c>
      <x:c r="I688" s="8" t="n">
        <x:v>26.802030456852794</x:v>
      </x:c>
      <x:c r="J688" s="8" t="n">
        <x:v>51.98367173049439</x:v>
      </x:c>
      <x:c r="K688" s="8" t="n">
        <x:v>0</x:v>
      </x:c>
      <x:c r="L688" s="8" t="n">
        <x:v>0</x:v>
      </x:c>
      <x:c r="M688" s="21" t="n">
        <x:f>E688+K688-I688-J688-L688</x:f>
        <x:v>1234.5137901984394</x:v>
      </x:c>
    </x:row>
    <x:row r="689" ht="36" customHeight="1">
      <x:c r="A689" s="8" t="str">
        <x:v>Cash-first</x:v>
      </x:c>
      <x:c r="B689" s="8" t="str">
        <x:v>Severe margin</x:v>
      </x:c>
      <x:c r="C689" s="8" t="str">
        <x:v>Committed revolver</x:v>
      </x:c>
      <x:c r="D689" s="22" t="n">
        <x:v>2</x:v>
      </x:c>
      <x:c r="E689" s="8" t="n">
        <x:v>25.774873531047547</x:v>
      </x:c>
      <x:c r="F689" s="23" t="n">
        <x:v>0.06</x:v>
      </x:c>
      <x:c r="G689" s="8" t="n">
        <x:v>1.5464924118628527</x:v>
      </x:c>
      <x:c r="H689" s="8" t="n">
        <x:v>0</x:v>
      </x:c>
      <x:c r="I689" s="8" t="n">
        <x:v>0</x:v>
      </x:c>
      <x:c r="J689" s="8" t="n">
        <x:v>25.774873531047547</x:v>
      </x:c>
      <x:c r="K689" s="8" t="n">
        <x:v>0</x:v>
      </x:c>
      <x:c r="L689" s="8" t="n">
        <x:v>0</x:v>
      </x:c>
      <x:c r="M689" s="21" t="n">
        <x:f>E689+K689-I689-J689-L689</x:f>
        <x:v>0</x:v>
      </x:c>
    </x:row>
    <x:row r="690" ht="36" customHeight="1">
      <x:c r="A690" s="8" t="str">
        <x:v>Cash-first</x:v>
      </x:c>
      <x:c r="B690" s="8" t="str">
        <x:v>Severe margin</x:v>
      </x:c>
      <x:c r="C690" s="8" t="str">
        <x:v>Atlas notes</x:v>
      </x:c>
      <x:c r="D690" s="22" t="n">
        <x:v>3</x:v>
      </x:c>
      <x:c r="E690" s="8" t="n">
        <x:v>900</x:v>
      </x:c>
      <x:c r="F690" s="23" t="n">
        <x:v>0.038</x:v>
      </x:c>
      <x:c r="G690" s="8" t="n">
        <x:v>34.199999999999996</x:v>
      </x:c>
      <x:c r="H690" s="8" t="n">
        <x:v>0</x:v>
      </x:c>
      <x:c r="I690" s="8" t="n">
        <x:v>0</x:v>
      </x:c>
      <x:c r="J690" s="8" t="n">
        <x:v>0</x:v>
      </x:c>
      <x:c r="K690" s="8" t="n">
        <x:v>0</x:v>
      </x:c>
      <x:c r="L690" s="8" t="n">
        <x:v>0</x:v>
      </x:c>
      <x:c r="M690" s="21" t="n">
        <x:f>E690+K690-I690-J690-L690</x:f>
        <x:v>900</x:v>
      </x:c>
    </x:row>
    <x:row r="691" ht="36" customHeight="1">
      <x:c r="A691" s="8" t="str">
        <x:v>Cash-first</x:v>
      </x:c>
      <x:c r="B691" s="8" t="str">
        <x:v>Severe margin</x:v>
      </x:c>
      <x:c r="C691" s="8" t="str">
        <x:v>Atlas finance lease</x:v>
      </x:c>
      <x:c r="D691" s="22" t="n">
        <x:v>3</x:v>
      </x:c>
      <x:c r="E691" s="8" t="n">
        <x:v>48</x:v>
      </x:c>
      <x:c r="F691" s="23" t="n">
        <x:v>0.05</x:v>
      </x:c>
      <x:c r="G691" s="8" t="n">
        <x:v>2.4000000000000004</x:v>
      </x:c>
      <x:c r="H691" s="8" t="n">
        <x:v>16</x:v>
      </x:c>
      <x:c r="I691" s="8" t="n">
        <x:v>16</x:v>
      </x:c>
      <x:c r="J691" s="8" t="n">
        <x:v>0</x:v>
      </x:c>
      <x:c r="K691" s="8" t="n">
        <x:v>0</x:v>
      </x:c>
      <x:c r="L691" s="8" t="n">
        <x:v>0</x:v>
      </x:c>
      <x:c r="M691" s="21" t="n">
        <x:f>E691+K691-I691-J691-L691</x:f>
        <x:v>32</x:v>
      </x:c>
    </x:row>
    <x:row r="692" ht="36" customHeight="1">
      <x:c r="A692" s="8" t="str">
        <x:v>Cash-first</x:v>
      </x:c>
      <x:c r="B692" s="8" t="str">
        <x:v>Severe margin</x:v>
      </x:c>
      <x:c r="C692" s="8" t="str">
        <x:v>Beacon notes</x:v>
      </x:c>
      <x:c r="D692" s="22" t="n">
        <x:v>3</x:v>
      </x:c>
      <x:c r="E692" s="8" t="n">
        <x:v>350</x:v>
      </x:c>
      <x:c r="F692" s="23" t="n">
        <x:v>0.0475</x:v>
      </x:c>
      <x:c r="G692" s="8" t="n">
        <x:v>16.625</x:v>
      </x:c>
      <x:c r="H692" s="8" t="n">
        <x:v>350</x:v>
      </x:c>
      <x:c r="I692" s="8" t="n">
        <x:v>350</x:v>
      </x:c>
      <x:c r="J692" s="8" t="n">
        <x:v>0</x:v>
      </x:c>
      <x:c r="K692" s="8" t="n">
        <x:v>0</x:v>
      </x:c>
      <x:c r="L692" s="8" t="n">
        <x:v>0</x:v>
      </x:c>
      <x:c r="M692" s="21" t="n">
        <x:f>E692+K692-I692-J692-L692</x:f>
        <x:v>0</x:v>
      </x:c>
    </x:row>
    <x:row r="693" ht="36" customHeight="1">
      <x:c r="A693" s="8" t="str">
        <x:v>Cash-first</x:v>
      </x:c>
      <x:c r="B693" s="8" t="str">
        <x:v>Severe margin</x:v>
      </x:c>
      <x:c r="C693" s="8" t="str">
        <x:v>Acquisition term</x:v>
      </x:c>
      <x:c r="D693" s="22" t="n">
        <x:v>3</x:v>
      </x:c>
      <x:c r="E693" s="8" t="n">
        <x:v>1234.5137901984394</x:v>
      </x:c>
      <x:c r="F693" s="23" t="n">
        <x:v>0.060000000000000005</x:v>
      </x:c>
      <x:c r="G693" s="8" t="n">
        <x:v>74.07082741190638</x:v>
      </x:c>
      <x:c r="H693" s="8" t="n">
        <x:v>26.802030456852794</x:v>
      </x:c>
      <x:c r="I693" s="8" t="n">
        <x:v>26.802030456852794</x:v>
      </x:c>
      <x:c r="J693" s="8" t="n">
        <x:v>0</x:v>
      </x:c>
      <x:c r="K693" s="8" t="n">
        <x:v>0</x:v>
      </x:c>
      <x:c r="L693" s="8" t="n">
        <x:v>0</x:v>
      </x:c>
      <x:c r="M693" s="21" t="n">
        <x:f>E693+K693-I693-J693-L693</x:f>
        <x:v>1207.7117597415865</x:v>
      </x:c>
    </x:row>
    <x:row r="694" ht="36" customHeight="1">
      <x:c r="A694" s="8" t="str">
        <x:v>Cash-first</x:v>
      </x:c>
      <x:c r="B694" s="8" t="str">
        <x:v>Severe margin</x:v>
      </x:c>
      <x:c r="C694" s="8" t="str">
        <x:v>Committed revolver</x:v>
      </x:c>
      <x:c r="D694" s="22" t="n">
        <x:v>3</x:v>
      </x:c>
      <x:c r="E694" s="8" t="n">
        <x:v>0</x:v>
      </x:c>
      <x:c r="F694" s="23" t="n">
        <x:v>0.0575</x:v>
      </x:c>
      <x:c r="G694" s="8" t="n">
        <x:v>0</x:v>
      </x:c>
      <x:c r="H694" s="8" t="n">
        <x:v>0</x:v>
      </x:c>
      <x:c r="I694" s="8" t="n">
        <x:v>0</x:v>
      </x:c>
      <x:c r="J694" s="8" t="n">
        <x:v>0</x:v>
      </x:c>
      <x:c r="K694" s="8" t="n">
        <x:v>174.95230956458522</x:v>
      </x:c>
      <x:c r="L694" s="8" t="n">
        <x:v>0</x:v>
      </x:c>
      <x:c r="M694" s="21" t="n">
        <x:f>E694+K694-I694-J694-L694</x:f>
        <x:v>174.95230956458522</x:v>
      </x:c>
    </x:row>
    <x:row r="695" ht="36" customHeight="1">
      <x:c r="A695" s="8" t="str">
        <x:v>Cash-first</x:v>
      </x:c>
      <x:c r="B695" s="8" t="str">
        <x:v>Severe margin</x:v>
      </x:c>
      <x:c r="C695" s="8" t="str">
        <x:v>Atlas notes</x:v>
      </x:c>
      <x:c r="D695" s="22" t="n">
        <x:v>4</x:v>
      </x:c>
      <x:c r="E695" s="8" t="n">
        <x:v>900</x:v>
      </x:c>
      <x:c r="F695" s="23" t="n">
        <x:v>0.038</x:v>
      </x:c>
      <x:c r="G695" s="8" t="n">
        <x:v>34.199999999999996</x:v>
      </x:c>
      <x:c r="H695" s="8" t="n">
        <x:v>900</x:v>
      </x:c>
      <x:c r="I695" s="8" t="n">
        <x:v>900</x:v>
      </x:c>
      <x:c r="J695" s="8" t="n">
        <x:v>0</x:v>
      </x:c>
      <x:c r="K695" s="8" t="n">
        <x:v>0</x:v>
      </x:c>
      <x:c r="L695" s="8" t="n">
        <x:v>0</x:v>
      </x:c>
      <x:c r="M695" s="21" t="n">
        <x:f>E695+K695-I695-J695-L695</x:f>
        <x:v>0</x:v>
      </x:c>
    </x:row>
    <x:row r="696" ht="36" customHeight="1">
      <x:c r="A696" s="8" t="str">
        <x:v>Cash-first</x:v>
      </x:c>
      <x:c r="B696" s="8" t="str">
        <x:v>Severe margin</x:v>
      </x:c>
      <x:c r="C696" s="8" t="str">
        <x:v>Atlas finance lease</x:v>
      </x:c>
      <x:c r="D696" s="22" t="n">
        <x:v>4</x:v>
      </x:c>
      <x:c r="E696" s="8" t="n">
        <x:v>32</x:v>
      </x:c>
      <x:c r="F696" s="23" t="n">
        <x:v>0.05</x:v>
      </x:c>
      <x:c r="G696" s="8" t="n">
        <x:v>1.6</x:v>
      </x:c>
      <x:c r="H696" s="8" t="n">
        <x:v>16</x:v>
      </x:c>
      <x:c r="I696" s="8" t="n">
        <x:v>16</x:v>
      </x:c>
      <x:c r="J696" s="8" t="n">
        <x:v>0</x:v>
      </x:c>
      <x:c r="K696" s="8" t="n">
        <x:v>0</x:v>
      </x:c>
      <x:c r="L696" s="8" t="n">
        <x:v>0</x:v>
      </x:c>
      <x:c r="M696" s="21" t="n">
        <x:f>E696+K696-I696-J696-L696</x:f>
        <x:v>16</x:v>
      </x:c>
    </x:row>
    <x:row r="697" ht="36" customHeight="1">
      <x:c r="A697" s="8" t="str">
        <x:v>Cash-first</x:v>
      </x:c>
      <x:c r="B697" s="8" t="str">
        <x:v>Severe margin</x:v>
      </x:c>
      <x:c r="C697" s="8" t="str">
        <x:v>Beacon notes</x:v>
      </x:c>
      <x:c r="D697" s="22" t="n">
        <x:v>4</x:v>
      </x:c>
      <x:c r="E697" s="8" t="n">
        <x:v>0</x:v>
      </x:c>
      <x:c r="F697" s="23" t="n">
        <x:v>0.0475</x:v>
      </x:c>
      <x:c r="G697" s="8" t="n">
        <x:v>0</x:v>
      </x:c>
      <x:c r="H697" s="8" t="n">
        <x:v>0</x:v>
      </x:c>
      <x:c r="I697" s="8" t="n">
        <x:v>0</x:v>
      </x:c>
      <x:c r="J697" s="8" t="n">
        <x:v>0</x:v>
      </x:c>
      <x:c r="K697" s="8" t="n">
        <x:v>0</x:v>
      </x:c>
      <x:c r="L697" s="8" t="n">
        <x:v>0</x:v>
      </x:c>
      <x:c r="M697" s="21" t="n">
        <x:f>E697+K697-I697-J697-L697</x:f>
        <x:v>0</x:v>
      </x:c>
    </x:row>
    <x:row r="698" ht="36" customHeight="1">
      <x:c r="A698" s="8" t="str">
        <x:v>Cash-first</x:v>
      </x:c>
      <x:c r="B698" s="8" t="str">
        <x:v>Severe margin</x:v>
      </x:c>
      <x:c r="C698" s="8" t="str">
        <x:v>Acquisition term</x:v>
      </x:c>
      <x:c r="D698" s="22" t="n">
        <x:v>4</x:v>
      </x:c>
      <x:c r="E698" s="8" t="n">
        <x:v>1207.7117597415865</x:v>
      </x:c>
      <x:c r="F698" s="23" t="n">
        <x:v>0.060000000000000005</x:v>
      </x:c>
      <x:c r="G698" s="8" t="n">
        <x:v>72.4627055844952</x:v>
      </x:c>
      <x:c r="H698" s="8" t="n">
        <x:v>26.802030456852794</x:v>
      </x:c>
      <x:c r="I698" s="8" t="n">
        <x:v>26.802030456852794</x:v>
      </x:c>
      <x:c r="J698" s="8" t="n">
        <x:v>0</x:v>
      </x:c>
      <x:c r="K698" s="8" t="n">
        <x:v>0</x:v>
      </x:c>
      <x:c r="L698" s="8" t="n">
        <x:v>0</x:v>
      </x:c>
      <x:c r="M698" s="21" t="n">
        <x:f>E698+K698-I698-J698-L698</x:f>
        <x:v>1180.9097292847337</x:v>
      </x:c>
    </x:row>
    <x:row r="699" ht="36" customHeight="1">
      <x:c r="A699" s="8" t="str">
        <x:v>Cash-first</x:v>
      </x:c>
      <x:c r="B699" s="8" t="str">
        <x:v>Severe margin</x:v>
      </x:c>
      <x:c r="C699" s="8" t="str">
        <x:v>Committed revolver</x:v>
      </x:c>
      <x:c r="D699" s="22" t="n">
        <x:v>4</x:v>
      </x:c>
      <x:c r="E699" s="8" t="n">
        <x:v>174.95230956458522</x:v>
      </x:c>
      <x:c r="F699" s="23" t="n">
        <x:v>0.0575</x:v>
      </x:c>
      <x:c r="G699" s="8" t="n">
        <x:v>10.05975779996365</x:v>
      </x:c>
      <x:c r="H699" s="8" t="n">
        <x:v>0</x:v>
      </x:c>
      <x:c r="I699" s="8" t="n">
        <x:v>0</x:v>
      </x:c>
      <x:c r="J699" s="8" t="n">
        <x:v>0</x:v>
      </x:c>
      <x:c r="K699" s="8" t="n">
        <x:v>455.0476904354148</x:v>
      </x:c>
      <x:c r="L699" s="8" t="n">
        <x:v>0</x:v>
      </x:c>
      <x:c r="M699" s="21" t="n">
        <x:f>E699+K699-I699-J699-L699</x:f>
        <x:v>630</x:v>
      </x:c>
    </x:row>
    <x:row r="700" ht="36" customHeight="1">
      <x:c r="A700" s="8" t="str">
        <x:v>Cash-first</x:v>
      </x:c>
      <x:c r="B700" s="8" t="str">
        <x:v>Severe margin</x:v>
      </x:c>
      <x:c r="C700" s="8" t="str">
        <x:v>Atlas notes</x:v>
      </x:c>
      <x:c r="D700" s="22" t="n">
        <x:v>5</x:v>
      </x:c>
      <x:c r="E700" s="8" t="n">
        <x:v>0</x:v>
      </x:c>
      <x:c r="F700" s="23" t="n">
        <x:v>0.038</x:v>
      </x:c>
      <x:c r="G700" s="8" t="n">
        <x:v>0</x:v>
      </x:c>
      <x:c r="H700" s="8" t="n">
        <x:v>0</x:v>
      </x:c>
      <x:c r="I700" s="8" t="n">
        <x:v>0</x:v>
      </x:c>
      <x:c r="J700" s="8" t="n">
        <x:v>0</x:v>
      </x:c>
      <x:c r="K700" s="8" t="n">
        <x:v>0</x:v>
      </x:c>
      <x:c r="L700" s="8" t="n">
        <x:v>0</x:v>
      </x:c>
      <x:c r="M700" s="21" t="n">
        <x:f>E700+K700-I700-J700-L700</x:f>
        <x:v>0</x:v>
      </x:c>
    </x:row>
    <x:row r="701" ht="36" customHeight="1">
      <x:c r="A701" s="8" t="str">
        <x:v>Cash-first</x:v>
      </x:c>
      <x:c r="B701" s="8" t="str">
        <x:v>Severe margin</x:v>
      </x:c>
      <x:c r="C701" s="8" t="str">
        <x:v>Atlas finance lease</x:v>
      </x:c>
      <x:c r="D701" s="22" t="n">
        <x:v>5</x:v>
      </x:c>
      <x:c r="E701" s="8" t="n">
        <x:v>16</x:v>
      </x:c>
      <x:c r="F701" s="23" t="n">
        <x:v>0.05</x:v>
      </x:c>
      <x:c r="G701" s="8" t="n">
        <x:v>0.8</x:v>
      </x:c>
      <x:c r="H701" s="8" t="n">
        <x:v>16</x:v>
      </x:c>
      <x:c r="I701" s="8" t="n">
        <x:v>16</x:v>
      </x:c>
      <x:c r="J701" s="8" t="n">
        <x:v>0</x:v>
      </x:c>
      <x:c r="K701" s="8" t="n">
        <x:v>0</x:v>
      </x:c>
      <x:c r="L701" s="8" t="n">
        <x:v>0</x:v>
      </x:c>
      <x:c r="M701" s="21" t="n">
        <x:f>E701+K701-I701-J701-L701</x:f>
        <x:v>0</x:v>
      </x:c>
    </x:row>
    <x:row r="702" ht="36" customHeight="1">
      <x:c r="A702" s="8" t="str">
        <x:v>Cash-first</x:v>
      </x:c>
      <x:c r="B702" s="8" t="str">
        <x:v>Severe margin</x:v>
      </x:c>
      <x:c r="C702" s="8" t="str">
        <x:v>Beacon notes</x:v>
      </x:c>
      <x:c r="D702" s="22" t="n">
        <x:v>5</x:v>
      </x:c>
      <x:c r="E702" s="8" t="n">
        <x:v>0</x:v>
      </x:c>
      <x:c r="F702" s="23" t="n">
        <x:v>0.0475</x:v>
      </x:c>
      <x:c r="G702" s="8" t="n">
        <x:v>0</x:v>
      </x:c>
      <x:c r="H702" s="8" t="n">
        <x:v>0</x:v>
      </x:c>
      <x:c r="I702" s="8" t="n">
        <x:v>0</x:v>
      </x:c>
      <x:c r="J702" s="8" t="n">
        <x:v>0</x:v>
      </x:c>
      <x:c r="K702" s="8" t="n">
        <x:v>0</x:v>
      </x:c>
      <x:c r="L702" s="8" t="n">
        <x:v>0</x:v>
      </x:c>
      <x:c r="M702" s="21" t="n">
        <x:f>E702+K702-I702-J702-L702</x:f>
        <x:v>0</x:v>
      </x:c>
    </x:row>
    <x:row r="703" ht="36" customHeight="1">
      <x:c r="A703" s="8" t="str">
        <x:v>Cash-first</x:v>
      </x:c>
      <x:c r="B703" s="8" t="str">
        <x:v>Severe margin</x:v>
      </x:c>
      <x:c r="C703" s="8" t="str">
        <x:v>Acquisition term</x:v>
      </x:c>
      <x:c r="D703" s="22" t="n">
        <x:v>5</x:v>
      </x:c>
      <x:c r="E703" s="8" t="n">
        <x:v>1180.9097292847337</x:v>
      </x:c>
      <x:c r="F703" s="23" t="n">
        <x:v>0.060000000000000005</x:v>
      </x:c>
      <x:c r="G703" s="8" t="n">
        <x:v>70.85458375708403</x:v>
      </x:c>
      <x:c r="H703" s="8" t="n">
        <x:v>1180.9097292847337</x:v>
      </x:c>
      <x:c r="I703" s="8" t="n">
        <x:v>804.4983696102946</x:v>
      </x:c>
      <x:c r="J703" s="8" t="n">
        <x:v>0</x:v>
      </x:c>
      <x:c r="K703" s="8" t="n">
        <x:v>0</x:v>
      </x:c>
      <x:c r="L703" s="8" t="n">
        <x:v>0</x:v>
      </x:c>
      <x:c r="M703" s="21" t="n">
        <x:f>E703+K703-I703-J703-L703</x:f>
        <x:v>376.41135967443904</x:v>
      </x:c>
    </x:row>
    <x:row r="704" ht="36" customHeight="1">
      <x:c r="A704" s="8" t="str">
        <x:v>Cash-first</x:v>
      </x:c>
      <x:c r="B704" s="8" t="str">
        <x:v>Severe margin</x:v>
      </x:c>
      <x:c r="C704" s="8" t="str">
        <x:v>Committed revolver</x:v>
      </x:c>
      <x:c r="D704" s="22" t="n">
        <x:v>5</x:v>
      </x:c>
      <x:c r="E704" s="8" t="n">
        <x:v>630</x:v>
      </x:c>
      <x:c r="F704" s="23" t="n">
        <x:v>0.0575</x:v>
      </x:c>
      <x:c r="G704" s="8" t="n">
        <x:v>36.225</x:v>
      </x:c>
      <x:c r="H704" s="8" t="n">
        <x:v>630</x:v>
      </x:c>
      <x:c r="I704" s="8" t="n">
        <x:v>0</x:v>
      </x:c>
      <x:c r="J704" s="8" t="n">
        <x:v>0</x:v>
      </x:c>
      <x:c r="K704" s="8" t="n">
        <x:v>0</x:v>
      </x:c>
      <x:c r="L704" s="8" t="n">
        <x:v>0</x:v>
      </x:c>
      <x:c r="M704" s="21" t="n">
        <x:f>E704+K704-I704-J704-L704</x:f>
        <x:v>630</x:v>
      </x:c>
    </x:row>
    <x:row r="705" ht="36" customHeight="1">
      <x:c r="A705" s="8" t="str">
        <x:v>Liquidity-first</x:v>
      </x:c>
      <x:c r="B705" s="8" t="str">
        <x:v>Severe margin</x:v>
      </x:c>
      <x:c r="C705" s="8" t="str">
        <x:v>Atlas notes</x:v>
      </x:c>
      <x:c r="D705" s="22" t="n">
        <x:v>1</x:v>
      </x:c>
      <x:c r="E705" s="8" t="n">
        <x:v>900</x:v>
      </x:c>
      <x:c r="F705" s="23" t="n">
        <x:v>0.038</x:v>
      </x:c>
      <x:c r="G705" s="8" t="n">
        <x:v>34.199999999999996</x:v>
      </x:c>
      <x:c r="H705" s="8" t="n">
        <x:v>0</x:v>
      </x:c>
      <x:c r="I705" s="8" t="n">
        <x:v>0</x:v>
      </x:c>
      <x:c r="J705" s="8" t="n">
        <x:v>0</x:v>
      </x:c>
      <x:c r="K705" s="8" t="n">
        <x:v>0</x:v>
      </x:c>
      <x:c r="L705" s="8" t="n">
        <x:v>0</x:v>
      </x:c>
      <x:c r="M705" s="21" t="n">
        <x:f>E705+K705-I705-J705-L705</x:f>
        <x:v>900</x:v>
      </x:c>
    </x:row>
    <x:row r="706" ht="36" customHeight="1">
      <x:c r="A706" s="8" t="str">
        <x:v>Liquidity-first</x:v>
      </x:c>
      <x:c r="B706" s="8" t="str">
        <x:v>Severe margin</x:v>
      </x:c>
      <x:c r="C706" s="8" t="str">
        <x:v>Atlas finance lease</x:v>
      </x:c>
      <x:c r="D706" s="22" t="n">
        <x:v>1</x:v>
      </x:c>
      <x:c r="E706" s="8" t="n">
        <x:v>80</x:v>
      </x:c>
      <x:c r="F706" s="23" t="n">
        <x:v>0.05</x:v>
      </x:c>
      <x:c r="G706" s="8" t="n">
        <x:v>4</x:v>
      </x:c>
      <x:c r="H706" s="8" t="n">
        <x:v>16</x:v>
      </x:c>
      <x:c r="I706" s="8" t="n">
        <x:v>16</x:v>
      </x:c>
      <x:c r="J706" s="8" t="n">
        <x:v>0</x:v>
      </x:c>
      <x:c r="K706" s="8" t="n">
        <x:v>0</x:v>
      </x:c>
      <x:c r="L706" s="8" t="n">
        <x:v>0</x:v>
      </x:c>
      <x:c r="M706" s="21" t="n">
        <x:f>E706+K706-I706-J706-L706</x:f>
        <x:v>64</x:v>
      </x:c>
    </x:row>
    <x:row r="707" ht="36" customHeight="1">
      <x:c r="A707" s="8" t="str">
        <x:v>Liquidity-first</x:v>
      </x:c>
      <x:c r="B707" s="8" t="str">
        <x:v>Severe margin</x:v>
      </x:c>
      <x:c r="C707" s="8" t="str">
        <x:v>Beacon notes</x:v>
      </x:c>
      <x:c r="D707" s="22" t="n">
        <x:v>1</x:v>
      </x:c>
      <x:c r="E707" s="8" t="n">
        <x:v>350</x:v>
      </x:c>
      <x:c r="F707" s="23" t="n">
        <x:v>0.0475</x:v>
      </x:c>
      <x:c r="G707" s="8" t="n">
        <x:v>16.625</x:v>
      </x:c>
      <x:c r="H707" s="8" t="n">
        <x:v>0</x:v>
      </x:c>
      <x:c r="I707" s="8" t="n">
        <x:v>0</x:v>
      </x:c>
      <x:c r="J707" s="8" t="n">
        <x:v>0</x:v>
      </x:c>
      <x:c r="K707" s="8" t="n">
        <x:v>0</x:v>
      </x:c>
      <x:c r="L707" s="8" t="n">
        <x:v>0</x:v>
      </x:c>
      <x:c r="M707" s="21" t="n">
        <x:f>E707+K707-I707-J707-L707</x:f>
        <x:v>350</x:v>
      </x:c>
    </x:row>
    <x:row r="708" ht="36" customHeight="1">
      <x:c r="A708" s="8" t="str">
        <x:v>Liquidity-first</x:v>
      </x:c>
      <x:c r="B708" s="8" t="str">
        <x:v>Severe margin</x:v>
      </x:c>
      <x:c r="C708" s="8" t="str">
        <x:v>Acquisition term</x:v>
      </x:c>
      <x:c r="D708" s="22" t="n">
        <x:v>1</x:v>
      </x:c>
      <x:c r="E708" s="8" t="n">
        <x:v>2223.3502538071066</x:v>
      </x:c>
      <x:c r="F708" s="23" t="n">
        <x:v>0.065</x:v>
      </x:c>
      <x:c r="G708" s="8" t="n">
        <x:v>144.51776649746193</x:v>
      </x:c>
      <x:c r="H708" s="8" t="n">
        <x:v>44.46700507614213</x:v>
      </x:c>
      <x:c r="I708" s="8" t="n">
        <x:v>44.46700507614213</x:v>
      </x:c>
      <x:c r="J708" s="8" t="n">
        <x:v>783.5017762151454</x:v>
      </x:c>
      <x:c r="K708" s="8" t="n">
        <x:v>0</x:v>
      </x:c>
      <x:c r="L708" s="8" t="n">
        <x:v>0</x:v>
      </x:c>
      <x:c r="M708" s="21" t="n">
        <x:f>E708+K708-I708-J708-L708</x:f>
        <x:v>1395.3814725158193</x:v>
      </x:c>
    </x:row>
    <x:row r="709" ht="36" customHeight="1">
      <x:c r="A709" s="8" t="str">
        <x:v>Liquidity-first</x:v>
      </x:c>
      <x:c r="B709" s="8" t="str">
        <x:v>Severe margin</x:v>
      </x:c>
      <x:c r="C709" s="8" t="str">
        <x:v>Committed revolver</x:v>
      </x:c>
      <x:c r="D709" s="22" t="n">
        <x:v>1</x:v>
      </x:c>
      <x:c r="E709" s="8" t="n">
        <x:v>0</x:v>
      </x:c>
      <x:c r="F709" s="23" t="n">
        <x:v>0.0625</x:v>
      </x:c>
      <x:c r="G709" s="8" t="n">
        <x:v>0</x:v>
      </x:c>
      <x:c r="H709" s="8" t="n">
        <x:v>0</x:v>
      </x:c>
      <x:c r="I709" s="8" t="n">
        <x:v>0</x:v>
      </x:c>
      <x:c r="J709" s="8" t="n">
        <x:v>0</x:v>
      </x:c>
      <x:c r="K709" s="8" t="n">
        <x:v>0</x:v>
      </x:c>
      <x:c r="L709" s="8" t="n">
        <x:v>0</x:v>
      </x:c>
      <x:c r="M709" s="21" t="n">
        <x:f>E709+K709-I709-J709-L709</x:f>
        <x:v>0</x:v>
      </x:c>
    </x:row>
    <x:row r="710" ht="36" customHeight="1">
      <x:c r="A710" s="8" t="str">
        <x:v>Liquidity-first</x:v>
      </x:c>
      <x:c r="B710" s="8" t="str">
        <x:v>Severe margin</x:v>
      </x:c>
      <x:c r="C710" s="8" t="str">
        <x:v>Atlas notes</x:v>
      </x:c>
      <x:c r="D710" s="22" t="n">
        <x:v>2</x:v>
      </x:c>
      <x:c r="E710" s="8" t="n">
        <x:v>900</x:v>
      </x:c>
      <x:c r="F710" s="23" t="n">
        <x:v>0.038</x:v>
      </x:c>
      <x:c r="G710" s="8" t="n">
        <x:v>34.199999999999996</x:v>
      </x:c>
      <x:c r="H710" s="8" t="n">
        <x:v>0</x:v>
      </x:c>
      <x:c r="I710" s="8" t="n">
        <x:v>0</x:v>
      </x:c>
      <x:c r="J710" s="8" t="n">
        <x:v>0</x:v>
      </x:c>
      <x:c r="K710" s="8" t="n">
        <x:v>0</x:v>
      </x:c>
      <x:c r="L710" s="8" t="n">
        <x:v>0</x:v>
      </x:c>
      <x:c r="M710" s="21" t="n">
        <x:f>E710+K710-I710-J710-L710</x:f>
        <x:v>900</x:v>
      </x:c>
    </x:row>
    <x:row r="711" ht="36" customHeight="1">
      <x:c r="A711" s="8" t="str">
        <x:v>Liquidity-first</x:v>
      </x:c>
      <x:c r="B711" s="8" t="str">
        <x:v>Severe margin</x:v>
      </x:c>
      <x:c r="C711" s="8" t="str">
        <x:v>Atlas finance lease</x:v>
      </x:c>
      <x:c r="D711" s="22" t="n">
        <x:v>2</x:v>
      </x:c>
      <x:c r="E711" s="8" t="n">
        <x:v>64</x:v>
      </x:c>
      <x:c r="F711" s="23" t="n">
        <x:v>0.05</x:v>
      </x:c>
      <x:c r="G711" s="8" t="n">
        <x:v>3.2</x:v>
      </x:c>
      <x:c r="H711" s="8" t="n">
        <x:v>16</x:v>
      </x:c>
      <x:c r="I711" s="8" t="n">
        <x:v>16</x:v>
      </x:c>
      <x:c r="J711" s="8" t="n">
        <x:v>0</x:v>
      </x:c>
      <x:c r="K711" s="8" t="n">
        <x:v>0</x:v>
      </x:c>
      <x:c r="L711" s="8" t="n">
        <x:v>0</x:v>
      </x:c>
      <x:c r="M711" s="21" t="n">
        <x:f>E711+K711-I711-J711-L711</x:f>
        <x:v>48</x:v>
      </x:c>
    </x:row>
    <x:row r="712" ht="36" customHeight="1">
      <x:c r="A712" s="8" t="str">
        <x:v>Liquidity-first</x:v>
      </x:c>
      <x:c r="B712" s="8" t="str">
        <x:v>Severe margin</x:v>
      </x:c>
      <x:c r="C712" s="8" t="str">
        <x:v>Beacon notes</x:v>
      </x:c>
      <x:c r="D712" s="22" t="n">
        <x:v>2</x:v>
      </x:c>
      <x:c r="E712" s="8" t="n">
        <x:v>350</x:v>
      </x:c>
      <x:c r="F712" s="23" t="n">
        <x:v>0.0475</x:v>
      </x:c>
      <x:c r="G712" s="8" t="n">
        <x:v>16.625</x:v>
      </x:c>
      <x:c r="H712" s="8" t="n">
        <x:v>0</x:v>
      </x:c>
      <x:c r="I712" s="8" t="n">
        <x:v>0</x:v>
      </x:c>
      <x:c r="J712" s="8" t="n">
        <x:v>0</x:v>
      </x:c>
      <x:c r="K712" s="8" t="n">
        <x:v>0</x:v>
      </x:c>
      <x:c r="L712" s="8" t="n">
        <x:v>0</x:v>
      </x:c>
      <x:c r="M712" s="21" t="n">
        <x:f>E712+K712-I712-J712-L712</x:f>
        <x:v>350</x:v>
      </x:c>
    </x:row>
    <x:row r="713" ht="36" customHeight="1">
      <x:c r="A713" s="8" t="str">
        <x:v>Liquidity-first</x:v>
      </x:c>
      <x:c r="B713" s="8" t="str">
        <x:v>Severe margin</x:v>
      </x:c>
      <x:c r="C713" s="8" t="str">
        <x:v>Acquisition term</x:v>
      </x:c>
      <x:c r="D713" s="22" t="n">
        <x:v>2</x:v>
      </x:c>
      <x:c r="E713" s="8" t="n">
        <x:v>1395.3814725158193</x:v>
      </x:c>
      <x:c r="F713" s="23" t="n">
        <x:v>0.0625</x:v>
      </x:c>
      <x:c r="G713" s="8" t="n">
        <x:v>87.2113420322387</x:v>
      </x:c>
      <x:c r="H713" s="8" t="n">
        <x:v>44.46700507614213</x:v>
      </x:c>
      <x:c r="I713" s="8" t="n">
        <x:v>44.46700507614213</x:v>
      </x:c>
      <x:c r="J713" s="8" t="n">
        <x:v>57.40584713255453</x:v>
      </x:c>
      <x:c r="K713" s="8" t="n">
        <x:v>0</x:v>
      </x:c>
      <x:c r="L713" s="8" t="n">
        <x:v>0</x:v>
      </x:c>
      <x:c r="M713" s="21" t="n">
        <x:f>E713+K713-I713-J713-L713</x:f>
        <x:v>1293.5086203071226</x:v>
      </x:c>
    </x:row>
    <x:row r="714" ht="36" customHeight="1">
      <x:c r="A714" s="8" t="str">
        <x:v>Liquidity-first</x:v>
      </x:c>
      <x:c r="B714" s="8" t="str">
        <x:v>Severe margin</x:v>
      </x:c>
      <x:c r="C714" s="8" t="str">
        <x:v>Committed revolver</x:v>
      </x:c>
      <x:c r="D714" s="22" t="n">
        <x:v>2</x:v>
      </x:c>
      <x:c r="E714" s="8" t="n">
        <x:v>0</x:v>
      </x:c>
      <x:c r="F714" s="23" t="n">
        <x:v>0.06</x:v>
      </x:c>
      <x:c r="G714" s="8" t="n">
        <x:v>0</x:v>
      </x:c>
      <x:c r="H714" s="8" t="n">
        <x:v>0</x:v>
      </x:c>
      <x:c r="I714" s="8" t="n">
        <x:v>0</x:v>
      </x:c>
      <x:c r="J714" s="8" t="n">
        <x:v>0</x:v>
      </x:c>
      <x:c r="K714" s="8" t="n">
        <x:v>0</x:v>
      </x:c>
      <x:c r="L714" s="8" t="n">
        <x:v>0</x:v>
      </x:c>
      <x:c r="M714" s="21" t="n">
        <x:f>E714+K714-I714-J714-L714</x:f>
        <x:v>0</x:v>
      </x:c>
    </x:row>
    <x:row r="715" ht="36" customHeight="1">
      <x:c r="A715" s="8" t="str">
        <x:v>Liquidity-first</x:v>
      </x:c>
      <x:c r="B715" s="8" t="str">
        <x:v>Severe margin</x:v>
      </x:c>
      <x:c r="C715" s="8" t="str">
        <x:v>Atlas notes</x:v>
      </x:c>
      <x:c r="D715" s="22" t="n">
        <x:v>3</x:v>
      </x:c>
      <x:c r="E715" s="8" t="n">
        <x:v>900</x:v>
      </x:c>
      <x:c r="F715" s="23" t="n">
        <x:v>0.038</x:v>
      </x:c>
      <x:c r="G715" s="8" t="n">
        <x:v>34.199999999999996</x:v>
      </x:c>
      <x:c r="H715" s="8" t="n">
        <x:v>0</x:v>
      </x:c>
      <x:c r="I715" s="8" t="n">
        <x:v>0</x:v>
      </x:c>
      <x:c r="J715" s="8" t="n">
        <x:v>0</x:v>
      </x:c>
      <x:c r="K715" s="8" t="n">
        <x:v>0</x:v>
      </x:c>
      <x:c r="L715" s="8" t="n">
        <x:v>0</x:v>
      </x:c>
      <x:c r="M715" s="21" t="n">
        <x:f>E715+K715-I715-J715-L715</x:f>
        <x:v>900</x:v>
      </x:c>
    </x:row>
    <x:row r="716" ht="36" customHeight="1">
      <x:c r="A716" s="8" t="str">
        <x:v>Liquidity-first</x:v>
      </x:c>
      <x:c r="B716" s="8" t="str">
        <x:v>Severe margin</x:v>
      </x:c>
      <x:c r="C716" s="8" t="str">
        <x:v>Atlas finance lease</x:v>
      </x:c>
      <x:c r="D716" s="22" t="n">
        <x:v>3</x:v>
      </x:c>
      <x:c r="E716" s="8" t="n">
        <x:v>48</x:v>
      </x:c>
      <x:c r="F716" s="23" t="n">
        <x:v>0.05</x:v>
      </x:c>
      <x:c r="G716" s="8" t="n">
        <x:v>2.4000000000000004</x:v>
      </x:c>
      <x:c r="H716" s="8" t="n">
        <x:v>16</x:v>
      </x:c>
      <x:c r="I716" s="8" t="n">
        <x:v>16</x:v>
      </x:c>
      <x:c r="J716" s="8" t="n">
        <x:v>0</x:v>
      </x:c>
      <x:c r="K716" s="8" t="n">
        <x:v>0</x:v>
      </x:c>
      <x:c r="L716" s="8" t="n">
        <x:v>0</x:v>
      </x:c>
      <x:c r="M716" s="21" t="n">
        <x:f>E716+K716-I716-J716-L716</x:f>
        <x:v>32</x:v>
      </x:c>
    </x:row>
    <x:row r="717" ht="36" customHeight="1">
      <x:c r="A717" s="8" t="str">
        <x:v>Liquidity-first</x:v>
      </x:c>
      <x:c r="B717" s="8" t="str">
        <x:v>Severe margin</x:v>
      </x:c>
      <x:c r="C717" s="8" t="str">
        <x:v>Beacon notes</x:v>
      </x:c>
      <x:c r="D717" s="22" t="n">
        <x:v>3</x:v>
      </x:c>
      <x:c r="E717" s="8" t="n">
        <x:v>350</x:v>
      </x:c>
      <x:c r="F717" s="23" t="n">
        <x:v>0.0475</x:v>
      </x:c>
      <x:c r="G717" s="8" t="n">
        <x:v>16.625</x:v>
      </x:c>
      <x:c r="H717" s="8" t="n">
        <x:v>350</x:v>
      </x:c>
      <x:c r="I717" s="8" t="n">
        <x:v>350</x:v>
      </x:c>
      <x:c r="J717" s="8" t="n">
        <x:v>0</x:v>
      </x:c>
      <x:c r="K717" s="8" t="n">
        <x:v>0</x:v>
      </x:c>
      <x:c r="L717" s="8" t="n">
        <x:v>0</x:v>
      </x:c>
      <x:c r="M717" s="21" t="n">
        <x:f>E717+K717-I717-J717-L717</x:f>
        <x:v>0</x:v>
      </x:c>
    </x:row>
    <x:row r="718" ht="36" customHeight="1">
      <x:c r="A718" s="8" t="str">
        <x:v>Liquidity-first</x:v>
      </x:c>
      <x:c r="B718" s="8" t="str">
        <x:v>Severe margin</x:v>
      </x:c>
      <x:c r="C718" s="8" t="str">
        <x:v>Acquisition term</x:v>
      </x:c>
      <x:c r="D718" s="22" t="n">
        <x:v>3</x:v>
      </x:c>
      <x:c r="E718" s="8" t="n">
        <x:v>1293.5086203071226</x:v>
      </x:c>
      <x:c r="F718" s="23" t="n">
        <x:v>0.060000000000000005</x:v>
      </x:c>
      <x:c r="G718" s="8" t="n">
        <x:v>77.61051721842736</x:v>
      </x:c>
      <x:c r="H718" s="8" t="n">
        <x:v>44.46700507614213</x:v>
      </x:c>
      <x:c r="I718" s="8" t="n">
        <x:v>44.46700507614213</x:v>
      </x:c>
      <x:c r="J718" s="8" t="n">
        <x:v>0</x:v>
      </x:c>
      <x:c r="K718" s="8" t="n">
        <x:v>0</x:v>
      </x:c>
      <x:c r="L718" s="8" t="n">
        <x:v>0</x:v>
      </x:c>
      <x:c r="M718" s="21" t="n">
        <x:f>E718+K718-I718-J718-L718</x:f>
        <x:v>1249.0416152309804</x:v>
      </x:c>
    </x:row>
    <x:row r="719" ht="36" customHeight="1">
      <x:c r="A719" s="8" t="str">
        <x:v>Liquidity-first</x:v>
      </x:c>
      <x:c r="B719" s="8" t="str">
        <x:v>Severe margin</x:v>
      </x:c>
      <x:c r="C719" s="8" t="str">
        <x:v>Committed revolver</x:v>
      </x:c>
      <x:c r="D719" s="22" t="n">
        <x:v>3</x:v>
      </x:c>
      <x:c r="E719" s="8" t="n">
        <x:v>0</x:v>
      </x:c>
      <x:c r="F719" s="23" t="n">
        <x:v>0.0575</x:v>
      </x:c>
      <x:c r="G719" s="8" t="n">
        <x:v>0</x:v>
      </x:c>
      <x:c r="H719" s="8" t="n">
        <x:v>0</x:v>
      </x:c>
      <x:c r="I719" s="8" t="n">
        <x:v>0</x:v>
      </x:c>
      <x:c r="J719" s="8" t="n">
        <x:v>0</x:v>
      </x:c>
      <x:c r="K719" s="8" t="n">
        <x:v>195.27205153876548</x:v>
      </x:c>
      <x:c r="L719" s="8" t="n">
        <x:v>0</x:v>
      </x:c>
      <x:c r="M719" s="21" t="n">
        <x:f>E719+K719-I719-J719-L719</x:f>
        <x:v>195.27205153876548</x:v>
      </x:c>
    </x:row>
    <x:row r="720" ht="36" customHeight="1">
      <x:c r="A720" s="8" t="str">
        <x:v>Liquidity-first</x:v>
      </x:c>
      <x:c r="B720" s="8" t="str">
        <x:v>Severe margin</x:v>
      </x:c>
      <x:c r="C720" s="8" t="str">
        <x:v>Atlas notes</x:v>
      </x:c>
      <x:c r="D720" s="22" t="n">
        <x:v>4</x:v>
      </x:c>
      <x:c r="E720" s="8" t="n">
        <x:v>900</x:v>
      </x:c>
      <x:c r="F720" s="23" t="n">
        <x:v>0.038</x:v>
      </x:c>
      <x:c r="G720" s="8" t="n">
        <x:v>34.199999999999996</x:v>
      </x:c>
      <x:c r="H720" s="8" t="n">
        <x:v>900</x:v>
      </x:c>
      <x:c r="I720" s="8" t="n">
        <x:v>900</x:v>
      </x:c>
      <x:c r="J720" s="8" t="n">
        <x:v>0</x:v>
      </x:c>
      <x:c r="K720" s="8" t="n">
        <x:v>0</x:v>
      </x:c>
      <x:c r="L720" s="8" t="n">
        <x:v>0</x:v>
      </x:c>
      <x:c r="M720" s="21" t="n">
        <x:f>E720+K720-I720-J720-L720</x:f>
        <x:v>0</x:v>
      </x:c>
    </x:row>
    <x:row r="721" ht="36" customHeight="1">
      <x:c r="A721" s="8" t="str">
        <x:v>Liquidity-first</x:v>
      </x:c>
      <x:c r="B721" s="8" t="str">
        <x:v>Severe margin</x:v>
      </x:c>
      <x:c r="C721" s="8" t="str">
        <x:v>Atlas finance lease</x:v>
      </x:c>
      <x:c r="D721" s="22" t="n">
        <x:v>4</x:v>
      </x:c>
      <x:c r="E721" s="8" t="n">
        <x:v>32</x:v>
      </x:c>
      <x:c r="F721" s="23" t="n">
        <x:v>0.05</x:v>
      </x:c>
      <x:c r="G721" s="8" t="n">
        <x:v>1.6</x:v>
      </x:c>
      <x:c r="H721" s="8" t="n">
        <x:v>16</x:v>
      </x:c>
      <x:c r="I721" s="8" t="n">
        <x:v>16</x:v>
      </x:c>
      <x:c r="J721" s="8" t="n">
        <x:v>0</x:v>
      </x:c>
      <x:c r="K721" s="8" t="n">
        <x:v>0</x:v>
      </x:c>
      <x:c r="L721" s="8" t="n">
        <x:v>0</x:v>
      </x:c>
      <x:c r="M721" s="21" t="n">
        <x:f>E721+K721-I721-J721-L721</x:f>
        <x:v>16</x:v>
      </x:c>
    </x:row>
    <x:row r="722" ht="36" customHeight="1">
      <x:c r="A722" s="8" t="str">
        <x:v>Liquidity-first</x:v>
      </x:c>
      <x:c r="B722" s="8" t="str">
        <x:v>Severe margin</x:v>
      </x:c>
      <x:c r="C722" s="8" t="str">
        <x:v>Beacon notes</x:v>
      </x:c>
      <x:c r="D722" s="22" t="n">
        <x:v>4</x:v>
      </x:c>
      <x:c r="E722" s="8" t="n">
        <x:v>0</x:v>
      </x:c>
      <x:c r="F722" s="23" t="n">
        <x:v>0.0475</x:v>
      </x:c>
      <x:c r="G722" s="8" t="n">
        <x:v>0</x:v>
      </x:c>
      <x:c r="H722" s="8" t="n">
        <x:v>0</x:v>
      </x:c>
      <x:c r="I722" s="8" t="n">
        <x:v>0</x:v>
      </x:c>
      <x:c r="J722" s="8" t="n">
        <x:v>0</x:v>
      </x:c>
      <x:c r="K722" s="8" t="n">
        <x:v>0</x:v>
      </x:c>
      <x:c r="L722" s="8" t="n">
        <x:v>0</x:v>
      </x:c>
      <x:c r="M722" s="21" t="n">
        <x:f>E722+K722-I722-J722-L722</x:f>
        <x:v>0</x:v>
      </x:c>
    </x:row>
    <x:row r="723" ht="36" customHeight="1">
      <x:c r="A723" s="8" t="str">
        <x:v>Liquidity-first</x:v>
      </x:c>
      <x:c r="B723" s="8" t="str">
        <x:v>Severe margin</x:v>
      </x:c>
      <x:c r="C723" s="8" t="str">
        <x:v>Acquisition term</x:v>
      </x:c>
      <x:c r="D723" s="22" t="n">
        <x:v>4</x:v>
      </x:c>
      <x:c r="E723" s="8" t="n">
        <x:v>1249.0416152309804</x:v>
      </x:c>
      <x:c r="F723" s="23" t="n">
        <x:v>0.060000000000000005</x:v>
      </x:c>
      <x:c r="G723" s="8" t="n">
        <x:v>74.94249691385883</x:v>
      </x:c>
      <x:c r="H723" s="8" t="n">
        <x:v>44.46700507614213</x:v>
      </x:c>
      <x:c r="I723" s="8" t="n">
        <x:v>44.46700507614213</x:v>
      </x:c>
      <x:c r="J723" s="8" t="n">
        <x:v>0</x:v>
      </x:c>
      <x:c r="K723" s="8" t="n">
        <x:v>0</x:v>
      </x:c>
      <x:c r="L723" s="8" t="n">
        <x:v>0</x:v>
      </x:c>
      <x:c r="M723" s="21" t="n">
        <x:f>E723+K723-I723-J723-L723</x:f>
        <x:v>1204.5746101548382</x:v>
      </x:c>
    </x:row>
    <x:row r="724" ht="36" customHeight="1">
      <x:c r="A724" s="8" t="str">
        <x:v>Liquidity-first</x:v>
      </x:c>
      <x:c r="B724" s="8" t="str">
        <x:v>Severe margin</x:v>
      </x:c>
      <x:c r="C724" s="8" t="str">
        <x:v>Committed revolver</x:v>
      </x:c>
      <x:c r="D724" s="22" t="n">
        <x:v>4</x:v>
      </x:c>
      <x:c r="E724" s="8" t="n">
        <x:v>195.27205153876548</x:v>
      </x:c>
      <x:c r="F724" s="23" t="n">
        <x:v>0.0575</x:v>
      </x:c>
      <x:c r="G724" s="8" t="n">
        <x:v>11.228142963479016</x:v>
      </x:c>
      <x:c r="H724" s="8" t="n">
        <x:v>0</x:v>
      </x:c>
      <x:c r="I724" s="8" t="n">
        <x:v>0</x:v>
      </x:c>
      <x:c r="J724" s="8" t="n">
        <x:v>0</x:v>
      </x:c>
      <x:c r="K724" s="8" t="n">
        <x:v>434.7279484612345</x:v>
      </x:c>
      <x:c r="L724" s="8" t="n">
        <x:v>0</x:v>
      </x:c>
      <x:c r="M724" s="21" t="n">
        <x:f>E724+K724-I724-J724-L724</x:f>
        <x:v>630</x:v>
      </x:c>
    </x:row>
    <x:row r="725" ht="36" customHeight="1">
      <x:c r="A725" s="8" t="str">
        <x:v>Liquidity-first</x:v>
      </x:c>
      <x:c r="B725" s="8" t="str">
        <x:v>Severe margin</x:v>
      </x:c>
      <x:c r="C725" s="8" t="str">
        <x:v>Atlas notes</x:v>
      </x:c>
      <x:c r="D725" s="22" t="n">
        <x:v>5</x:v>
      </x:c>
      <x:c r="E725" s="8" t="n">
        <x:v>0</x:v>
      </x:c>
      <x:c r="F725" s="23" t="n">
        <x:v>0.038</x:v>
      </x:c>
      <x:c r="G725" s="8" t="n">
        <x:v>0</x:v>
      </x:c>
      <x:c r="H725" s="8" t="n">
        <x:v>0</x:v>
      </x:c>
      <x:c r="I725" s="8" t="n">
        <x:v>0</x:v>
      </x:c>
      <x:c r="J725" s="8" t="n">
        <x:v>0</x:v>
      </x:c>
      <x:c r="K725" s="8" t="n">
        <x:v>0</x:v>
      </x:c>
      <x:c r="L725" s="8" t="n">
        <x:v>0</x:v>
      </x:c>
      <x:c r="M725" s="21" t="n">
        <x:f>E725+K725-I725-J725-L725</x:f>
        <x:v>0</x:v>
      </x:c>
    </x:row>
    <x:row r="726" ht="36" customHeight="1">
      <x:c r="A726" s="8" t="str">
        <x:v>Liquidity-first</x:v>
      </x:c>
      <x:c r="B726" s="8" t="str">
        <x:v>Severe margin</x:v>
      </x:c>
      <x:c r="C726" s="8" t="str">
        <x:v>Atlas finance lease</x:v>
      </x:c>
      <x:c r="D726" s="22" t="n">
        <x:v>5</x:v>
      </x:c>
      <x:c r="E726" s="8" t="n">
        <x:v>16</x:v>
      </x:c>
      <x:c r="F726" s="23" t="n">
        <x:v>0.05</x:v>
      </x:c>
      <x:c r="G726" s="8" t="n">
        <x:v>0.8</x:v>
      </x:c>
      <x:c r="H726" s="8" t="n">
        <x:v>16</x:v>
      </x:c>
      <x:c r="I726" s="8" t="n">
        <x:v>16</x:v>
      </x:c>
      <x:c r="J726" s="8" t="n">
        <x:v>0</x:v>
      </x:c>
      <x:c r="K726" s="8" t="n">
        <x:v>0</x:v>
      </x:c>
      <x:c r="L726" s="8" t="n">
        <x:v>0</x:v>
      </x:c>
      <x:c r="M726" s="21" t="n">
        <x:f>E726+K726-I726-J726-L726</x:f>
        <x:v>0</x:v>
      </x:c>
    </x:row>
    <x:row r="727" ht="36" customHeight="1">
      <x:c r="A727" s="8" t="str">
        <x:v>Liquidity-first</x:v>
      </x:c>
      <x:c r="B727" s="8" t="str">
        <x:v>Severe margin</x:v>
      </x:c>
      <x:c r="C727" s="8" t="str">
        <x:v>Beacon notes</x:v>
      </x:c>
      <x:c r="D727" s="22" t="n">
        <x:v>5</x:v>
      </x:c>
      <x:c r="E727" s="8" t="n">
        <x:v>0</x:v>
      </x:c>
      <x:c r="F727" s="23" t="n">
        <x:v>0.0475</x:v>
      </x:c>
      <x:c r="G727" s="8" t="n">
        <x:v>0</x:v>
      </x:c>
      <x:c r="H727" s="8" t="n">
        <x:v>0</x:v>
      </x:c>
      <x:c r="I727" s="8" t="n">
        <x:v>0</x:v>
      </x:c>
      <x:c r="J727" s="8" t="n">
        <x:v>0</x:v>
      </x:c>
      <x:c r="K727" s="8" t="n">
        <x:v>0</x:v>
      </x:c>
      <x:c r="L727" s="8" t="n">
        <x:v>0</x:v>
      </x:c>
      <x:c r="M727" s="21" t="n">
        <x:f>E727+K727-I727-J727-L727</x:f>
        <x:v>0</x:v>
      </x:c>
    </x:row>
    <x:row r="728" ht="36" customHeight="1">
      <x:c r="A728" s="8" t="str">
        <x:v>Liquidity-first</x:v>
      </x:c>
      <x:c r="B728" s="8" t="str">
        <x:v>Severe margin</x:v>
      </x:c>
      <x:c r="C728" s="8" t="str">
        <x:v>Acquisition term</x:v>
      </x:c>
      <x:c r="D728" s="22" t="n">
        <x:v>5</x:v>
      </x:c>
      <x:c r="E728" s="8" t="n">
        <x:v>1204.5746101548382</x:v>
      </x:c>
      <x:c r="F728" s="23" t="n">
        <x:v>0.060000000000000005</x:v>
      </x:c>
      <x:c r="G728" s="8" t="n">
        <x:v>72.2744766092903</x:v>
      </x:c>
      <x:c r="H728" s="8" t="n">
        <x:v>1204.5746101548382</x:v>
      </x:c>
      <x:c r="I728" s="8" t="n">
        <x:v>762.7126010080112</x:v>
      </x:c>
      <x:c r="J728" s="8" t="n">
        <x:v>0</x:v>
      </x:c>
      <x:c r="K728" s="8" t="n">
        <x:v>0</x:v>
      </x:c>
      <x:c r="L728" s="8" t="n">
        <x:v>0</x:v>
      </x:c>
      <x:c r="M728" s="21" t="n">
        <x:f>E728+K728-I728-J728-L728</x:f>
        <x:v>441.86200914682695</x:v>
      </x:c>
    </x:row>
    <x:row r="729" ht="36" customHeight="1">
      <x:c r="A729" s="8" t="str">
        <x:v>Liquidity-first</x:v>
      </x:c>
      <x:c r="B729" s="8" t="str">
        <x:v>Severe margin</x:v>
      </x:c>
      <x:c r="C729" s="8" t="str">
        <x:v>Committed revolver</x:v>
      </x:c>
      <x:c r="D729" s="22" t="n">
        <x:v>5</x:v>
      </x:c>
      <x:c r="E729" s="8" t="n">
        <x:v>630</x:v>
      </x:c>
      <x:c r="F729" s="23" t="n">
        <x:v>0.0575</x:v>
      </x:c>
      <x:c r="G729" s="8" t="n">
        <x:v>36.225</x:v>
      </x:c>
      <x:c r="H729" s="8" t="n">
        <x:v>630</x:v>
      </x:c>
      <x:c r="I729" s="8" t="n">
        <x:v>0</x:v>
      </x:c>
      <x:c r="J729" s="8" t="n">
        <x:v>0</x:v>
      </x:c>
      <x:c r="K729" s="8" t="n">
        <x:v>0</x:v>
      </x:c>
      <x:c r="L729" s="8" t="n">
        <x:v>0</x:v>
      </x:c>
      <x:c r="M729" s="21" t="n">
        <x:f>E729+K729-I729-J729-L729</x:f>
        <x:v>630</x:v>
      </x:c>
    </x:row>
    <x:row r="730" ht="36" customHeight="1">
      <x:c r="A730" s="8" t="str">
        <x:v>Mixed consideration</x:v>
      </x:c>
      <x:c r="B730" s="8" t="str">
        <x:v>Severe margin</x:v>
      </x:c>
      <x:c r="C730" s="8" t="str">
        <x:v>Atlas notes</x:v>
      </x:c>
      <x:c r="D730" s="22" t="n">
        <x:v>1</x:v>
      </x:c>
      <x:c r="E730" s="8" t="n">
        <x:v>900</x:v>
      </x:c>
      <x:c r="F730" s="23" t="n">
        <x:v>0.038</x:v>
      </x:c>
      <x:c r="G730" s="8" t="n">
        <x:v>34.199999999999996</x:v>
      </x:c>
      <x:c r="H730" s="8" t="n">
        <x:v>0</x:v>
      </x:c>
      <x:c r="I730" s="8" t="n">
        <x:v>0</x:v>
      </x:c>
      <x:c r="J730" s="8" t="n">
        <x:v>0</x:v>
      </x:c>
      <x:c r="K730" s="8" t="n">
        <x:v>0</x:v>
      </x:c>
      <x:c r="L730" s="8" t="n">
        <x:v>0</x:v>
      </x:c>
      <x:c r="M730" s="21" t="n">
        <x:f>E730+K730-I730-J730-L730</x:f>
        <x:v>900</x:v>
      </x:c>
    </x:row>
    <x:row r="731" ht="36" customHeight="1">
      <x:c r="A731" s="8" t="str">
        <x:v>Mixed consideration</x:v>
      </x:c>
      <x:c r="B731" s="8" t="str">
        <x:v>Severe margin</x:v>
      </x:c>
      <x:c r="C731" s="8" t="str">
        <x:v>Atlas finance lease</x:v>
      </x:c>
      <x:c r="D731" s="22" t="n">
        <x:v>1</x:v>
      </x:c>
      <x:c r="E731" s="8" t="n">
        <x:v>80</x:v>
      </x:c>
      <x:c r="F731" s="23" t="n">
        <x:v>0.05</x:v>
      </x:c>
      <x:c r="G731" s="8" t="n">
        <x:v>4</x:v>
      </x:c>
      <x:c r="H731" s="8" t="n">
        <x:v>16</x:v>
      </x:c>
      <x:c r="I731" s="8" t="n">
        <x:v>16</x:v>
      </x:c>
      <x:c r="J731" s="8" t="n">
        <x:v>0</x:v>
      </x:c>
      <x:c r="K731" s="8" t="n">
        <x:v>0</x:v>
      </x:c>
      <x:c r="L731" s="8" t="n">
        <x:v>0</x:v>
      </x:c>
      <x:c r="M731" s="21" t="n">
        <x:f>E731+K731-I731-J731-L731</x:f>
        <x:v>64</x:v>
      </x:c>
    </x:row>
    <x:row r="732" ht="36" customHeight="1">
      <x:c r="A732" s="8" t="str">
        <x:v>Mixed consideration</x:v>
      </x:c>
      <x:c r="B732" s="8" t="str">
        <x:v>Severe margin</x:v>
      </x:c>
      <x:c r="C732" s="8" t="str">
        <x:v>Beacon notes</x:v>
      </x:c>
      <x:c r="D732" s="22" t="n">
        <x:v>1</x:v>
      </x:c>
      <x:c r="E732" s="8" t="n">
        <x:v>350</x:v>
      </x:c>
      <x:c r="F732" s="23" t="n">
        <x:v>0.0475</x:v>
      </x:c>
      <x:c r="G732" s="8" t="n">
        <x:v>16.625</x:v>
      </x:c>
      <x:c r="H732" s="8" t="n">
        <x:v>0</x:v>
      </x:c>
      <x:c r="I732" s="8" t="n">
        <x:v>0</x:v>
      </x:c>
      <x:c r="J732" s="8" t="n">
        <x:v>0</x:v>
      </x:c>
      <x:c r="K732" s="8" t="n">
        <x:v>0</x:v>
      </x:c>
      <x:c r="L732" s="8" t="n">
        <x:v>0</x:v>
      </x:c>
      <x:c r="M732" s="21" t="n">
        <x:f>E732+K732-I732-J732-L732</x:f>
        <x:v>350</x:v>
      </x:c>
    </x:row>
    <x:row r="733" ht="36" customHeight="1">
      <x:c r="A733" s="8" t="str">
        <x:v>Mixed consideration</x:v>
      </x:c>
      <x:c r="B733" s="8" t="str">
        <x:v>Severe margin</x:v>
      </x:c>
      <x:c r="C733" s="8" t="str">
        <x:v>Acquisition term</x:v>
      </x:c>
      <x:c r="D733" s="22" t="n">
        <x:v>1</x:v>
      </x:c>
      <x:c r="E733" s="8" t="n">
        <x:v>304.56852791878174</x:v>
      </x:c>
      <x:c r="F733" s="23" t="n">
        <x:v>0.065</x:v>
      </x:c>
      <x:c r="G733" s="8" t="n">
        <x:v>19.796954314720814</x:v>
      </x:c>
      <x:c r="H733" s="8" t="n">
        <x:v>6.091370558375635</x:v>
      </x:c>
      <x:c r="I733" s="8" t="n">
        <x:v>6.091370558375635</x:v>
      </x:c>
      <x:c r="J733" s="8" t="n">
        <x:v>45.41801986996779</x:v>
      </x:c>
      <x:c r="K733" s="8" t="n">
        <x:v>0</x:v>
      </x:c>
      <x:c r="L733" s="8" t="n">
        <x:v>0</x:v>
      </x:c>
      <x:c r="M733" s="21" t="n">
        <x:f>E733+K733-I733-J733-L733</x:f>
        <x:v>253.05913749043833</x:v>
      </x:c>
    </x:row>
    <x:row r="734" ht="36" customHeight="1">
      <x:c r="A734" s="8" t="str">
        <x:v>Mixed consideration</x:v>
      </x:c>
      <x:c r="B734" s="8" t="str">
        <x:v>Severe margin</x:v>
      </x:c>
      <x:c r="C734" s="8" t="str">
        <x:v>Committed revolver</x:v>
      </x:c>
      <x:c r="D734" s="22" t="n">
        <x:v>1</x:v>
      </x:c>
      <x:c r="E734" s="8" t="n">
        <x:v>0</x:v>
      </x:c>
      <x:c r="F734" s="23" t="n">
        <x:v>0.0625</x:v>
      </x:c>
      <x:c r="G734" s="8" t="n">
        <x:v>0</x:v>
      </x:c>
      <x:c r="H734" s="8" t="n">
        <x:v>0</x:v>
      </x:c>
      <x:c r="I734" s="8" t="n">
        <x:v>0</x:v>
      </x:c>
      <x:c r="J734" s="8" t="n">
        <x:v>0</x:v>
      </x:c>
      <x:c r="K734" s="8" t="n">
        <x:v>0</x:v>
      </x:c>
      <x:c r="L734" s="8" t="n">
        <x:v>0</x:v>
      </x:c>
      <x:c r="M734" s="21" t="n">
        <x:f>E734+K734-I734-J734-L734</x:f>
        <x:v>0</x:v>
      </x:c>
    </x:row>
    <x:row r="735" ht="36" customHeight="1">
      <x:c r="A735" s="8" t="str">
        <x:v>Mixed consideration</x:v>
      </x:c>
      <x:c r="B735" s="8" t="str">
        <x:v>Severe margin</x:v>
      </x:c>
      <x:c r="C735" s="8" t="str">
        <x:v>Atlas notes</x:v>
      </x:c>
      <x:c r="D735" s="22" t="n">
        <x:v>2</x:v>
      </x:c>
      <x:c r="E735" s="8" t="n">
        <x:v>900</x:v>
      </x:c>
      <x:c r="F735" s="23" t="n">
        <x:v>0.038</x:v>
      </x:c>
      <x:c r="G735" s="8" t="n">
        <x:v>34.199999999999996</x:v>
      </x:c>
      <x:c r="H735" s="8" t="n">
        <x:v>0</x:v>
      </x:c>
      <x:c r="I735" s="8" t="n">
        <x:v>0</x:v>
      </x:c>
      <x:c r="J735" s="8" t="n">
        <x:v>0</x:v>
      </x:c>
      <x:c r="K735" s="8" t="n">
        <x:v>0</x:v>
      </x:c>
      <x:c r="L735" s="8" t="n">
        <x:v>0</x:v>
      </x:c>
      <x:c r="M735" s="21" t="n">
        <x:f>E735+K735-I735-J735-L735</x:f>
        <x:v>900</x:v>
      </x:c>
    </x:row>
    <x:row r="736" ht="36" customHeight="1">
      <x:c r="A736" s="8" t="str">
        <x:v>Mixed consideration</x:v>
      </x:c>
      <x:c r="B736" s="8" t="str">
        <x:v>Severe margin</x:v>
      </x:c>
      <x:c r="C736" s="8" t="str">
        <x:v>Atlas finance lease</x:v>
      </x:c>
      <x:c r="D736" s="22" t="n">
        <x:v>2</x:v>
      </x:c>
      <x:c r="E736" s="8" t="n">
        <x:v>64</x:v>
      </x:c>
      <x:c r="F736" s="23" t="n">
        <x:v>0.05</x:v>
      </x:c>
      <x:c r="G736" s="8" t="n">
        <x:v>3.2</x:v>
      </x:c>
      <x:c r="H736" s="8" t="n">
        <x:v>16</x:v>
      </x:c>
      <x:c r="I736" s="8" t="n">
        <x:v>16</x:v>
      </x:c>
      <x:c r="J736" s="8" t="n">
        <x:v>0</x:v>
      </x:c>
      <x:c r="K736" s="8" t="n">
        <x:v>0</x:v>
      </x:c>
      <x:c r="L736" s="8" t="n">
        <x:v>0</x:v>
      </x:c>
      <x:c r="M736" s="21" t="n">
        <x:f>E736+K736-I736-J736-L736</x:f>
        <x:v>48</x:v>
      </x:c>
    </x:row>
    <x:row r="737" ht="36" customHeight="1">
      <x:c r="A737" s="8" t="str">
        <x:v>Mixed consideration</x:v>
      </x:c>
      <x:c r="B737" s="8" t="str">
        <x:v>Severe margin</x:v>
      </x:c>
      <x:c r="C737" s="8" t="str">
        <x:v>Beacon notes</x:v>
      </x:c>
      <x:c r="D737" s="22" t="n">
        <x:v>2</x:v>
      </x:c>
      <x:c r="E737" s="8" t="n">
        <x:v>350</x:v>
      </x:c>
      <x:c r="F737" s="23" t="n">
        <x:v>0.0475</x:v>
      </x:c>
      <x:c r="G737" s="8" t="n">
        <x:v>16.625</x:v>
      </x:c>
      <x:c r="H737" s="8" t="n">
        <x:v>0</x:v>
      </x:c>
      <x:c r="I737" s="8" t="n">
        <x:v>0</x:v>
      </x:c>
      <x:c r="J737" s="8" t="n">
        <x:v>0</x:v>
      </x:c>
      <x:c r="K737" s="8" t="n">
        <x:v>0</x:v>
      </x:c>
      <x:c r="L737" s="8" t="n">
        <x:v>0</x:v>
      </x:c>
      <x:c r="M737" s="21" t="n">
        <x:f>E737+K737-I737-J737-L737</x:f>
        <x:v>350</x:v>
      </x:c>
    </x:row>
    <x:row r="738" ht="36" customHeight="1">
      <x:c r="A738" s="8" t="str">
        <x:v>Mixed consideration</x:v>
      </x:c>
      <x:c r="B738" s="8" t="str">
        <x:v>Severe margin</x:v>
      </x:c>
      <x:c r="C738" s="8" t="str">
        <x:v>Acquisition term</x:v>
      </x:c>
      <x:c r="D738" s="22" t="n">
        <x:v>2</x:v>
      </x:c>
      <x:c r="E738" s="8" t="n">
        <x:v>253.05913749043833</x:v>
      </x:c>
      <x:c r="F738" s="23" t="n">
        <x:v>0.0625</x:v>
      </x:c>
      <x:c r="G738" s="8" t="n">
        <x:v>15.816196093152396</x:v>
      </x:c>
      <x:c r="H738" s="8" t="n">
        <x:v>6.091370558375635</x:v>
      </x:c>
      <x:c r="I738" s="8" t="n">
        <x:v>6.091370558375635</x:v>
      </x:c>
      <x:c r="J738" s="8" t="n">
        <x:v>149.3278411046357</x:v>
      </x:c>
      <x:c r="K738" s="8" t="n">
        <x:v>0</x:v>
      </x:c>
      <x:c r="L738" s="8" t="n">
        <x:v>0</x:v>
      </x:c>
      <x:c r="M738" s="21" t="n">
        <x:f>E738+K738-I738-J738-L738</x:f>
        <x:v>97.63992582742699</x:v>
      </x:c>
    </x:row>
    <x:row r="739" ht="36" customHeight="1">
      <x:c r="A739" s="8" t="str">
        <x:v>Mixed consideration</x:v>
      </x:c>
      <x:c r="B739" s="8" t="str">
        <x:v>Severe margin</x:v>
      </x:c>
      <x:c r="C739" s="8" t="str">
        <x:v>Committed revolver</x:v>
      </x:c>
      <x:c r="D739" s="22" t="n">
        <x:v>2</x:v>
      </x:c>
      <x:c r="E739" s="8" t="n">
        <x:v>0</x:v>
      </x:c>
      <x:c r="F739" s="23" t="n">
        <x:v>0.06</x:v>
      </x:c>
      <x:c r="G739" s="8" t="n">
        <x:v>0</x:v>
      </x:c>
      <x:c r="H739" s="8" t="n">
        <x:v>0</x:v>
      </x:c>
      <x:c r="I739" s="8" t="n">
        <x:v>0</x:v>
      </x:c>
      <x:c r="J739" s="8" t="n">
        <x:v>0</x:v>
      </x:c>
      <x:c r="K739" s="8" t="n">
        <x:v>0</x:v>
      </x:c>
      <x:c r="L739" s="8" t="n">
        <x:v>0</x:v>
      </x:c>
      <x:c r="M739" s="21" t="n">
        <x:f>E739+K739-I739-J739-L739</x:f>
        <x:v>0</x:v>
      </x:c>
    </x:row>
    <x:row r="740" ht="36" customHeight="1">
      <x:c r="A740" s="8" t="str">
        <x:v>Mixed consideration</x:v>
      </x:c>
      <x:c r="B740" s="8" t="str">
        <x:v>Severe margin</x:v>
      </x:c>
      <x:c r="C740" s="8" t="str">
        <x:v>Atlas notes</x:v>
      </x:c>
      <x:c r="D740" s="22" t="n">
        <x:v>3</x:v>
      </x:c>
      <x:c r="E740" s="8" t="n">
        <x:v>900</x:v>
      </x:c>
      <x:c r="F740" s="23" t="n">
        <x:v>0.038</x:v>
      </x:c>
      <x:c r="G740" s="8" t="n">
        <x:v>34.199999999999996</x:v>
      </x:c>
      <x:c r="H740" s="8" t="n">
        <x:v>0</x:v>
      </x:c>
      <x:c r="I740" s="8" t="n">
        <x:v>0</x:v>
      </x:c>
      <x:c r="J740" s="8" t="n">
        <x:v>0</x:v>
      </x:c>
      <x:c r="K740" s="8" t="n">
        <x:v>0</x:v>
      </x:c>
      <x:c r="L740" s="8" t="n">
        <x:v>0</x:v>
      </x:c>
      <x:c r="M740" s="21" t="n">
        <x:f>E740+K740-I740-J740-L740</x:f>
        <x:v>900</x:v>
      </x:c>
    </x:row>
    <x:row r="741" ht="36" customHeight="1">
      <x:c r="A741" s="8" t="str">
        <x:v>Mixed consideration</x:v>
      </x:c>
      <x:c r="B741" s="8" t="str">
        <x:v>Severe margin</x:v>
      </x:c>
      <x:c r="C741" s="8" t="str">
        <x:v>Atlas finance lease</x:v>
      </x:c>
      <x:c r="D741" s="22" t="n">
        <x:v>3</x:v>
      </x:c>
      <x:c r="E741" s="8" t="n">
        <x:v>48</x:v>
      </x:c>
      <x:c r="F741" s="23" t="n">
        <x:v>0.05</x:v>
      </x:c>
      <x:c r="G741" s="8" t="n">
        <x:v>2.4000000000000004</x:v>
      </x:c>
      <x:c r="H741" s="8" t="n">
        <x:v>16</x:v>
      </x:c>
      <x:c r="I741" s="8" t="n">
        <x:v>16</x:v>
      </x:c>
      <x:c r="J741" s="8" t="n">
        <x:v>0</x:v>
      </x:c>
      <x:c r="K741" s="8" t="n">
        <x:v>0</x:v>
      </x:c>
      <x:c r="L741" s="8" t="n">
        <x:v>0</x:v>
      </x:c>
      <x:c r="M741" s="21" t="n">
        <x:f>E741+K741-I741-J741-L741</x:f>
        <x:v>32</x:v>
      </x:c>
    </x:row>
    <x:row r="742" ht="36" customHeight="1">
      <x:c r="A742" s="8" t="str">
        <x:v>Mixed consideration</x:v>
      </x:c>
      <x:c r="B742" s="8" t="str">
        <x:v>Severe margin</x:v>
      </x:c>
      <x:c r="C742" s="8" t="str">
        <x:v>Beacon notes</x:v>
      </x:c>
      <x:c r="D742" s="22" t="n">
        <x:v>3</x:v>
      </x:c>
      <x:c r="E742" s="8" t="n">
        <x:v>350</x:v>
      </x:c>
      <x:c r="F742" s="23" t="n">
        <x:v>0.0475</x:v>
      </x:c>
      <x:c r="G742" s="8" t="n">
        <x:v>16.625</x:v>
      </x:c>
      <x:c r="H742" s="8" t="n">
        <x:v>350</x:v>
      </x:c>
      <x:c r="I742" s="8" t="n">
        <x:v>350</x:v>
      </x:c>
      <x:c r="J742" s="8" t="n">
        <x:v>0</x:v>
      </x:c>
      <x:c r="K742" s="8" t="n">
        <x:v>0</x:v>
      </x:c>
      <x:c r="L742" s="8" t="n">
        <x:v>0</x:v>
      </x:c>
      <x:c r="M742" s="21" t="n">
        <x:f>E742+K742-I742-J742-L742</x:f>
        <x:v>0</x:v>
      </x:c>
    </x:row>
    <x:row r="743" ht="36" customHeight="1">
      <x:c r="A743" s="8" t="str">
        <x:v>Mixed consideration</x:v>
      </x:c>
      <x:c r="B743" s="8" t="str">
        <x:v>Severe margin</x:v>
      </x:c>
      <x:c r="C743" s="8" t="str">
        <x:v>Acquisition term</x:v>
      </x:c>
      <x:c r="D743" s="22" t="n">
        <x:v>3</x:v>
      </x:c>
      <x:c r="E743" s="8" t="n">
        <x:v>97.63992582742699</x:v>
      </x:c>
      <x:c r="F743" s="23" t="n">
        <x:v>0.060000000000000005</x:v>
      </x:c>
      <x:c r="G743" s="8" t="n">
        <x:v>5.85839554964562</x:v>
      </x:c>
      <x:c r="H743" s="8" t="n">
        <x:v>6.091370558375635</x:v>
      </x:c>
      <x:c r="I743" s="8" t="n">
        <x:v>6.091370558375635</x:v>
      </x:c>
      <x:c r="J743" s="8" t="n">
        <x:v>0</x:v>
      </x:c>
      <x:c r="K743" s="8" t="n">
        <x:v>0</x:v>
      </x:c>
      <x:c r="L743" s="8" t="n">
        <x:v>0</x:v>
      </x:c>
      <x:c r="M743" s="21" t="n">
        <x:f>E743+K743-I743-J743-L743</x:f>
        <x:v>91.54855526905136</x:v>
      </x:c>
    </x:row>
    <x:row r="744" ht="36" customHeight="1">
      <x:c r="A744" s="8" t="str">
        <x:v>Mixed consideration</x:v>
      </x:c>
      <x:c r="B744" s="8" t="str">
        <x:v>Severe margin</x:v>
      </x:c>
      <x:c r="C744" s="8" t="str">
        <x:v>Committed revolver</x:v>
      </x:c>
      <x:c r="D744" s="22" t="n">
        <x:v>3</x:v>
      </x:c>
      <x:c r="E744" s="8" t="n">
        <x:v>0</x:v>
      </x:c>
      <x:c r="F744" s="23" t="n">
        <x:v>0.0575</x:v>
      </x:c>
      <x:c r="G744" s="8" t="n">
        <x:v>0</x:v>
      </x:c>
      <x:c r="H744" s="8" t="n">
        <x:v>0</x:v>
      </x:c>
      <x:c r="I744" s="8" t="n">
        <x:v>0</x:v>
      </x:c>
      <x:c r="J744" s="8" t="n">
        <x:v>1.1368683772161603e-13</x:v>
      </x:c>
      <x:c r="K744" s="8" t="n">
        <x:v>103.08232576941282</x:v>
      </x:c>
      <x:c r="L744" s="8" t="n">
        <x:v>0</x:v>
      </x:c>
      <x:c r="M744" s="21" t="n">
        <x:f>E744+K744-I744-J744-L744</x:f>
        <x:v>103.0823257694127</x:v>
      </x:c>
    </x:row>
    <x:row r="745" ht="36" customHeight="1">
      <x:c r="A745" s="8" t="str">
        <x:v>Mixed consideration</x:v>
      </x:c>
      <x:c r="B745" s="8" t="str">
        <x:v>Severe margin</x:v>
      </x:c>
      <x:c r="C745" s="8" t="str">
        <x:v>Atlas notes</x:v>
      </x:c>
      <x:c r="D745" s="22" t="n">
        <x:v>4</x:v>
      </x:c>
      <x:c r="E745" s="8" t="n">
        <x:v>900</x:v>
      </x:c>
      <x:c r="F745" s="23" t="n">
        <x:v>0.038</x:v>
      </x:c>
      <x:c r="G745" s="8" t="n">
        <x:v>34.199999999999996</x:v>
      </x:c>
      <x:c r="H745" s="8" t="n">
        <x:v>900</x:v>
      </x:c>
      <x:c r="I745" s="8" t="n">
        <x:v>900</x:v>
      </x:c>
      <x:c r="J745" s="8" t="n">
        <x:v>0</x:v>
      </x:c>
      <x:c r="K745" s="8" t="n">
        <x:v>0</x:v>
      </x:c>
      <x:c r="L745" s="8" t="n">
        <x:v>0</x:v>
      </x:c>
      <x:c r="M745" s="21" t="n">
        <x:f>E745+K745-I745-J745-L745</x:f>
        <x:v>0</x:v>
      </x:c>
    </x:row>
    <x:row r="746" ht="36" customHeight="1">
      <x:c r="A746" s="8" t="str">
        <x:v>Mixed consideration</x:v>
      </x:c>
      <x:c r="B746" s="8" t="str">
        <x:v>Severe margin</x:v>
      </x:c>
      <x:c r="C746" s="8" t="str">
        <x:v>Atlas finance lease</x:v>
      </x:c>
      <x:c r="D746" s="22" t="n">
        <x:v>4</x:v>
      </x:c>
      <x:c r="E746" s="8" t="n">
        <x:v>32</x:v>
      </x:c>
      <x:c r="F746" s="23" t="n">
        <x:v>0.05</x:v>
      </x:c>
      <x:c r="G746" s="8" t="n">
        <x:v>1.6</x:v>
      </x:c>
      <x:c r="H746" s="8" t="n">
        <x:v>16</x:v>
      </x:c>
      <x:c r="I746" s="8" t="n">
        <x:v>16</x:v>
      </x:c>
      <x:c r="J746" s="8" t="n">
        <x:v>0</x:v>
      </x:c>
      <x:c r="K746" s="8" t="n">
        <x:v>0</x:v>
      </x:c>
      <x:c r="L746" s="8" t="n">
        <x:v>0</x:v>
      </x:c>
      <x:c r="M746" s="21" t="n">
        <x:f>E746+K746-I746-J746-L746</x:f>
        <x:v>16</x:v>
      </x:c>
    </x:row>
    <x:row r="747" ht="36" customHeight="1">
      <x:c r="A747" s="8" t="str">
        <x:v>Mixed consideration</x:v>
      </x:c>
      <x:c r="B747" s="8" t="str">
        <x:v>Severe margin</x:v>
      </x:c>
      <x:c r="C747" s="8" t="str">
        <x:v>Beacon notes</x:v>
      </x:c>
      <x:c r="D747" s="22" t="n">
        <x:v>4</x:v>
      </x:c>
      <x:c r="E747" s="8" t="n">
        <x:v>0</x:v>
      </x:c>
      <x:c r="F747" s="23" t="n">
        <x:v>0.0475</x:v>
      </x:c>
      <x:c r="G747" s="8" t="n">
        <x:v>0</x:v>
      </x:c>
      <x:c r="H747" s="8" t="n">
        <x:v>0</x:v>
      </x:c>
      <x:c r="I747" s="8" t="n">
        <x:v>0</x:v>
      </x:c>
      <x:c r="J747" s="8" t="n">
        <x:v>0</x:v>
      </x:c>
      <x:c r="K747" s="8" t="n">
        <x:v>0</x:v>
      </x:c>
      <x:c r="L747" s="8" t="n">
        <x:v>0</x:v>
      </x:c>
      <x:c r="M747" s="21" t="n">
        <x:f>E747+K747-I747-J747-L747</x:f>
        <x:v>0</x:v>
      </x:c>
    </x:row>
    <x:row r="748" ht="36" customHeight="1">
      <x:c r="A748" s="8" t="str">
        <x:v>Mixed consideration</x:v>
      </x:c>
      <x:c r="B748" s="8" t="str">
        <x:v>Severe margin</x:v>
      </x:c>
      <x:c r="C748" s="8" t="str">
        <x:v>Acquisition term</x:v>
      </x:c>
      <x:c r="D748" s="22" t="n">
        <x:v>4</x:v>
      </x:c>
      <x:c r="E748" s="8" t="n">
        <x:v>91.54855526905136</x:v>
      </x:c>
      <x:c r="F748" s="23" t="n">
        <x:v>0.060000000000000005</x:v>
      </x:c>
      <x:c r="G748" s="8" t="n">
        <x:v>5.492913316143082</x:v>
      </x:c>
      <x:c r="H748" s="8" t="n">
        <x:v>6.091370558375635</x:v>
      </x:c>
      <x:c r="I748" s="8" t="n">
        <x:v>6.091370558375635</x:v>
      </x:c>
      <x:c r="J748" s="8" t="n">
        <x:v>0</x:v>
      </x:c>
      <x:c r="K748" s="8" t="n">
        <x:v>0</x:v>
      </x:c>
      <x:c r="L748" s="8" t="n">
        <x:v>0</x:v>
      </x:c>
      <x:c r="M748" s="21" t="n">
        <x:f>E748+K748-I748-J748-L748</x:f>
        <x:v>85.45718471067573</x:v>
      </x:c>
    </x:row>
    <x:row r="749" ht="36" customHeight="1">
      <x:c r="A749" s="8" t="str">
        <x:v>Mixed consideration</x:v>
      </x:c>
      <x:c r="B749" s="8" t="str">
        <x:v>Severe margin</x:v>
      </x:c>
      <x:c r="C749" s="8" t="str">
        <x:v>Committed revolver</x:v>
      </x:c>
      <x:c r="D749" s="22" t="n">
        <x:v>4</x:v>
      </x:c>
      <x:c r="E749" s="8" t="n">
        <x:v>103.0823257694127</x:v>
      </x:c>
      <x:c r="F749" s="23" t="n">
        <x:v>0.0575</x:v>
      </x:c>
      <x:c r="G749" s="8" t="n">
        <x:v>5.9272337317412305</x:v>
      </x:c>
      <x:c r="H749" s="8" t="n">
        <x:v>0</x:v>
      </x:c>
      <x:c r="I749" s="8" t="n">
        <x:v>0</x:v>
      </x:c>
      <x:c r="J749" s="8" t="n">
        <x:v>0</x:v>
      </x:c>
      <x:c r="K749" s="8" t="n">
        <x:v>526.9176742305873</x:v>
      </x:c>
      <x:c r="L749" s="8" t="n">
        <x:v>0</x:v>
      </x:c>
      <x:c r="M749" s="21" t="n">
        <x:f>E749+K749-I749-J749-L749</x:f>
        <x:v>630</x:v>
      </x:c>
    </x:row>
    <x:row r="750" ht="36" customHeight="1">
      <x:c r="A750" s="8" t="str">
        <x:v>Mixed consideration</x:v>
      </x:c>
      <x:c r="B750" s="8" t="str">
        <x:v>Severe margin</x:v>
      </x:c>
      <x:c r="C750" s="8" t="str">
        <x:v>Atlas notes</x:v>
      </x:c>
      <x:c r="D750" s="22" t="n">
        <x:v>5</x:v>
      </x:c>
      <x:c r="E750" s="8" t="n">
        <x:v>0</x:v>
      </x:c>
      <x:c r="F750" s="23" t="n">
        <x:v>0.038</x:v>
      </x:c>
      <x:c r="G750" s="8" t="n">
        <x:v>0</x:v>
      </x:c>
      <x:c r="H750" s="8" t="n">
        <x:v>0</x:v>
      </x:c>
      <x:c r="I750" s="8" t="n">
        <x:v>0</x:v>
      </x:c>
      <x:c r="J750" s="8" t="n">
        <x:v>0</x:v>
      </x:c>
      <x:c r="K750" s="8" t="n">
        <x:v>0</x:v>
      </x:c>
      <x:c r="L750" s="8" t="n">
        <x:v>0</x:v>
      </x:c>
      <x:c r="M750" s="21" t="n">
        <x:f>E750+K750-I750-J750-L750</x:f>
        <x:v>0</x:v>
      </x:c>
    </x:row>
    <x:row r="751" ht="36" customHeight="1">
      <x:c r="A751" s="8" t="str">
        <x:v>Mixed consideration</x:v>
      </x:c>
      <x:c r="B751" s="8" t="str">
        <x:v>Severe margin</x:v>
      </x:c>
      <x:c r="C751" s="8" t="str">
        <x:v>Atlas finance lease</x:v>
      </x:c>
      <x:c r="D751" s="22" t="n">
        <x:v>5</x:v>
      </x:c>
      <x:c r="E751" s="8" t="n">
        <x:v>16</x:v>
      </x:c>
      <x:c r="F751" s="23" t="n">
        <x:v>0.05</x:v>
      </x:c>
      <x:c r="G751" s="8" t="n">
        <x:v>0.8</x:v>
      </x:c>
      <x:c r="H751" s="8" t="n">
        <x:v>16</x:v>
      </x:c>
      <x:c r="I751" s="8" t="n">
        <x:v>16</x:v>
      </x:c>
      <x:c r="J751" s="8" t="n">
        <x:v>0</x:v>
      </x:c>
      <x:c r="K751" s="8" t="n">
        <x:v>0</x:v>
      </x:c>
      <x:c r="L751" s="8" t="n">
        <x:v>0</x:v>
      </x:c>
      <x:c r="M751" s="21" t="n">
        <x:f>E751+K751-I751-J751-L751</x:f>
        <x:v>0</x:v>
      </x:c>
    </x:row>
    <x:row r="752" ht="36" customHeight="1">
      <x:c r="A752" s="8" t="str">
        <x:v>Mixed consideration</x:v>
      </x:c>
      <x:c r="B752" s="8" t="str">
        <x:v>Severe margin</x:v>
      </x:c>
      <x:c r="C752" s="8" t="str">
        <x:v>Beacon notes</x:v>
      </x:c>
      <x:c r="D752" s="22" t="n">
        <x:v>5</x:v>
      </x:c>
      <x:c r="E752" s="8" t="n">
        <x:v>0</x:v>
      </x:c>
      <x:c r="F752" s="23" t="n">
        <x:v>0.0475</x:v>
      </x:c>
      <x:c r="G752" s="8" t="n">
        <x:v>0</x:v>
      </x:c>
      <x:c r="H752" s="8" t="n">
        <x:v>0</x:v>
      </x:c>
      <x:c r="I752" s="8" t="n">
        <x:v>0</x:v>
      </x:c>
      <x:c r="J752" s="8" t="n">
        <x:v>0</x:v>
      </x:c>
      <x:c r="K752" s="8" t="n">
        <x:v>0</x:v>
      </x:c>
      <x:c r="L752" s="8" t="n">
        <x:v>0</x:v>
      </x:c>
      <x:c r="M752" s="21" t="n">
        <x:f>E752+K752-I752-J752-L752</x:f>
        <x:v>0</x:v>
      </x:c>
    </x:row>
    <x:row r="753" ht="36" customHeight="1">
      <x:c r="A753" s="8" t="str">
        <x:v>Mixed consideration</x:v>
      </x:c>
      <x:c r="B753" s="8" t="str">
        <x:v>Severe margin</x:v>
      </x:c>
      <x:c r="C753" s="8" t="str">
        <x:v>Acquisition term</x:v>
      </x:c>
      <x:c r="D753" s="22" t="n">
        <x:v>5</x:v>
      </x:c>
      <x:c r="E753" s="8" t="n">
        <x:v>85.45718471067573</x:v>
      </x:c>
      <x:c r="F753" s="23" t="n">
        <x:v>0.060000000000000005</x:v>
      </x:c>
      <x:c r="G753" s="8" t="n">
        <x:v>5.127431082640545</x:v>
      </x:c>
      <x:c r="H753" s="8" t="n">
        <x:v>85.45718471067573</x:v>
      </x:c>
      <x:c r="I753" s="8" t="n">
        <x:v>85.45718471067573</x:v>
      </x:c>
      <x:c r="J753" s="8" t="n">
        <x:v>0</x:v>
      </x:c>
      <x:c r="K753" s="8" t="n">
        <x:v>0</x:v>
      </x:c>
      <x:c r="L753" s="8" t="n">
        <x:v>0</x:v>
      </x:c>
      <x:c r="M753" s="21" t="n">
        <x:f>E753+K753-I753-J753-L753</x:f>
        <x:v>0</x:v>
      </x:c>
    </x:row>
    <x:row r="754" ht="36" customHeight="1">
      <x:c r="A754" s="8" t="str">
        <x:v>Mixed consideration</x:v>
      </x:c>
      <x:c r="B754" s="8" t="str">
        <x:v>Severe margin</x:v>
      </x:c>
      <x:c r="C754" s="8" t="str">
        <x:v>Committed revolver</x:v>
      </x:c>
      <x:c r="D754" s="22" t="n">
        <x:v>5</x:v>
      </x:c>
      <x:c r="E754" s="8" t="n">
        <x:v>630</x:v>
      </x:c>
      <x:c r="F754" s="23" t="n">
        <x:v>0.0575</x:v>
      </x:c>
      <x:c r="G754" s="8" t="n">
        <x:v>36.225</x:v>
      </x:c>
      <x:c r="H754" s="8" t="n">
        <x:v>630</x:v>
      </x:c>
      <x:c r="I754" s="8" t="n">
        <x:v>630</x:v>
      </x:c>
      <x:c r="J754" s="8" t="n">
        <x:v>0</x:v>
      </x:c>
      <x:c r="K754" s="8" t="n">
        <x:v>0</x:v>
      </x:c>
      <x:c r="L754" s="8" t="n">
        <x:v>0</x:v>
      </x:c>
      <x:c r="M754" s="21" t="n">
        <x:f>E754+K754-I754-J754-L754</x:f>
        <x:v>0</x:v>
      </x:c>
    </x:row>
    <x:row r="755" ht="36" customHeight="1">
      <x:c r="A755" s="8" t="str">
        <x:v>Cash-first</x:v>
      </x:c>
      <x:c r="B755" s="8" t="str">
        <x:v>Severe inventory</x:v>
      </x:c>
      <x:c r="C755" s="8" t="str">
        <x:v>Atlas notes</x:v>
      </x:c>
      <x:c r="D755" s="22" t="n">
        <x:v>1</x:v>
      </x:c>
      <x:c r="E755" s="8" t="n">
        <x:v>900</x:v>
      </x:c>
      <x:c r="F755" s="23" t="n">
        <x:v>0.038</x:v>
      </x:c>
      <x:c r="G755" s="8" t="n">
        <x:v>34.199999999999996</x:v>
      </x:c>
      <x:c r="H755" s="8" t="n">
        <x:v>0</x:v>
      </x:c>
      <x:c r="I755" s="8" t="n">
        <x:v>0</x:v>
      </x:c>
      <x:c r="J755" s="8" t="n">
        <x:v>0</x:v>
      </x:c>
      <x:c r="K755" s="8" t="n">
        <x:v>0</x:v>
      </x:c>
      <x:c r="L755" s="8" t="n">
        <x:v>0</x:v>
      </x:c>
      <x:c r="M755" s="21" t="n">
        <x:f>E755+K755-I755-J755-L755</x:f>
        <x:v>900</x:v>
      </x:c>
    </x:row>
    <x:row r="756" ht="36" customHeight="1">
      <x:c r="A756" s="8" t="str">
        <x:v>Cash-first</x:v>
      </x:c>
      <x:c r="B756" s="8" t="str">
        <x:v>Severe inventory</x:v>
      </x:c>
      <x:c r="C756" s="8" t="str">
        <x:v>Atlas finance lease</x:v>
      </x:c>
      <x:c r="D756" s="22" t="n">
        <x:v>1</x:v>
      </x:c>
      <x:c r="E756" s="8" t="n">
        <x:v>80</x:v>
      </x:c>
      <x:c r="F756" s="23" t="n">
        <x:v>0.05</x:v>
      </x:c>
      <x:c r="G756" s="8" t="n">
        <x:v>4</x:v>
      </x:c>
      <x:c r="H756" s="8" t="n">
        <x:v>16</x:v>
      </x:c>
      <x:c r="I756" s="8" t="n">
        <x:v>16</x:v>
      </x:c>
      <x:c r="J756" s="8" t="n">
        <x:v>0</x:v>
      </x:c>
      <x:c r="K756" s="8" t="n">
        <x:v>0</x:v>
      </x:c>
      <x:c r="L756" s="8" t="n">
        <x:v>0</x:v>
      </x:c>
      <x:c r="M756" s="21" t="n">
        <x:f>E756+K756-I756-J756-L756</x:f>
        <x:v>64</x:v>
      </x:c>
    </x:row>
    <x:row r="757" ht="36" customHeight="1">
      <x:c r="A757" s="8" t="str">
        <x:v>Cash-first</x:v>
      </x:c>
      <x:c r="B757" s="8" t="str">
        <x:v>Severe inventory</x:v>
      </x:c>
      <x:c r="C757" s="8" t="str">
        <x:v>Beacon notes</x:v>
      </x:c>
      <x:c r="D757" s="22" t="n">
        <x:v>1</x:v>
      </x:c>
      <x:c r="E757" s="8" t="n">
        <x:v>350</x:v>
      </x:c>
      <x:c r="F757" s="23" t="n">
        <x:v>0.0475</x:v>
      </x:c>
      <x:c r="G757" s="8" t="n">
        <x:v>16.625</x:v>
      </x:c>
      <x:c r="H757" s="8" t="n">
        <x:v>0</x:v>
      </x:c>
      <x:c r="I757" s="8" t="n">
        <x:v>0</x:v>
      </x:c>
      <x:c r="J757" s="8" t="n">
        <x:v>0</x:v>
      </x:c>
      <x:c r="K757" s="8" t="n">
        <x:v>0</x:v>
      </x:c>
      <x:c r="L757" s="8" t="n">
        <x:v>0</x:v>
      </x:c>
      <x:c r="M757" s="21" t="n">
        <x:f>E757+K757-I757-J757-L757</x:f>
        <x:v>350</x:v>
      </x:c>
    </x:row>
    <x:row r="758" ht="36" customHeight="1">
      <x:c r="A758" s="8" t="str">
        <x:v>Cash-first</x:v>
      </x:c>
      <x:c r="B758" s="8" t="str">
        <x:v>Severe inventory</x:v>
      </x:c>
      <x:c r="C758" s="8" t="str">
        <x:v>Acquisition term</x:v>
      </x:c>
      <x:c r="D758" s="22" t="n">
        <x:v>1</x:v>
      </x:c>
      <x:c r="E758" s="8" t="n">
        <x:v>1340.1015228426397</x:v>
      </x:c>
      <x:c r="F758" s="23" t="n">
        <x:v>0.065</x:v>
      </x:c>
      <x:c r="G758" s="8" t="n">
        <x:v>87.10659898477158</x:v>
      </x:c>
      <x:c r="H758" s="8" t="n">
        <x:v>26.802030456852794</x:v>
      </x:c>
      <x:c r="I758" s="8" t="n">
        <x:v>26.802030456852794</x:v>
      </x:c>
      <x:c r="J758" s="8" t="n">
        <x:v>0</x:v>
      </x:c>
      <x:c r="K758" s="8" t="n">
        <x:v>0</x:v>
      </x:c>
      <x:c r="L758" s="8" t="n">
        <x:v>0</x:v>
      </x:c>
      <x:c r="M758" s="21" t="n">
        <x:f>E758+K758-I758-J758-L758</x:f>
        <x:v>1313.2994923857868</x:v>
      </x:c>
    </x:row>
    <x:row r="759" ht="36" customHeight="1">
      <x:c r="A759" s="8" t="str">
        <x:v>Cash-first</x:v>
      </x:c>
      <x:c r="B759" s="8" t="str">
        <x:v>Severe inventory</x:v>
      </x:c>
      <x:c r="C759" s="8" t="str">
        <x:v>Committed revolver</x:v>
      </x:c>
      <x:c r="D759" s="22" t="n">
        <x:v>1</x:v>
      </x:c>
      <x:c r="E759" s="8" t="n">
        <x:v>0</x:v>
      </x:c>
      <x:c r="F759" s="23" t="n">
        <x:v>0.0625</x:v>
      </x:c>
      <x:c r="G759" s="8" t="n">
        <x:v>0</x:v>
      </x:c>
      <x:c r="H759" s="8" t="n">
        <x:v>0</x:v>
      </x:c>
      <x:c r="I759" s="8" t="n">
        <x:v>0</x:v>
      </x:c>
      <x:c r="J759" s="8" t="n">
        <x:v>0</x:v>
      </x:c>
      <x:c r="K759" s="8" t="n">
        <x:v>355.3755584625552</x:v>
      </x:c>
      <x:c r="L759" s="8" t="n">
        <x:v>0</x:v>
      </x:c>
      <x:c r="M759" s="21" t="n">
        <x:f>E759+K759-I759-J759-L759</x:f>
        <x:v>355.3755584625552</x:v>
      </x:c>
    </x:row>
    <x:row r="760" ht="36" customHeight="1">
      <x:c r="A760" s="8" t="str">
        <x:v>Cash-first</x:v>
      </x:c>
      <x:c r="B760" s="8" t="str">
        <x:v>Severe inventory</x:v>
      </x:c>
      <x:c r="C760" s="8" t="str">
        <x:v>Atlas notes</x:v>
      </x:c>
      <x:c r="D760" s="22" t="n">
        <x:v>2</x:v>
      </x:c>
      <x:c r="E760" s="8" t="n">
        <x:v>900</x:v>
      </x:c>
      <x:c r="F760" s="23" t="n">
        <x:v>0.038</x:v>
      </x:c>
      <x:c r="G760" s="8" t="n">
        <x:v>34.199999999999996</x:v>
      </x:c>
      <x:c r="H760" s="8" t="n">
        <x:v>0</x:v>
      </x:c>
      <x:c r="I760" s="8" t="n">
        <x:v>0</x:v>
      </x:c>
      <x:c r="J760" s="8" t="n">
        <x:v>0</x:v>
      </x:c>
      <x:c r="K760" s="8" t="n">
        <x:v>0</x:v>
      </x:c>
      <x:c r="L760" s="8" t="n">
        <x:v>0</x:v>
      </x:c>
      <x:c r="M760" s="21" t="n">
        <x:f>E760+K760-I760-J760-L760</x:f>
        <x:v>900</x:v>
      </x:c>
    </x:row>
    <x:row r="761" ht="36" customHeight="1">
      <x:c r="A761" s="8" t="str">
        <x:v>Cash-first</x:v>
      </x:c>
      <x:c r="B761" s="8" t="str">
        <x:v>Severe inventory</x:v>
      </x:c>
      <x:c r="C761" s="8" t="str">
        <x:v>Atlas finance lease</x:v>
      </x:c>
      <x:c r="D761" s="22" t="n">
        <x:v>2</x:v>
      </x:c>
      <x:c r="E761" s="8" t="n">
        <x:v>64</x:v>
      </x:c>
      <x:c r="F761" s="23" t="n">
        <x:v>0.05</x:v>
      </x:c>
      <x:c r="G761" s="8" t="n">
        <x:v>3.2</x:v>
      </x:c>
      <x:c r="H761" s="8" t="n">
        <x:v>16</x:v>
      </x:c>
      <x:c r="I761" s="8" t="n">
        <x:v>16</x:v>
      </x:c>
      <x:c r="J761" s="8" t="n">
        <x:v>0</x:v>
      </x:c>
      <x:c r="K761" s="8" t="n">
        <x:v>0</x:v>
      </x:c>
      <x:c r="L761" s="8" t="n">
        <x:v>0</x:v>
      </x:c>
      <x:c r="M761" s="21" t="n">
        <x:f>E761+K761-I761-J761-L761</x:f>
        <x:v>48</x:v>
      </x:c>
    </x:row>
    <x:row r="762" ht="36" customHeight="1">
      <x:c r="A762" s="8" t="str">
        <x:v>Cash-first</x:v>
      </x:c>
      <x:c r="B762" s="8" t="str">
        <x:v>Severe inventory</x:v>
      </x:c>
      <x:c r="C762" s="8" t="str">
        <x:v>Beacon notes</x:v>
      </x:c>
      <x:c r="D762" s="22" t="n">
        <x:v>2</x:v>
      </x:c>
      <x:c r="E762" s="8" t="n">
        <x:v>350</x:v>
      </x:c>
      <x:c r="F762" s="23" t="n">
        <x:v>0.0475</x:v>
      </x:c>
      <x:c r="G762" s="8" t="n">
        <x:v>16.625</x:v>
      </x:c>
      <x:c r="H762" s="8" t="n">
        <x:v>0</x:v>
      </x:c>
      <x:c r="I762" s="8" t="n">
        <x:v>0</x:v>
      </x:c>
      <x:c r="J762" s="8" t="n">
        <x:v>0</x:v>
      </x:c>
      <x:c r="K762" s="8" t="n">
        <x:v>0</x:v>
      </x:c>
      <x:c r="L762" s="8" t="n">
        <x:v>0</x:v>
      </x:c>
      <x:c r="M762" s="21" t="n">
        <x:f>E762+K762-I762-J762-L762</x:f>
        <x:v>350</x:v>
      </x:c>
    </x:row>
    <x:row r="763" ht="36" customHeight="1">
      <x:c r="A763" s="8" t="str">
        <x:v>Cash-first</x:v>
      </x:c>
      <x:c r="B763" s="8" t="str">
        <x:v>Severe inventory</x:v>
      </x:c>
      <x:c r="C763" s="8" t="str">
        <x:v>Acquisition term</x:v>
      </x:c>
      <x:c r="D763" s="22" t="n">
        <x:v>2</x:v>
      </x:c>
      <x:c r="E763" s="8" t="n">
        <x:v>1313.2994923857868</x:v>
      </x:c>
      <x:c r="F763" s="23" t="n">
        <x:v>0.0625</x:v>
      </x:c>
      <x:c r="G763" s="8" t="n">
        <x:v>82.08121827411168</x:v>
      </x:c>
      <x:c r="H763" s="8" t="n">
        <x:v>26.802030456852794</x:v>
      </x:c>
      <x:c r="I763" s="8" t="n">
        <x:v>26.802030456852794</x:v>
      </x:c>
      <x:c r="J763" s="8" t="n">
        <x:v>0</x:v>
      </x:c>
      <x:c r="K763" s="8" t="n">
        <x:v>0</x:v>
      </x:c>
      <x:c r="L763" s="8" t="n">
        <x:v>0</x:v>
      </x:c>
      <x:c r="M763" s="21" t="n">
        <x:f>E763+K763-I763-J763-L763</x:f>
        <x:v>1286.497461928934</x:v>
      </x:c>
    </x:row>
    <x:row r="764" ht="36" customHeight="1">
      <x:c r="A764" s="8" t="str">
        <x:v>Cash-first</x:v>
      </x:c>
      <x:c r="B764" s="8" t="str">
        <x:v>Severe inventory</x:v>
      </x:c>
      <x:c r="C764" s="8" t="str">
        <x:v>Committed revolver</x:v>
      </x:c>
      <x:c r="D764" s="22" t="n">
        <x:v>2</x:v>
      </x:c>
      <x:c r="E764" s="8" t="n">
        <x:v>355.3755584625552</x:v>
      </x:c>
      <x:c r="F764" s="23" t="n">
        <x:v>0.06</x:v>
      </x:c>
      <x:c r="G764" s="8" t="n">
        <x:v>21.322533507753313</x:v>
      </x:c>
      <x:c r="H764" s="8" t="n">
        <x:v>0</x:v>
      </x:c>
      <x:c r="I764" s="8" t="n">
        <x:v>0</x:v>
      </x:c>
      <x:c r="J764" s="8" t="n">
        <x:v>306.83649731633614</x:v>
      </x:c>
      <x:c r="K764" s="8" t="n">
        <x:v>0</x:v>
      </x:c>
      <x:c r="L764" s="8" t="n">
        <x:v>0</x:v>
      </x:c>
      <x:c r="M764" s="21" t="n">
        <x:f>E764+K764-I764-J764-L764</x:f>
        <x:v>48.53906114621907</x:v>
      </x:c>
    </x:row>
    <x:row r="765" ht="36" customHeight="1">
      <x:c r="A765" s="8" t="str">
        <x:v>Cash-first</x:v>
      </x:c>
      <x:c r="B765" s="8" t="str">
        <x:v>Severe inventory</x:v>
      </x:c>
      <x:c r="C765" s="8" t="str">
        <x:v>Atlas notes</x:v>
      </x:c>
      <x:c r="D765" s="22" t="n">
        <x:v>3</x:v>
      </x:c>
      <x:c r="E765" s="8" t="n">
        <x:v>900</x:v>
      </x:c>
      <x:c r="F765" s="23" t="n">
        <x:v>0.038</x:v>
      </x:c>
      <x:c r="G765" s="8" t="n">
        <x:v>34.199999999999996</x:v>
      </x:c>
      <x:c r="H765" s="8" t="n">
        <x:v>0</x:v>
      </x:c>
      <x:c r="I765" s="8" t="n">
        <x:v>0</x:v>
      </x:c>
      <x:c r="J765" s="8" t="n">
        <x:v>0</x:v>
      </x:c>
      <x:c r="K765" s="8" t="n">
        <x:v>0</x:v>
      </x:c>
      <x:c r="L765" s="8" t="n">
        <x:v>0</x:v>
      </x:c>
      <x:c r="M765" s="21" t="n">
        <x:f>E765+K765-I765-J765-L765</x:f>
        <x:v>900</x:v>
      </x:c>
    </x:row>
    <x:row r="766" ht="36" customHeight="1">
      <x:c r="A766" s="8" t="str">
        <x:v>Cash-first</x:v>
      </x:c>
      <x:c r="B766" s="8" t="str">
        <x:v>Severe inventory</x:v>
      </x:c>
      <x:c r="C766" s="8" t="str">
        <x:v>Atlas finance lease</x:v>
      </x:c>
      <x:c r="D766" s="22" t="n">
        <x:v>3</x:v>
      </x:c>
      <x:c r="E766" s="8" t="n">
        <x:v>48</x:v>
      </x:c>
      <x:c r="F766" s="23" t="n">
        <x:v>0.05</x:v>
      </x:c>
      <x:c r="G766" s="8" t="n">
        <x:v>2.4000000000000004</x:v>
      </x:c>
      <x:c r="H766" s="8" t="n">
        <x:v>16</x:v>
      </x:c>
      <x:c r="I766" s="8" t="n">
        <x:v>16</x:v>
      </x:c>
      <x:c r="J766" s="8" t="n">
        <x:v>0</x:v>
      </x:c>
      <x:c r="K766" s="8" t="n">
        <x:v>0</x:v>
      </x:c>
      <x:c r="L766" s="8" t="n">
        <x:v>0</x:v>
      </x:c>
      <x:c r="M766" s="21" t="n">
        <x:f>E766+K766-I766-J766-L766</x:f>
        <x:v>32</x:v>
      </x:c>
    </x:row>
    <x:row r="767" ht="36" customHeight="1">
      <x:c r="A767" s="8" t="str">
        <x:v>Cash-first</x:v>
      </x:c>
      <x:c r="B767" s="8" t="str">
        <x:v>Severe inventory</x:v>
      </x:c>
      <x:c r="C767" s="8" t="str">
        <x:v>Beacon notes</x:v>
      </x:c>
      <x:c r="D767" s="22" t="n">
        <x:v>3</x:v>
      </x:c>
      <x:c r="E767" s="8" t="n">
        <x:v>350</x:v>
      </x:c>
      <x:c r="F767" s="23" t="n">
        <x:v>0.0475</x:v>
      </x:c>
      <x:c r="G767" s="8" t="n">
        <x:v>16.625</x:v>
      </x:c>
      <x:c r="H767" s="8" t="n">
        <x:v>350</x:v>
      </x:c>
      <x:c r="I767" s="8" t="n">
        <x:v>350</x:v>
      </x:c>
      <x:c r="J767" s="8" t="n">
        <x:v>0</x:v>
      </x:c>
      <x:c r="K767" s="8" t="n">
        <x:v>0</x:v>
      </x:c>
      <x:c r="L767" s="8" t="n">
        <x:v>0</x:v>
      </x:c>
      <x:c r="M767" s="21" t="n">
        <x:f>E767+K767-I767-J767-L767</x:f>
        <x:v>0</x:v>
      </x:c>
    </x:row>
    <x:row r="768" ht="36" customHeight="1">
      <x:c r="A768" s="8" t="str">
        <x:v>Cash-first</x:v>
      </x:c>
      <x:c r="B768" s="8" t="str">
        <x:v>Severe inventory</x:v>
      </x:c>
      <x:c r="C768" s="8" t="str">
        <x:v>Acquisition term</x:v>
      </x:c>
      <x:c r="D768" s="22" t="n">
        <x:v>3</x:v>
      </x:c>
      <x:c r="E768" s="8" t="n">
        <x:v>1286.497461928934</x:v>
      </x:c>
      <x:c r="F768" s="23" t="n">
        <x:v>0.060000000000000005</x:v>
      </x:c>
      <x:c r="G768" s="8" t="n">
        <x:v>77.18984771573604</x:v>
      </x:c>
      <x:c r="H768" s="8" t="n">
        <x:v>26.802030456852794</x:v>
      </x:c>
      <x:c r="I768" s="8" t="n">
        <x:v>26.802030456852794</x:v>
      </x:c>
      <x:c r="J768" s="8" t="n">
        <x:v>22.0838494980228</x:v>
      </x:c>
      <x:c r="K768" s="8" t="n">
        <x:v>0</x:v>
      </x:c>
      <x:c r="L768" s="8" t="n">
        <x:v>0</x:v>
      </x:c>
      <x:c r="M768" s="21" t="n">
        <x:f>E768+K768-I768-J768-L768</x:f>
        <x:v>1237.6115819740583</x:v>
      </x:c>
    </x:row>
    <x:row r="769" ht="36" customHeight="1">
      <x:c r="A769" s="8" t="str">
        <x:v>Cash-first</x:v>
      </x:c>
      <x:c r="B769" s="8" t="str">
        <x:v>Severe inventory</x:v>
      </x:c>
      <x:c r="C769" s="8" t="str">
        <x:v>Committed revolver</x:v>
      </x:c>
      <x:c r="D769" s="22" t="n">
        <x:v>3</x:v>
      </x:c>
      <x:c r="E769" s="8" t="n">
        <x:v>48.53906114621907</x:v>
      </x:c>
      <x:c r="F769" s="23" t="n">
        <x:v>0.0575</x:v>
      </x:c>
      <x:c r="G769" s="8" t="n">
        <x:v>2.7909960159075964</x:v>
      </x:c>
      <x:c r="H769" s="8" t="n">
        <x:v>0</x:v>
      </x:c>
      <x:c r="I769" s="8" t="n">
        <x:v>0</x:v>
      </x:c>
      <x:c r="J769" s="8" t="n">
        <x:v>48.53906114621907</x:v>
      </x:c>
      <x:c r="K769" s="8" t="n">
        <x:v>0</x:v>
      </x:c>
      <x:c r="L769" s="8" t="n">
        <x:v>0</x:v>
      </x:c>
      <x:c r="M769" s="21" t="n">
        <x:f>E769+K769-I769-J769-L769</x:f>
        <x:v>0</x:v>
      </x:c>
    </x:row>
    <x:row r="770" ht="36" customHeight="1">
      <x:c r="A770" s="8" t="str">
        <x:v>Cash-first</x:v>
      </x:c>
      <x:c r="B770" s="8" t="str">
        <x:v>Severe inventory</x:v>
      </x:c>
      <x:c r="C770" s="8" t="str">
        <x:v>Atlas notes</x:v>
      </x:c>
      <x:c r="D770" s="22" t="n">
        <x:v>4</x:v>
      </x:c>
      <x:c r="E770" s="8" t="n">
        <x:v>900</x:v>
      </x:c>
      <x:c r="F770" s="23" t="n">
        <x:v>0.038</x:v>
      </x:c>
      <x:c r="G770" s="8" t="n">
        <x:v>34.199999999999996</x:v>
      </x:c>
      <x:c r="H770" s="8" t="n">
        <x:v>900</x:v>
      </x:c>
      <x:c r="I770" s="8" t="n">
        <x:v>900</x:v>
      </x:c>
      <x:c r="J770" s="8" t="n">
        <x:v>0</x:v>
      </x:c>
      <x:c r="K770" s="8" t="n">
        <x:v>0</x:v>
      </x:c>
      <x:c r="L770" s="8" t="n">
        <x:v>0</x:v>
      </x:c>
      <x:c r="M770" s="21" t="n">
        <x:f>E770+K770-I770-J770-L770</x:f>
        <x:v>0</x:v>
      </x:c>
    </x:row>
    <x:row r="771" ht="36" customHeight="1">
      <x:c r="A771" s="8" t="str">
        <x:v>Cash-first</x:v>
      </x:c>
      <x:c r="B771" s="8" t="str">
        <x:v>Severe inventory</x:v>
      </x:c>
      <x:c r="C771" s="8" t="str">
        <x:v>Atlas finance lease</x:v>
      </x:c>
      <x:c r="D771" s="22" t="n">
        <x:v>4</x:v>
      </x:c>
      <x:c r="E771" s="8" t="n">
        <x:v>32</x:v>
      </x:c>
      <x:c r="F771" s="23" t="n">
        <x:v>0.05</x:v>
      </x:c>
      <x:c r="G771" s="8" t="n">
        <x:v>1.6</x:v>
      </x:c>
      <x:c r="H771" s="8" t="n">
        <x:v>16</x:v>
      </x:c>
      <x:c r="I771" s="8" t="n">
        <x:v>16</x:v>
      </x:c>
      <x:c r="J771" s="8" t="n">
        <x:v>0</x:v>
      </x:c>
      <x:c r="K771" s="8" t="n">
        <x:v>0</x:v>
      </x:c>
      <x:c r="L771" s="8" t="n">
        <x:v>0</x:v>
      </x:c>
      <x:c r="M771" s="21" t="n">
        <x:f>E771+K771-I771-J771-L771</x:f>
        <x:v>16</x:v>
      </x:c>
    </x:row>
    <x:row r="772" ht="36" customHeight="1">
      <x:c r="A772" s="8" t="str">
        <x:v>Cash-first</x:v>
      </x:c>
      <x:c r="B772" s="8" t="str">
        <x:v>Severe inventory</x:v>
      </x:c>
      <x:c r="C772" s="8" t="str">
        <x:v>Beacon notes</x:v>
      </x:c>
      <x:c r="D772" s="22" t="n">
        <x:v>4</x:v>
      </x:c>
      <x:c r="E772" s="8" t="n">
        <x:v>0</x:v>
      </x:c>
      <x:c r="F772" s="23" t="n">
        <x:v>0.0475</x:v>
      </x:c>
      <x:c r="G772" s="8" t="n">
        <x:v>0</x:v>
      </x:c>
      <x:c r="H772" s="8" t="n">
        <x:v>0</x:v>
      </x:c>
      <x:c r="I772" s="8" t="n">
        <x:v>0</x:v>
      </x:c>
      <x:c r="J772" s="8" t="n">
        <x:v>0</x:v>
      </x:c>
      <x:c r="K772" s="8" t="n">
        <x:v>0</x:v>
      </x:c>
      <x:c r="L772" s="8" t="n">
        <x:v>0</x:v>
      </x:c>
      <x:c r="M772" s="21" t="n">
        <x:f>E772+K772-I772-J772-L772</x:f>
        <x:v>0</x:v>
      </x:c>
    </x:row>
    <x:row r="773" ht="36" customHeight="1">
      <x:c r="A773" s="8" t="str">
        <x:v>Cash-first</x:v>
      </x:c>
      <x:c r="B773" s="8" t="str">
        <x:v>Severe inventory</x:v>
      </x:c>
      <x:c r="C773" s="8" t="str">
        <x:v>Acquisition term</x:v>
      </x:c>
      <x:c r="D773" s="22" t="n">
        <x:v>4</x:v>
      </x:c>
      <x:c r="E773" s="8" t="n">
        <x:v>1237.6115819740583</x:v>
      </x:c>
      <x:c r="F773" s="23" t="n">
        <x:v>0.060000000000000005</x:v>
      </x:c>
      <x:c r="G773" s="8" t="n">
        <x:v>74.2566949184435</x:v>
      </x:c>
      <x:c r="H773" s="8" t="n">
        <x:v>26.802030456852794</x:v>
      </x:c>
      <x:c r="I773" s="8" t="n">
        <x:v>26.802030456852794</x:v>
      </x:c>
      <x:c r="J773" s="8" t="n">
        <x:v>0</x:v>
      </x:c>
      <x:c r="K773" s="8" t="n">
        <x:v>0</x:v>
      </x:c>
      <x:c r="L773" s="8" t="n">
        <x:v>0</x:v>
      </x:c>
      <x:c r="M773" s="21" t="n">
        <x:f>E773+K773-I773-J773-L773</x:f>
        <x:v>1210.8095515172054</x:v>
      </x:c>
    </x:row>
    <x:row r="774" ht="36" customHeight="1">
      <x:c r="A774" s="8" t="str">
        <x:v>Cash-first</x:v>
      </x:c>
      <x:c r="B774" s="8" t="str">
        <x:v>Severe inventory</x:v>
      </x:c>
      <x:c r="C774" s="8" t="str">
        <x:v>Committed revolver</x:v>
      </x:c>
      <x:c r="D774" s="22" t="n">
        <x:v>4</x:v>
      </x:c>
      <x:c r="E774" s="8" t="n">
        <x:v>0</x:v>
      </x:c>
      <x:c r="F774" s="23" t="n">
        <x:v>0.0575</x:v>
      </x:c>
      <x:c r="G774" s="8" t="n">
        <x:v>0</x:v>
      </x:c>
      <x:c r="H774" s="8" t="n">
        <x:v>0</x:v>
      </x:c>
      <x:c r="I774" s="8" t="n">
        <x:v>0</x:v>
      </x:c>
      <x:c r="J774" s="8" t="n">
        <x:v>0</x:v>
      </x:c>
      <x:c r="K774" s="8" t="n">
        <x:v>415.574485048362</x:v>
      </x:c>
      <x:c r="L774" s="8" t="n">
        <x:v>0</x:v>
      </x:c>
      <x:c r="M774" s="21" t="n">
        <x:f>E774+K774-I774-J774-L774</x:f>
        <x:v>415.574485048362</x:v>
      </x:c>
    </x:row>
    <x:row r="775" ht="36" customHeight="1">
      <x:c r="A775" s="8" t="str">
        <x:v>Cash-first</x:v>
      </x:c>
      <x:c r="B775" s="8" t="str">
        <x:v>Severe inventory</x:v>
      </x:c>
      <x:c r="C775" s="8" t="str">
        <x:v>Atlas notes</x:v>
      </x:c>
      <x:c r="D775" s="22" t="n">
        <x:v>5</x:v>
      </x:c>
      <x:c r="E775" s="8" t="n">
        <x:v>0</x:v>
      </x:c>
      <x:c r="F775" s="23" t="n">
        <x:v>0.038</x:v>
      </x:c>
      <x:c r="G775" s="8" t="n">
        <x:v>0</x:v>
      </x:c>
      <x:c r="H775" s="8" t="n">
        <x:v>0</x:v>
      </x:c>
      <x:c r="I775" s="8" t="n">
        <x:v>0</x:v>
      </x:c>
      <x:c r="J775" s="8" t="n">
        <x:v>0</x:v>
      </x:c>
      <x:c r="K775" s="8" t="n">
        <x:v>0</x:v>
      </x:c>
      <x:c r="L775" s="8" t="n">
        <x:v>0</x:v>
      </x:c>
      <x:c r="M775" s="21" t="n">
        <x:f>E775+K775-I775-J775-L775</x:f>
        <x:v>0</x:v>
      </x:c>
    </x:row>
    <x:row r="776" ht="36" customHeight="1">
      <x:c r="A776" s="8" t="str">
        <x:v>Cash-first</x:v>
      </x:c>
      <x:c r="B776" s="8" t="str">
        <x:v>Severe inventory</x:v>
      </x:c>
      <x:c r="C776" s="8" t="str">
        <x:v>Atlas finance lease</x:v>
      </x:c>
      <x:c r="D776" s="22" t="n">
        <x:v>5</x:v>
      </x:c>
      <x:c r="E776" s="8" t="n">
        <x:v>16</x:v>
      </x:c>
      <x:c r="F776" s="23" t="n">
        <x:v>0.05</x:v>
      </x:c>
      <x:c r="G776" s="8" t="n">
        <x:v>0.8</x:v>
      </x:c>
      <x:c r="H776" s="8" t="n">
        <x:v>16</x:v>
      </x:c>
      <x:c r="I776" s="8" t="n">
        <x:v>16</x:v>
      </x:c>
      <x:c r="J776" s="8" t="n">
        <x:v>0</x:v>
      </x:c>
      <x:c r="K776" s="8" t="n">
        <x:v>0</x:v>
      </x:c>
      <x:c r="L776" s="8" t="n">
        <x:v>0</x:v>
      </x:c>
      <x:c r="M776" s="21" t="n">
        <x:f>E776+K776-I776-J776-L776</x:f>
        <x:v>0</x:v>
      </x:c>
    </x:row>
    <x:row r="777" ht="36" customHeight="1">
      <x:c r="A777" s="8" t="str">
        <x:v>Cash-first</x:v>
      </x:c>
      <x:c r="B777" s="8" t="str">
        <x:v>Severe inventory</x:v>
      </x:c>
      <x:c r="C777" s="8" t="str">
        <x:v>Beacon notes</x:v>
      </x:c>
      <x:c r="D777" s="22" t="n">
        <x:v>5</x:v>
      </x:c>
      <x:c r="E777" s="8" t="n">
        <x:v>0</x:v>
      </x:c>
      <x:c r="F777" s="23" t="n">
        <x:v>0.0475</x:v>
      </x:c>
      <x:c r="G777" s="8" t="n">
        <x:v>0</x:v>
      </x:c>
      <x:c r="H777" s="8" t="n">
        <x:v>0</x:v>
      </x:c>
      <x:c r="I777" s="8" t="n">
        <x:v>0</x:v>
      </x:c>
      <x:c r="J777" s="8" t="n">
        <x:v>0</x:v>
      </x:c>
      <x:c r="K777" s="8" t="n">
        <x:v>0</x:v>
      </x:c>
      <x:c r="L777" s="8" t="n">
        <x:v>0</x:v>
      </x:c>
      <x:c r="M777" s="21" t="n">
        <x:f>E777+K777-I777-J777-L777</x:f>
        <x:v>0</x:v>
      </x:c>
    </x:row>
    <x:row r="778" ht="36" customHeight="1">
      <x:c r="A778" s="8" t="str">
        <x:v>Cash-first</x:v>
      </x:c>
      <x:c r="B778" s="8" t="str">
        <x:v>Severe inventory</x:v>
      </x:c>
      <x:c r="C778" s="8" t="str">
        <x:v>Acquisition term</x:v>
      </x:c>
      <x:c r="D778" s="22" t="n">
        <x:v>5</x:v>
      </x:c>
      <x:c r="E778" s="8" t="n">
        <x:v>1210.8095515172054</x:v>
      </x:c>
      <x:c r="F778" s="23" t="n">
        <x:v>0.060000000000000005</x:v>
      </x:c>
      <x:c r="G778" s="8" t="n">
        <x:v>72.64857309103233</x:v>
      </x:c>
      <x:c r="H778" s="8" t="n">
        <x:v>1210.8095515172054</x:v>
      </x:c>
      <x:c r="I778" s="8" t="n">
        <x:v>1210.8095515172054</x:v>
      </x:c>
      <x:c r="J778" s="8" t="n">
        <x:v>0</x:v>
      </x:c>
      <x:c r="K778" s="8" t="n">
        <x:v>0</x:v>
      </x:c>
      <x:c r="L778" s="8" t="n">
        <x:v>0</x:v>
      </x:c>
      <x:c r="M778" s="21" t="n">
        <x:f>E778+K778-I778-J778-L778</x:f>
        <x:v>0</x:v>
      </x:c>
    </x:row>
    <x:row r="779" ht="36" customHeight="1">
      <x:c r="A779" s="8" t="str">
        <x:v>Cash-first</x:v>
      </x:c>
      <x:c r="B779" s="8" t="str">
        <x:v>Severe inventory</x:v>
      </x:c>
      <x:c r="C779" s="8" t="str">
        <x:v>Committed revolver</x:v>
      </x:c>
      <x:c r="D779" s="22" t="n">
        <x:v>5</x:v>
      </x:c>
      <x:c r="E779" s="8" t="n">
        <x:v>415.574485048362</x:v>
      </x:c>
      <x:c r="F779" s="23" t="n">
        <x:v>0.0575</x:v>
      </x:c>
      <x:c r="G779" s="8" t="n">
        <x:v>23.895532890280816</x:v>
      </x:c>
      <x:c r="H779" s="8" t="n">
        <x:v>415.574485048362</x:v>
      </x:c>
      <x:c r="I779" s="8" t="n">
        <x:v>87.23884705106639</x:v>
      </x:c>
      <x:c r="J779" s="8" t="n">
        <x:v>0</x:v>
      </x:c>
      <x:c r="K779" s="8" t="n">
        <x:v>0</x:v>
      </x:c>
      <x:c r="L779" s="8" t="n">
        <x:v>0</x:v>
      </x:c>
      <x:c r="M779" s="21" t="n">
        <x:f>E779+K779-I779-J779-L779</x:f>
        <x:v>328.33563799729563</x:v>
      </x:c>
    </x:row>
    <x:row r="780" ht="36" customHeight="1">
      <x:c r="A780" s="8" t="str">
        <x:v>Liquidity-first</x:v>
      </x:c>
      <x:c r="B780" s="8" t="str">
        <x:v>Severe inventory</x:v>
      </x:c>
      <x:c r="C780" s="8" t="str">
        <x:v>Atlas notes</x:v>
      </x:c>
      <x:c r="D780" s="22" t="n">
        <x:v>1</x:v>
      </x:c>
      <x:c r="E780" s="8" t="n">
        <x:v>900</x:v>
      </x:c>
      <x:c r="F780" s="23" t="n">
        <x:v>0.038</x:v>
      </x:c>
      <x:c r="G780" s="8" t="n">
        <x:v>34.199999999999996</x:v>
      </x:c>
      <x:c r="H780" s="8" t="n">
        <x:v>0</x:v>
      </x:c>
      <x:c r="I780" s="8" t="n">
        <x:v>0</x:v>
      </x:c>
      <x:c r="J780" s="8" t="n">
        <x:v>0</x:v>
      </x:c>
      <x:c r="K780" s="8" t="n">
        <x:v>0</x:v>
      </x:c>
      <x:c r="L780" s="8" t="n">
        <x:v>0</x:v>
      </x:c>
      <x:c r="M780" s="21" t="n">
        <x:f>E780+K780-I780-J780-L780</x:f>
        <x:v>900</x:v>
      </x:c>
    </x:row>
    <x:row r="781" ht="36" customHeight="1">
      <x:c r="A781" s="8" t="str">
        <x:v>Liquidity-first</x:v>
      </x:c>
      <x:c r="B781" s="8" t="str">
        <x:v>Severe inventory</x:v>
      </x:c>
      <x:c r="C781" s="8" t="str">
        <x:v>Atlas finance lease</x:v>
      </x:c>
      <x:c r="D781" s="22" t="n">
        <x:v>1</x:v>
      </x:c>
      <x:c r="E781" s="8" t="n">
        <x:v>80</x:v>
      </x:c>
      <x:c r="F781" s="23" t="n">
        <x:v>0.05</x:v>
      </x:c>
      <x:c r="G781" s="8" t="n">
        <x:v>4</x:v>
      </x:c>
      <x:c r="H781" s="8" t="n">
        <x:v>16</x:v>
      </x:c>
      <x:c r="I781" s="8" t="n">
        <x:v>16</x:v>
      </x:c>
      <x:c r="J781" s="8" t="n">
        <x:v>0</x:v>
      </x:c>
      <x:c r="K781" s="8" t="n">
        <x:v>0</x:v>
      </x:c>
      <x:c r="L781" s="8" t="n">
        <x:v>0</x:v>
      </x:c>
      <x:c r="M781" s="21" t="n">
        <x:f>E781+K781-I781-J781-L781</x:f>
        <x:v>64</x:v>
      </x:c>
    </x:row>
    <x:row r="782" ht="36" customHeight="1">
      <x:c r="A782" s="8" t="str">
        <x:v>Liquidity-first</x:v>
      </x:c>
      <x:c r="B782" s="8" t="str">
        <x:v>Severe inventory</x:v>
      </x:c>
      <x:c r="C782" s="8" t="str">
        <x:v>Beacon notes</x:v>
      </x:c>
      <x:c r="D782" s="22" t="n">
        <x:v>1</x:v>
      </x:c>
      <x:c r="E782" s="8" t="n">
        <x:v>350</x:v>
      </x:c>
      <x:c r="F782" s="23" t="n">
        <x:v>0.0475</x:v>
      </x:c>
      <x:c r="G782" s="8" t="n">
        <x:v>16.625</x:v>
      </x:c>
      <x:c r="H782" s="8" t="n">
        <x:v>0</x:v>
      </x:c>
      <x:c r="I782" s="8" t="n">
        <x:v>0</x:v>
      </x:c>
      <x:c r="J782" s="8" t="n">
        <x:v>0</x:v>
      </x:c>
      <x:c r="K782" s="8" t="n">
        <x:v>0</x:v>
      </x:c>
      <x:c r="L782" s="8" t="n">
        <x:v>0</x:v>
      </x:c>
      <x:c r="M782" s="21" t="n">
        <x:f>E782+K782-I782-J782-L782</x:f>
        <x:v>350</x:v>
      </x:c>
    </x:row>
    <x:row r="783" ht="36" customHeight="1">
      <x:c r="A783" s="8" t="str">
        <x:v>Liquidity-first</x:v>
      </x:c>
      <x:c r="B783" s="8" t="str">
        <x:v>Severe inventory</x:v>
      </x:c>
      <x:c r="C783" s="8" t="str">
        <x:v>Acquisition term</x:v>
      </x:c>
      <x:c r="D783" s="22" t="n">
        <x:v>1</x:v>
      </x:c>
      <x:c r="E783" s="8" t="n">
        <x:v>2223.3502538071066</x:v>
      </x:c>
      <x:c r="F783" s="23" t="n">
        <x:v>0.065</x:v>
      </x:c>
      <x:c r="G783" s="8" t="n">
        <x:v>144.51776649746193</x:v>
      </x:c>
      <x:c r="H783" s="8" t="n">
        <x:v>44.46700507614213</x:v>
      </x:c>
      <x:c r="I783" s="8" t="n">
        <x:v>44.46700507614213</x:v>
      </x:c>
      <x:c r="J783" s="8" t="n">
        <x:v>453.9010912836377</x:v>
      </x:c>
      <x:c r="K783" s="8" t="n">
        <x:v>0</x:v>
      </x:c>
      <x:c r="L783" s="8" t="n">
        <x:v>0</x:v>
      </x:c>
      <x:c r="M783" s="21" t="n">
        <x:f>E783+K783-I783-J783-L783</x:f>
        <x:v>1724.982157447327</x:v>
      </x:c>
    </x:row>
    <x:row r="784" ht="36" customHeight="1">
      <x:c r="A784" s="8" t="str">
        <x:v>Liquidity-first</x:v>
      </x:c>
      <x:c r="B784" s="8" t="str">
        <x:v>Severe inventory</x:v>
      </x:c>
      <x:c r="C784" s="8" t="str">
        <x:v>Committed revolver</x:v>
      </x:c>
      <x:c r="D784" s="22" t="n">
        <x:v>1</x:v>
      </x:c>
      <x:c r="E784" s="8" t="n">
        <x:v>0</x:v>
      </x:c>
      <x:c r="F784" s="23" t="n">
        <x:v>0.0625</x:v>
      </x:c>
      <x:c r="G784" s="8" t="n">
        <x:v>0</x:v>
      </x:c>
      <x:c r="H784" s="8" t="n">
        <x:v>0</x:v>
      </x:c>
      <x:c r="I784" s="8" t="n">
        <x:v>0</x:v>
      </x:c>
      <x:c r="J784" s="8" t="n">
        <x:v>0</x:v>
      </x:c>
      <x:c r="K784" s="8" t="n">
        <x:v>0</x:v>
      </x:c>
      <x:c r="L784" s="8" t="n">
        <x:v>0</x:v>
      </x:c>
      <x:c r="M784" s="21" t="n">
        <x:f>E784+K784-I784-J784-L784</x:f>
        <x:v>0</x:v>
      </x:c>
    </x:row>
    <x:row r="785" ht="36" customHeight="1">
      <x:c r="A785" s="8" t="str">
        <x:v>Liquidity-first</x:v>
      </x:c>
      <x:c r="B785" s="8" t="str">
        <x:v>Severe inventory</x:v>
      </x:c>
      <x:c r="C785" s="8" t="str">
        <x:v>Atlas notes</x:v>
      </x:c>
      <x:c r="D785" s="22" t="n">
        <x:v>2</x:v>
      </x:c>
      <x:c r="E785" s="8" t="n">
        <x:v>900</x:v>
      </x:c>
      <x:c r="F785" s="23" t="n">
        <x:v>0.038</x:v>
      </x:c>
      <x:c r="G785" s="8" t="n">
        <x:v>34.199999999999996</x:v>
      </x:c>
      <x:c r="H785" s="8" t="n">
        <x:v>0</x:v>
      </x:c>
      <x:c r="I785" s="8" t="n">
        <x:v>0</x:v>
      </x:c>
      <x:c r="J785" s="8" t="n">
        <x:v>0</x:v>
      </x:c>
      <x:c r="K785" s="8" t="n">
        <x:v>0</x:v>
      </x:c>
      <x:c r="L785" s="8" t="n">
        <x:v>0</x:v>
      </x:c>
      <x:c r="M785" s="21" t="n">
        <x:f>E785+K785-I785-J785-L785</x:f>
        <x:v>900</x:v>
      </x:c>
    </x:row>
    <x:row r="786" ht="36" customHeight="1">
      <x:c r="A786" s="8" t="str">
        <x:v>Liquidity-first</x:v>
      </x:c>
      <x:c r="B786" s="8" t="str">
        <x:v>Severe inventory</x:v>
      </x:c>
      <x:c r="C786" s="8" t="str">
        <x:v>Atlas finance lease</x:v>
      </x:c>
      <x:c r="D786" s="22" t="n">
        <x:v>2</x:v>
      </x:c>
      <x:c r="E786" s="8" t="n">
        <x:v>64</x:v>
      </x:c>
      <x:c r="F786" s="23" t="n">
        <x:v>0.05</x:v>
      </x:c>
      <x:c r="G786" s="8" t="n">
        <x:v>3.2</x:v>
      </x:c>
      <x:c r="H786" s="8" t="n">
        <x:v>16</x:v>
      </x:c>
      <x:c r="I786" s="8" t="n">
        <x:v>16</x:v>
      </x:c>
      <x:c r="J786" s="8" t="n">
        <x:v>0</x:v>
      </x:c>
      <x:c r="K786" s="8" t="n">
        <x:v>0</x:v>
      </x:c>
      <x:c r="L786" s="8" t="n">
        <x:v>0</x:v>
      </x:c>
      <x:c r="M786" s="21" t="n">
        <x:f>E786+K786-I786-J786-L786</x:f>
        <x:v>48</x:v>
      </x:c>
    </x:row>
    <x:row r="787" ht="36" customHeight="1">
      <x:c r="A787" s="8" t="str">
        <x:v>Liquidity-first</x:v>
      </x:c>
      <x:c r="B787" s="8" t="str">
        <x:v>Severe inventory</x:v>
      </x:c>
      <x:c r="C787" s="8" t="str">
        <x:v>Beacon notes</x:v>
      </x:c>
      <x:c r="D787" s="22" t="n">
        <x:v>2</x:v>
      </x:c>
      <x:c r="E787" s="8" t="n">
        <x:v>350</x:v>
      </x:c>
      <x:c r="F787" s="23" t="n">
        <x:v>0.0475</x:v>
      </x:c>
      <x:c r="G787" s="8" t="n">
        <x:v>16.625</x:v>
      </x:c>
      <x:c r="H787" s="8" t="n">
        <x:v>0</x:v>
      </x:c>
      <x:c r="I787" s="8" t="n">
        <x:v>0</x:v>
      </x:c>
      <x:c r="J787" s="8" t="n">
        <x:v>0</x:v>
      </x:c>
      <x:c r="K787" s="8" t="n">
        <x:v>0</x:v>
      </x:c>
      <x:c r="L787" s="8" t="n">
        <x:v>0</x:v>
      </x:c>
      <x:c r="M787" s="21" t="n">
        <x:f>E787+K787-I787-J787-L787</x:f>
        <x:v>350</x:v>
      </x:c>
    </x:row>
    <x:row r="788" ht="36" customHeight="1">
      <x:c r="A788" s="8" t="str">
        <x:v>Liquidity-first</x:v>
      </x:c>
      <x:c r="B788" s="8" t="str">
        <x:v>Severe inventory</x:v>
      </x:c>
      <x:c r="C788" s="8" t="str">
        <x:v>Acquisition term</x:v>
      </x:c>
      <x:c r="D788" s="22" t="n">
        <x:v>2</x:v>
      </x:c>
      <x:c r="E788" s="8" t="n">
        <x:v>1724.982157447327</x:v>
      </x:c>
      <x:c r="F788" s="23" t="n">
        <x:v>0.0625</x:v>
      </x:c>
      <x:c r="G788" s="8" t="n">
        <x:v>107.81138484045793</x:v>
      </x:c>
      <x:c r="H788" s="8" t="n">
        <x:v>44.46700507614213</x:v>
      </x:c>
      <x:c r="I788" s="8" t="n">
        <x:v>44.46700507614213</x:v>
      </x:c>
      <x:c r="J788" s="8" t="n">
        <x:v>285.86579790310225</x:v>
      </x:c>
      <x:c r="K788" s="8" t="n">
        <x:v>0</x:v>
      </x:c>
      <x:c r="L788" s="8" t="n">
        <x:v>0</x:v>
      </x:c>
      <x:c r="M788" s="21" t="n">
        <x:f>E788+K788-I788-J788-L788</x:f>
        <x:v>1394.6493544680825</x:v>
      </x:c>
    </x:row>
    <x:row r="789" ht="36" customHeight="1">
      <x:c r="A789" s="8" t="str">
        <x:v>Liquidity-first</x:v>
      </x:c>
      <x:c r="B789" s="8" t="str">
        <x:v>Severe inventory</x:v>
      </x:c>
      <x:c r="C789" s="8" t="str">
        <x:v>Committed revolver</x:v>
      </x:c>
      <x:c r="D789" s="22" t="n">
        <x:v>2</x:v>
      </x:c>
      <x:c r="E789" s="8" t="n">
        <x:v>0</x:v>
      </x:c>
      <x:c r="F789" s="23" t="n">
        <x:v>0.06</x:v>
      </x:c>
      <x:c r="G789" s="8" t="n">
        <x:v>0</x:v>
      </x:c>
      <x:c r="H789" s="8" t="n">
        <x:v>0</x:v>
      </x:c>
      <x:c r="I789" s="8" t="n">
        <x:v>0</x:v>
      </x:c>
      <x:c r="J789" s="8" t="n">
        <x:v>0</x:v>
      </x:c>
      <x:c r="K789" s="8" t="n">
        <x:v>0</x:v>
      </x:c>
      <x:c r="L789" s="8" t="n">
        <x:v>0</x:v>
      </x:c>
      <x:c r="M789" s="21" t="n">
        <x:f>E789+K789-I789-J789-L789</x:f>
        <x:v>0</x:v>
      </x:c>
    </x:row>
    <x:row r="790" ht="36" customHeight="1">
      <x:c r="A790" s="8" t="str">
        <x:v>Liquidity-first</x:v>
      </x:c>
      <x:c r="B790" s="8" t="str">
        <x:v>Severe inventory</x:v>
      </x:c>
      <x:c r="C790" s="8" t="str">
        <x:v>Atlas notes</x:v>
      </x:c>
      <x:c r="D790" s="22" t="n">
        <x:v>3</x:v>
      </x:c>
      <x:c r="E790" s="8" t="n">
        <x:v>900</x:v>
      </x:c>
      <x:c r="F790" s="23" t="n">
        <x:v>0.038</x:v>
      </x:c>
      <x:c r="G790" s="8" t="n">
        <x:v>34.199999999999996</x:v>
      </x:c>
      <x:c r="H790" s="8" t="n">
        <x:v>0</x:v>
      </x:c>
      <x:c r="I790" s="8" t="n">
        <x:v>0</x:v>
      </x:c>
      <x:c r="J790" s="8" t="n">
        <x:v>0</x:v>
      </x:c>
      <x:c r="K790" s="8" t="n">
        <x:v>0</x:v>
      </x:c>
      <x:c r="L790" s="8" t="n">
        <x:v>0</x:v>
      </x:c>
      <x:c r="M790" s="21" t="n">
        <x:f>E790+K790-I790-J790-L790</x:f>
        <x:v>900</x:v>
      </x:c>
    </x:row>
    <x:row r="791" ht="36" customHeight="1">
      <x:c r="A791" s="8" t="str">
        <x:v>Liquidity-first</x:v>
      </x:c>
      <x:c r="B791" s="8" t="str">
        <x:v>Severe inventory</x:v>
      </x:c>
      <x:c r="C791" s="8" t="str">
        <x:v>Atlas finance lease</x:v>
      </x:c>
      <x:c r="D791" s="22" t="n">
        <x:v>3</x:v>
      </x:c>
      <x:c r="E791" s="8" t="n">
        <x:v>48</x:v>
      </x:c>
      <x:c r="F791" s="23" t="n">
        <x:v>0.05</x:v>
      </x:c>
      <x:c r="G791" s="8" t="n">
        <x:v>2.4000000000000004</x:v>
      </x:c>
      <x:c r="H791" s="8" t="n">
        <x:v>16</x:v>
      </x:c>
      <x:c r="I791" s="8" t="n">
        <x:v>16</x:v>
      </x:c>
      <x:c r="J791" s="8" t="n">
        <x:v>0</x:v>
      </x:c>
      <x:c r="K791" s="8" t="n">
        <x:v>0</x:v>
      </x:c>
      <x:c r="L791" s="8" t="n">
        <x:v>0</x:v>
      </x:c>
      <x:c r="M791" s="21" t="n">
        <x:f>E791+K791-I791-J791-L791</x:f>
        <x:v>32</x:v>
      </x:c>
    </x:row>
    <x:row r="792" ht="36" customHeight="1">
      <x:c r="A792" s="8" t="str">
        <x:v>Liquidity-first</x:v>
      </x:c>
      <x:c r="B792" s="8" t="str">
        <x:v>Severe inventory</x:v>
      </x:c>
      <x:c r="C792" s="8" t="str">
        <x:v>Beacon notes</x:v>
      </x:c>
      <x:c r="D792" s="22" t="n">
        <x:v>3</x:v>
      </x:c>
      <x:c r="E792" s="8" t="n">
        <x:v>350</x:v>
      </x:c>
      <x:c r="F792" s="23" t="n">
        <x:v>0.0475</x:v>
      </x:c>
      <x:c r="G792" s="8" t="n">
        <x:v>16.625</x:v>
      </x:c>
      <x:c r="H792" s="8" t="n">
        <x:v>350</x:v>
      </x:c>
      <x:c r="I792" s="8" t="n">
        <x:v>350</x:v>
      </x:c>
      <x:c r="J792" s="8" t="n">
        <x:v>0</x:v>
      </x:c>
      <x:c r="K792" s="8" t="n">
        <x:v>0</x:v>
      </x:c>
      <x:c r="L792" s="8" t="n">
        <x:v>0</x:v>
      </x:c>
      <x:c r="M792" s="21" t="n">
        <x:f>E792+K792-I792-J792-L792</x:f>
        <x:v>0</x:v>
      </x:c>
    </x:row>
    <x:row r="793" ht="36" customHeight="1">
      <x:c r="A793" s="8" t="str">
        <x:v>Liquidity-first</x:v>
      </x:c>
      <x:c r="B793" s="8" t="str">
        <x:v>Severe inventory</x:v>
      </x:c>
      <x:c r="C793" s="8" t="str">
        <x:v>Acquisition term</x:v>
      </x:c>
      <x:c r="D793" s="22" t="n">
        <x:v>3</x:v>
      </x:c>
      <x:c r="E793" s="8" t="n">
        <x:v>1394.6493544680825</x:v>
      </x:c>
      <x:c r="F793" s="23" t="n">
        <x:v>0.060000000000000005</x:v>
      </x:c>
      <x:c r="G793" s="8" t="n">
        <x:v>83.67896126808496</x:v>
      </x:c>
      <x:c r="H793" s="8" t="n">
        <x:v>44.46700507614213</x:v>
      </x:c>
      <x:c r="I793" s="8" t="n">
        <x:v>44.46700507614213</x:v>
      </x:c>
      <x:c r="J793" s="8" t="n">
        <x:v>50.1843478726214</x:v>
      </x:c>
      <x:c r="K793" s="8" t="n">
        <x:v>0</x:v>
      </x:c>
      <x:c r="L793" s="8" t="n">
        <x:v>0</x:v>
      </x:c>
      <x:c r="M793" s="21" t="n">
        <x:f>E793+K793-I793-J793-L793</x:f>
        <x:v>1299.998001519319</x:v>
      </x:c>
    </x:row>
    <x:row r="794" ht="36" customHeight="1">
      <x:c r="A794" s="8" t="str">
        <x:v>Liquidity-first</x:v>
      </x:c>
      <x:c r="B794" s="8" t="str">
        <x:v>Severe inventory</x:v>
      </x:c>
      <x:c r="C794" s="8" t="str">
        <x:v>Committed revolver</x:v>
      </x:c>
      <x:c r="D794" s="22" t="n">
        <x:v>3</x:v>
      </x:c>
      <x:c r="E794" s="8" t="n">
        <x:v>0</x:v>
      </x:c>
      <x:c r="F794" s="23" t="n">
        <x:v>0.0575</x:v>
      </x:c>
      <x:c r="G794" s="8" t="n">
        <x:v>0</x:v>
      </x:c>
      <x:c r="H794" s="8" t="n">
        <x:v>0</x:v>
      </x:c>
      <x:c r="I794" s="8" t="n">
        <x:v>0</x:v>
      </x:c>
      <x:c r="J794" s="8" t="n">
        <x:v>0</x:v>
      </x:c>
      <x:c r="K794" s="8" t="n">
        <x:v>0</x:v>
      </x:c>
      <x:c r="L794" s="8" t="n">
        <x:v>0</x:v>
      </x:c>
      <x:c r="M794" s="21" t="n">
        <x:f>E794+K794-I794-J794-L794</x:f>
        <x:v>0</x:v>
      </x:c>
    </x:row>
    <x:row r="795" ht="36" customHeight="1">
      <x:c r="A795" s="8" t="str">
        <x:v>Liquidity-first</x:v>
      </x:c>
      <x:c r="B795" s="8" t="str">
        <x:v>Severe inventory</x:v>
      </x:c>
      <x:c r="C795" s="8" t="str">
        <x:v>Atlas notes</x:v>
      </x:c>
      <x:c r="D795" s="22" t="n">
        <x:v>4</x:v>
      </x:c>
      <x:c r="E795" s="8" t="n">
        <x:v>900</x:v>
      </x:c>
      <x:c r="F795" s="23" t="n">
        <x:v>0.038</x:v>
      </x:c>
      <x:c r="G795" s="8" t="n">
        <x:v>34.199999999999996</x:v>
      </x:c>
      <x:c r="H795" s="8" t="n">
        <x:v>900</x:v>
      </x:c>
      <x:c r="I795" s="8" t="n">
        <x:v>900</x:v>
      </x:c>
      <x:c r="J795" s="8" t="n">
        <x:v>0</x:v>
      </x:c>
      <x:c r="K795" s="8" t="n">
        <x:v>0</x:v>
      </x:c>
      <x:c r="L795" s="8" t="n">
        <x:v>0</x:v>
      </x:c>
      <x:c r="M795" s="21" t="n">
        <x:f>E795+K795-I795-J795-L795</x:f>
        <x:v>0</x:v>
      </x:c>
    </x:row>
    <x:row r="796" ht="36" customHeight="1">
      <x:c r="A796" s="8" t="str">
        <x:v>Liquidity-first</x:v>
      </x:c>
      <x:c r="B796" s="8" t="str">
        <x:v>Severe inventory</x:v>
      </x:c>
      <x:c r="C796" s="8" t="str">
        <x:v>Atlas finance lease</x:v>
      </x:c>
      <x:c r="D796" s="22" t="n">
        <x:v>4</x:v>
      </x:c>
      <x:c r="E796" s="8" t="n">
        <x:v>32</x:v>
      </x:c>
      <x:c r="F796" s="23" t="n">
        <x:v>0.05</x:v>
      </x:c>
      <x:c r="G796" s="8" t="n">
        <x:v>1.6</x:v>
      </x:c>
      <x:c r="H796" s="8" t="n">
        <x:v>16</x:v>
      </x:c>
      <x:c r="I796" s="8" t="n">
        <x:v>16</x:v>
      </x:c>
      <x:c r="J796" s="8" t="n">
        <x:v>0</x:v>
      </x:c>
      <x:c r="K796" s="8" t="n">
        <x:v>0</x:v>
      </x:c>
      <x:c r="L796" s="8" t="n">
        <x:v>0</x:v>
      </x:c>
      <x:c r="M796" s="21" t="n">
        <x:f>E796+K796-I796-J796-L796</x:f>
        <x:v>16</x:v>
      </x:c>
    </x:row>
    <x:row r="797" ht="36" customHeight="1">
      <x:c r="A797" s="8" t="str">
        <x:v>Liquidity-first</x:v>
      </x:c>
      <x:c r="B797" s="8" t="str">
        <x:v>Severe inventory</x:v>
      </x:c>
      <x:c r="C797" s="8" t="str">
        <x:v>Beacon notes</x:v>
      </x:c>
      <x:c r="D797" s="22" t="n">
        <x:v>4</x:v>
      </x:c>
      <x:c r="E797" s="8" t="n">
        <x:v>0</x:v>
      </x:c>
      <x:c r="F797" s="23" t="n">
        <x:v>0.0475</x:v>
      </x:c>
      <x:c r="G797" s="8" t="n">
        <x:v>0</x:v>
      </x:c>
      <x:c r="H797" s="8" t="n">
        <x:v>0</x:v>
      </x:c>
      <x:c r="I797" s="8" t="n">
        <x:v>0</x:v>
      </x:c>
      <x:c r="J797" s="8" t="n">
        <x:v>0</x:v>
      </x:c>
      <x:c r="K797" s="8" t="n">
        <x:v>0</x:v>
      </x:c>
      <x:c r="L797" s="8" t="n">
        <x:v>0</x:v>
      </x:c>
      <x:c r="M797" s="21" t="n">
        <x:f>E797+K797-I797-J797-L797</x:f>
        <x:v>0</x:v>
      </x:c>
    </x:row>
    <x:row r="798" ht="36" customHeight="1">
      <x:c r="A798" s="8" t="str">
        <x:v>Liquidity-first</x:v>
      </x:c>
      <x:c r="B798" s="8" t="str">
        <x:v>Severe inventory</x:v>
      </x:c>
      <x:c r="C798" s="8" t="str">
        <x:v>Acquisition term</x:v>
      </x:c>
      <x:c r="D798" s="22" t="n">
        <x:v>4</x:v>
      </x:c>
      <x:c r="E798" s="8" t="n">
        <x:v>1299.998001519319</x:v>
      </x:c>
      <x:c r="F798" s="23" t="n">
        <x:v>0.060000000000000005</x:v>
      </x:c>
      <x:c r="G798" s="8" t="n">
        <x:v>77.99988009115914</x:v>
      </x:c>
      <x:c r="H798" s="8" t="n">
        <x:v>44.46700507614213</x:v>
      </x:c>
      <x:c r="I798" s="8" t="n">
        <x:v>44.46700507614213</x:v>
      </x:c>
      <x:c r="J798" s="8" t="n">
        <x:v>0</x:v>
      </x:c>
      <x:c r="K798" s="8" t="n">
        <x:v>0</x:v>
      </x:c>
      <x:c r="L798" s="8" t="n">
        <x:v>0</x:v>
      </x:c>
      <x:c r="M798" s="21" t="n">
        <x:f>E798+K798-I798-J798-L798</x:f>
        <x:v>1255.5309964431767</x:v>
      </x:c>
    </x:row>
    <x:row r="799" ht="36" customHeight="1">
      <x:c r="A799" s="8" t="str">
        <x:v>Liquidity-first</x:v>
      </x:c>
      <x:c r="B799" s="8" t="str">
        <x:v>Severe inventory</x:v>
      </x:c>
      <x:c r="C799" s="8" t="str">
        <x:v>Committed revolver</x:v>
      </x:c>
      <x:c r="D799" s="22" t="n">
        <x:v>4</x:v>
      </x:c>
      <x:c r="E799" s="8" t="n">
        <x:v>0</x:v>
      </x:c>
      <x:c r="F799" s="23" t="n">
        <x:v>0.0575</x:v>
      </x:c>
      <x:c r="G799" s="8" t="n">
        <x:v>0</x:v>
      </x:c>
      <x:c r="H799" s="8" t="n">
        <x:v>0</x:v>
      </x:c>
      <x:c r="I799" s="8" t="n">
        <x:v>0</x:v>
      </x:c>
      <x:c r="J799" s="8" t="n">
        <x:v>0</x:v>
      </x:c>
      <x:c r="K799" s="8" t="n">
        <x:v>436.0468485471886</x:v>
      </x:c>
      <x:c r="L799" s="8" t="n">
        <x:v>0</x:v>
      </x:c>
      <x:c r="M799" s="21" t="n">
        <x:f>E799+K799-I799-J799-L799</x:f>
        <x:v>436.0468485471886</x:v>
      </x:c>
    </x:row>
    <x:row r="800" ht="36" customHeight="1">
      <x:c r="A800" s="8" t="str">
        <x:v>Liquidity-first</x:v>
      </x:c>
      <x:c r="B800" s="8" t="str">
        <x:v>Severe inventory</x:v>
      </x:c>
      <x:c r="C800" s="8" t="str">
        <x:v>Atlas notes</x:v>
      </x:c>
      <x:c r="D800" s="22" t="n">
        <x:v>5</x:v>
      </x:c>
      <x:c r="E800" s="8" t="n">
        <x:v>0</x:v>
      </x:c>
      <x:c r="F800" s="23" t="n">
        <x:v>0.038</x:v>
      </x:c>
      <x:c r="G800" s="8" t="n">
        <x:v>0</x:v>
      </x:c>
      <x:c r="H800" s="8" t="n">
        <x:v>0</x:v>
      </x:c>
      <x:c r="I800" s="8" t="n">
        <x:v>0</x:v>
      </x:c>
      <x:c r="J800" s="8" t="n">
        <x:v>0</x:v>
      </x:c>
      <x:c r="K800" s="8" t="n">
        <x:v>0</x:v>
      </x:c>
      <x:c r="L800" s="8" t="n">
        <x:v>0</x:v>
      </x:c>
      <x:c r="M800" s="21" t="n">
        <x:f>E800+K800-I800-J800-L800</x:f>
        <x:v>0</x:v>
      </x:c>
    </x:row>
    <x:row r="801" ht="36" customHeight="1">
      <x:c r="A801" s="8" t="str">
        <x:v>Liquidity-first</x:v>
      </x:c>
      <x:c r="B801" s="8" t="str">
        <x:v>Severe inventory</x:v>
      </x:c>
      <x:c r="C801" s="8" t="str">
        <x:v>Atlas finance lease</x:v>
      </x:c>
      <x:c r="D801" s="22" t="n">
        <x:v>5</x:v>
      </x:c>
      <x:c r="E801" s="8" t="n">
        <x:v>16</x:v>
      </x:c>
      <x:c r="F801" s="23" t="n">
        <x:v>0.05</x:v>
      </x:c>
      <x:c r="G801" s="8" t="n">
        <x:v>0.8</x:v>
      </x:c>
      <x:c r="H801" s="8" t="n">
        <x:v>16</x:v>
      </x:c>
      <x:c r="I801" s="8" t="n">
        <x:v>16</x:v>
      </x:c>
      <x:c r="J801" s="8" t="n">
        <x:v>0</x:v>
      </x:c>
      <x:c r="K801" s="8" t="n">
        <x:v>0</x:v>
      </x:c>
      <x:c r="L801" s="8" t="n">
        <x:v>0</x:v>
      </x:c>
      <x:c r="M801" s="21" t="n">
        <x:f>E801+K801-I801-J801-L801</x:f>
        <x:v>0</x:v>
      </x:c>
    </x:row>
    <x:row r="802" ht="36" customHeight="1">
      <x:c r="A802" s="8" t="str">
        <x:v>Liquidity-first</x:v>
      </x:c>
      <x:c r="B802" s="8" t="str">
        <x:v>Severe inventory</x:v>
      </x:c>
      <x:c r="C802" s="8" t="str">
        <x:v>Beacon notes</x:v>
      </x:c>
      <x:c r="D802" s="22" t="n">
        <x:v>5</x:v>
      </x:c>
      <x:c r="E802" s="8" t="n">
        <x:v>0</x:v>
      </x:c>
      <x:c r="F802" s="23" t="n">
        <x:v>0.0475</x:v>
      </x:c>
      <x:c r="G802" s="8" t="n">
        <x:v>0</x:v>
      </x:c>
      <x:c r="H802" s="8" t="n">
        <x:v>0</x:v>
      </x:c>
      <x:c r="I802" s="8" t="n">
        <x:v>0</x:v>
      </x:c>
      <x:c r="J802" s="8" t="n">
        <x:v>0</x:v>
      </x:c>
      <x:c r="K802" s="8" t="n">
        <x:v>0</x:v>
      </x:c>
      <x:c r="L802" s="8" t="n">
        <x:v>0</x:v>
      </x:c>
      <x:c r="M802" s="21" t="n">
        <x:f>E802+K802-I802-J802-L802</x:f>
        <x:v>0</x:v>
      </x:c>
    </x:row>
    <x:row r="803" ht="36" customHeight="1">
      <x:c r="A803" s="8" t="str">
        <x:v>Liquidity-first</x:v>
      </x:c>
      <x:c r="B803" s="8" t="str">
        <x:v>Severe inventory</x:v>
      </x:c>
      <x:c r="C803" s="8" t="str">
        <x:v>Acquisition term</x:v>
      </x:c>
      <x:c r="D803" s="22" t="n">
        <x:v>5</x:v>
      </x:c>
      <x:c r="E803" s="8" t="n">
        <x:v>1255.5309964431767</x:v>
      </x:c>
      <x:c r="F803" s="23" t="n">
        <x:v>0.060000000000000005</x:v>
      </x:c>
      <x:c r="G803" s="8" t="n">
        <x:v>75.33185978659061</x:v>
      </x:c>
      <x:c r="H803" s="8" t="n">
        <x:v>1255.5309964431767</x:v>
      </x:c>
      <x:c r="I803" s="8" t="n">
        <x:v>1255.5309964431767</x:v>
      </x:c>
      <x:c r="J803" s="8" t="n">
        <x:v>0</x:v>
      </x:c>
      <x:c r="K803" s="8" t="n">
        <x:v>0</x:v>
      </x:c>
      <x:c r="L803" s="8" t="n">
        <x:v>0</x:v>
      </x:c>
      <x:c r="M803" s="21" t="n">
        <x:f>E803+K803-I803-J803-L803</x:f>
        <x:v>0</x:v>
      </x:c>
    </x:row>
    <x:row r="804" ht="36" customHeight="1">
      <x:c r="A804" s="8" t="str">
        <x:v>Liquidity-first</x:v>
      </x:c>
      <x:c r="B804" s="8" t="str">
        <x:v>Severe inventory</x:v>
      </x:c>
      <x:c r="C804" s="8" t="str">
        <x:v>Committed revolver</x:v>
      </x:c>
      <x:c r="D804" s="22" t="n">
        <x:v>5</x:v>
      </x:c>
      <x:c r="E804" s="8" t="n">
        <x:v>436.0468485471886</x:v>
      </x:c>
      <x:c r="F804" s="23" t="n">
        <x:v>0.0575</x:v>
      </x:c>
      <x:c r="G804" s="8" t="n">
        <x:v>25.072693791463344</x:v>
      </x:c>
      <x:c r="H804" s="8" t="n">
        <x:v>436.0468485471886</x:v>
      </x:c>
      <x:c r="I804" s="8" t="n">
        <x:v>39.622066427539494</x:v>
      </x:c>
      <x:c r="J804" s="8" t="n">
        <x:v>0</x:v>
      </x:c>
      <x:c r="K804" s="8" t="n">
        <x:v>0</x:v>
      </x:c>
      <x:c r="L804" s="8" t="n">
        <x:v>0</x:v>
      </x:c>
      <x:c r="M804" s="21" t="n">
        <x:f>E804+K804-I804-J804-L804</x:f>
        <x:v>396.4247821196491</x:v>
      </x:c>
    </x:row>
    <x:row r="805" ht="36" customHeight="1">
      <x:c r="A805" s="8" t="str">
        <x:v>Mixed consideration</x:v>
      </x:c>
      <x:c r="B805" s="8" t="str">
        <x:v>Severe inventory</x:v>
      </x:c>
      <x:c r="C805" s="8" t="str">
        <x:v>Atlas notes</x:v>
      </x:c>
      <x:c r="D805" s="22" t="n">
        <x:v>1</x:v>
      </x:c>
      <x:c r="E805" s="8" t="n">
        <x:v>900</x:v>
      </x:c>
      <x:c r="F805" s="23" t="n">
        <x:v>0.038</x:v>
      </x:c>
      <x:c r="G805" s="8" t="n">
        <x:v>34.199999999999996</x:v>
      </x:c>
      <x:c r="H805" s="8" t="n">
        <x:v>0</x:v>
      </x:c>
      <x:c r="I805" s="8" t="n">
        <x:v>0</x:v>
      </x:c>
      <x:c r="J805" s="8" t="n">
        <x:v>0</x:v>
      </x:c>
      <x:c r="K805" s="8" t="n">
        <x:v>0</x:v>
      </x:c>
      <x:c r="L805" s="8" t="n">
        <x:v>0</x:v>
      </x:c>
      <x:c r="M805" s="21" t="n">
        <x:f>E805+K805-I805-J805-L805</x:f>
        <x:v>900</x:v>
      </x:c>
    </x:row>
    <x:row r="806" ht="36" customHeight="1">
      <x:c r="A806" s="8" t="str">
        <x:v>Mixed consideration</x:v>
      </x:c>
      <x:c r="B806" s="8" t="str">
        <x:v>Severe inventory</x:v>
      </x:c>
      <x:c r="C806" s="8" t="str">
        <x:v>Atlas finance lease</x:v>
      </x:c>
      <x:c r="D806" s="22" t="n">
        <x:v>1</x:v>
      </x:c>
      <x:c r="E806" s="8" t="n">
        <x:v>80</x:v>
      </x:c>
      <x:c r="F806" s="23" t="n">
        <x:v>0.05</x:v>
      </x:c>
      <x:c r="G806" s="8" t="n">
        <x:v>4</x:v>
      </x:c>
      <x:c r="H806" s="8" t="n">
        <x:v>16</x:v>
      </x:c>
      <x:c r="I806" s="8" t="n">
        <x:v>16</x:v>
      </x:c>
      <x:c r="J806" s="8" t="n">
        <x:v>0</x:v>
      </x:c>
      <x:c r="K806" s="8" t="n">
        <x:v>0</x:v>
      </x:c>
      <x:c r="L806" s="8" t="n">
        <x:v>0</x:v>
      </x:c>
      <x:c r="M806" s="21" t="n">
        <x:f>E806+K806-I806-J806-L806</x:f>
        <x:v>64</x:v>
      </x:c>
    </x:row>
    <x:row r="807" ht="36" customHeight="1">
      <x:c r="A807" s="8" t="str">
        <x:v>Mixed consideration</x:v>
      </x:c>
      <x:c r="B807" s="8" t="str">
        <x:v>Severe inventory</x:v>
      </x:c>
      <x:c r="C807" s="8" t="str">
        <x:v>Beacon notes</x:v>
      </x:c>
      <x:c r="D807" s="22" t="n">
        <x:v>1</x:v>
      </x:c>
      <x:c r="E807" s="8" t="n">
        <x:v>350</x:v>
      </x:c>
      <x:c r="F807" s="23" t="n">
        <x:v>0.0475</x:v>
      </x:c>
      <x:c r="G807" s="8" t="n">
        <x:v>16.625</x:v>
      </x:c>
      <x:c r="H807" s="8" t="n">
        <x:v>0</x:v>
      </x:c>
      <x:c r="I807" s="8" t="n">
        <x:v>0</x:v>
      </x:c>
      <x:c r="J807" s="8" t="n">
        <x:v>0</x:v>
      </x:c>
      <x:c r="K807" s="8" t="n">
        <x:v>0</x:v>
      </x:c>
      <x:c r="L807" s="8" t="n">
        <x:v>0</x:v>
      </x:c>
      <x:c r="M807" s="21" t="n">
        <x:f>E807+K807-I807-J807-L807</x:f>
        <x:v>350</x:v>
      </x:c>
    </x:row>
    <x:row r="808" ht="36" customHeight="1">
      <x:c r="A808" s="8" t="str">
        <x:v>Mixed consideration</x:v>
      </x:c>
      <x:c r="B808" s="8" t="str">
        <x:v>Severe inventory</x:v>
      </x:c>
      <x:c r="C808" s="8" t="str">
        <x:v>Acquisition term</x:v>
      </x:c>
      <x:c r="D808" s="22" t="n">
        <x:v>1</x:v>
      </x:c>
      <x:c r="E808" s="8" t="n">
        <x:v>304.56852791878174</x:v>
      </x:c>
      <x:c r="F808" s="23" t="n">
        <x:v>0.065</x:v>
      </x:c>
      <x:c r="G808" s="8" t="n">
        <x:v>19.796954314720814</x:v>
      </x:c>
      <x:c r="H808" s="8" t="n">
        <x:v>6.091370558375635</x:v>
      </x:c>
      <x:c r="I808" s="8" t="n">
        <x:v>6.091370558375635</x:v>
      </x:c>
      <x:c r="J808" s="8" t="n">
        <x:v>0</x:v>
      </x:c>
      <x:c r="K808" s="8" t="n">
        <x:v>0</x:v>
      </x:c>
      <x:c r="L808" s="8" t="n">
        <x:v>0</x:v>
      </x:c>
      <x:c r="M808" s="21" t="n">
        <x:f>E808+K808-I808-J808-L808</x:f>
        <x:v>298.4771573604061</x:v>
      </x:c>
    </x:row>
    <x:row r="809" ht="36" customHeight="1">
      <x:c r="A809" s="8" t="str">
        <x:v>Mixed consideration</x:v>
      </x:c>
      <x:c r="B809" s="8" t="str">
        <x:v>Severe inventory</x:v>
      </x:c>
      <x:c r="C809" s="8" t="str">
        <x:v>Committed revolver</x:v>
      </x:c>
      <x:c r="D809" s="22" t="n">
        <x:v>1</x:v>
      </x:c>
      <x:c r="E809" s="8" t="n">
        <x:v>0</x:v>
      </x:c>
      <x:c r="F809" s="23" t="n">
        <x:v>0.0625</x:v>
      </x:c>
      <x:c r="G809" s="8" t="n">
        <x:v>0</x:v>
      </x:c>
      <x:c r="H809" s="8" t="n">
        <x:v>0</x:v>
      </x:c>
      <x:c r="I809" s="8" t="n">
        <x:v>0</x:v>
      </x:c>
      <x:c r="J809" s="8" t="n">
        <x:v>0</x:v>
      </x:c>
      <x:c r="K809" s="8" t="n">
        <x:v>284.1826650615401</x:v>
      </x:c>
      <x:c r="L809" s="8" t="n">
        <x:v>0</x:v>
      </x:c>
      <x:c r="M809" s="21" t="n">
        <x:f>E809+K809-I809-J809-L809</x:f>
        <x:v>284.1826650615401</x:v>
      </x:c>
    </x:row>
    <x:row r="810" ht="36" customHeight="1">
      <x:c r="A810" s="8" t="str">
        <x:v>Mixed consideration</x:v>
      </x:c>
      <x:c r="B810" s="8" t="str">
        <x:v>Severe inventory</x:v>
      </x:c>
      <x:c r="C810" s="8" t="str">
        <x:v>Atlas notes</x:v>
      </x:c>
      <x:c r="D810" s="22" t="n">
        <x:v>2</x:v>
      </x:c>
      <x:c r="E810" s="8" t="n">
        <x:v>900</x:v>
      </x:c>
      <x:c r="F810" s="23" t="n">
        <x:v>0.038</x:v>
      </x:c>
      <x:c r="G810" s="8" t="n">
        <x:v>34.199999999999996</x:v>
      </x:c>
      <x:c r="H810" s="8" t="n">
        <x:v>0</x:v>
      </x:c>
      <x:c r="I810" s="8" t="n">
        <x:v>0</x:v>
      </x:c>
      <x:c r="J810" s="8" t="n">
        <x:v>0</x:v>
      </x:c>
      <x:c r="K810" s="8" t="n">
        <x:v>0</x:v>
      </x:c>
      <x:c r="L810" s="8" t="n">
        <x:v>0</x:v>
      </x:c>
      <x:c r="M810" s="21" t="n">
        <x:f>E810+K810-I810-J810-L810</x:f>
        <x:v>900</x:v>
      </x:c>
    </x:row>
    <x:row r="811" ht="36" customHeight="1">
      <x:c r="A811" s="8" t="str">
        <x:v>Mixed consideration</x:v>
      </x:c>
      <x:c r="B811" s="8" t="str">
        <x:v>Severe inventory</x:v>
      </x:c>
      <x:c r="C811" s="8" t="str">
        <x:v>Atlas finance lease</x:v>
      </x:c>
      <x:c r="D811" s="22" t="n">
        <x:v>2</x:v>
      </x:c>
      <x:c r="E811" s="8" t="n">
        <x:v>64</x:v>
      </x:c>
      <x:c r="F811" s="23" t="n">
        <x:v>0.05</x:v>
      </x:c>
      <x:c r="G811" s="8" t="n">
        <x:v>3.2</x:v>
      </x:c>
      <x:c r="H811" s="8" t="n">
        <x:v>16</x:v>
      </x:c>
      <x:c r="I811" s="8" t="n">
        <x:v>16</x:v>
      </x:c>
      <x:c r="J811" s="8" t="n">
        <x:v>0</x:v>
      </x:c>
      <x:c r="K811" s="8" t="n">
        <x:v>0</x:v>
      </x:c>
      <x:c r="L811" s="8" t="n">
        <x:v>0</x:v>
      </x:c>
      <x:c r="M811" s="21" t="n">
        <x:f>E811+K811-I811-J811-L811</x:f>
        <x:v>48</x:v>
      </x:c>
    </x:row>
    <x:row r="812" ht="36" customHeight="1">
      <x:c r="A812" s="8" t="str">
        <x:v>Mixed consideration</x:v>
      </x:c>
      <x:c r="B812" s="8" t="str">
        <x:v>Severe inventory</x:v>
      </x:c>
      <x:c r="C812" s="8" t="str">
        <x:v>Beacon notes</x:v>
      </x:c>
      <x:c r="D812" s="22" t="n">
        <x:v>2</x:v>
      </x:c>
      <x:c r="E812" s="8" t="n">
        <x:v>350</x:v>
      </x:c>
      <x:c r="F812" s="23" t="n">
        <x:v>0.0475</x:v>
      </x:c>
      <x:c r="G812" s="8" t="n">
        <x:v>16.625</x:v>
      </x:c>
      <x:c r="H812" s="8" t="n">
        <x:v>0</x:v>
      </x:c>
      <x:c r="I812" s="8" t="n">
        <x:v>0</x:v>
      </x:c>
      <x:c r="J812" s="8" t="n">
        <x:v>0</x:v>
      </x:c>
      <x:c r="K812" s="8" t="n">
        <x:v>0</x:v>
      </x:c>
      <x:c r="L812" s="8" t="n">
        <x:v>0</x:v>
      </x:c>
      <x:c r="M812" s="21" t="n">
        <x:f>E812+K812-I812-J812-L812</x:f>
        <x:v>350</x:v>
      </x:c>
    </x:row>
    <x:row r="813" ht="36" customHeight="1">
      <x:c r="A813" s="8" t="str">
        <x:v>Mixed consideration</x:v>
      </x:c>
      <x:c r="B813" s="8" t="str">
        <x:v>Severe inventory</x:v>
      </x:c>
      <x:c r="C813" s="8" t="str">
        <x:v>Acquisition term</x:v>
      </x:c>
      <x:c r="D813" s="22" t="n">
        <x:v>2</x:v>
      </x:c>
      <x:c r="E813" s="8" t="n">
        <x:v>298.4771573604061</x:v>
      </x:c>
      <x:c r="F813" s="23" t="n">
        <x:v>0.0625</x:v>
      </x:c>
      <x:c r="G813" s="8" t="n">
        <x:v>18.654822335025383</x:v>
      </x:c>
      <x:c r="H813" s="8" t="n">
        <x:v>6.091370558375635</x:v>
      </x:c>
      <x:c r="I813" s="8" t="n">
        <x:v>6.091370558375635</x:v>
      </x:c>
      <x:c r="J813" s="8" t="n">
        <x:v>94.13796931063348</x:v>
      </x:c>
      <x:c r="K813" s="8" t="n">
        <x:v>0</x:v>
      </x:c>
      <x:c r="L813" s="8" t="n">
        <x:v>0</x:v>
      </x:c>
      <x:c r="M813" s="21" t="n">
        <x:f>E813+K813-I813-J813-L813</x:f>
        <x:v>198.24781749139703</x:v>
      </x:c>
    </x:row>
    <x:row r="814" ht="36" customHeight="1">
      <x:c r="A814" s="8" t="str">
        <x:v>Mixed consideration</x:v>
      </x:c>
      <x:c r="B814" s="8" t="str">
        <x:v>Severe inventory</x:v>
      </x:c>
      <x:c r="C814" s="8" t="str">
        <x:v>Committed revolver</x:v>
      </x:c>
      <x:c r="D814" s="22" t="n">
        <x:v>2</x:v>
      </x:c>
      <x:c r="E814" s="8" t="n">
        <x:v>284.1826650615401</x:v>
      </x:c>
      <x:c r="F814" s="23" t="n">
        <x:v>0.06</x:v>
      </x:c>
      <x:c r="G814" s="8" t="n">
        <x:v>17.050959903692405</x:v>
      </x:c>
      <x:c r="H814" s="8" t="n">
        <x:v>0</x:v>
      </x:c>
      <x:c r="I814" s="8" t="n">
        <x:v>0</x:v>
      </x:c>
      <x:c r="J814" s="8" t="n">
        <x:v>284.1826650615401</x:v>
      </x:c>
      <x:c r="K814" s="8" t="n">
        <x:v>0</x:v>
      </x:c>
      <x:c r="L814" s="8" t="n">
        <x:v>0</x:v>
      </x:c>
      <x:c r="M814" s="21" t="n">
        <x:f>E814+K814-I814-J814-L814</x:f>
        <x:v>0</x:v>
      </x:c>
    </x:row>
    <x:row r="815" ht="36" customHeight="1">
      <x:c r="A815" s="8" t="str">
        <x:v>Mixed consideration</x:v>
      </x:c>
      <x:c r="B815" s="8" t="str">
        <x:v>Severe inventory</x:v>
      </x:c>
      <x:c r="C815" s="8" t="str">
        <x:v>Atlas notes</x:v>
      </x:c>
      <x:c r="D815" s="22" t="n">
        <x:v>3</x:v>
      </x:c>
      <x:c r="E815" s="8" t="n">
        <x:v>900</x:v>
      </x:c>
      <x:c r="F815" s="23" t="n">
        <x:v>0.038</x:v>
      </x:c>
      <x:c r="G815" s="8" t="n">
        <x:v>34.199999999999996</x:v>
      </x:c>
      <x:c r="H815" s="8" t="n">
        <x:v>0</x:v>
      </x:c>
      <x:c r="I815" s="8" t="n">
        <x:v>0</x:v>
      </x:c>
      <x:c r="J815" s="8" t="n">
        <x:v>0</x:v>
      </x:c>
      <x:c r="K815" s="8" t="n">
        <x:v>0</x:v>
      </x:c>
      <x:c r="L815" s="8" t="n">
        <x:v>0</x:v>
      </x:c>
      <x:c r="M815" s="21" t="n">
        <x:f>E815+K815-I815-J815-L815</x:f>
        <x:v>900</x:v>
      </x:c>
    </x:row>
    <x:row r="816" ht="36" customHeight="1">
      <x:c r="A816" s="8" t="str">
        <x:v>Mixed consideration</x:v>
      </x:c>
      <x:c r="B816" s="8" t="str">
        <x:v>Severe inventory</x:v>
      </x:c>
      <x:c r="C816" s="8" t="str">
        <x:v>Atlas finance lease</x:v>
      </x:c>
      <x:c r="D816" s="22" t="n">
        <x:v>3</x:v>
      </x:c>
      <x:c r="E816" s="8" t="n">
        <x:v>48</x:v>
      </x:c>
      <x:c r="F816" s="23" t="n">
        <x:v>0.05</x:v>
      </x:c>
      <x:c r="G816" s="8" t="n">
        <x:v>2.4000000000000004</x:v>
      </x:c>
      <x:c r="H816" s="8" t="n">
        <x:v>16</x:v>
      </x:c>
      <x:c r="I816" s="8" t="n">
        <x:v>16</x:v>
      </x:c>
      <x:c r="J816" s="8" t="n">
        <x:v>0</x:v>
      </x:c>
      <x:c r="K816" s="8" t="n">
        <x:v>0</x:v>
      </x:c>
      <x:c r="L816" s="8" t="n">
        <x:v>0</x:v>
      </x:c>
      <x:c r="M816" s="21" t="n">
        <x:f>E816+K816-I816-J816-L816</x:f>
        <x:v>32</x:v>
      </x:c>
    </x:row>
    <x:row r="817" ht="36" customHeight="1">
      <x:c r="A817" s="8" t="str">
        <x:v>Mixed consideration</x:v>
      </x:c>
      <x:c r="B817" s="8" t="str">
        <x:v>Severe inventory</x:v>
      </x:c>
      <x:c r="C817" s="8" t="str">
        <x:v>Beacon notes</x:v>
      </x:c>
      <x:c r="D817" s="22" t="n">
        <x:v>3</x:v>
      </x:c>
      <x:c r="E817" s="8" t="n">
        <x:v>350</x:v>
      </x:c>
      <x:c r="F817" s="23" t="n">
        <x:v>0.0475</x:v>
      </x:c>
      <x:c r="G817" s="8" t="n">
        <x:v>16.625</x:v>
      </x:c>
      <x:c r="H817" s="8" t="n">
        <x:v>350</x:v>
      </x:c>
      <x:c r="I817" s="8" t="n">
        <x:v>350</x:v>
      </x:c>
      <x:c r="J817" s="8" t="n">
        <x:v>0</x:v>
      </x:c>
      <x:c r="K817" s="8" t="n">
        <x:v>0</x:v>
      </x:c>
      <x:c r="L817" s="8" t="n">
        <x:v>0</x:v>
      </x:c>
      <x:c r="M817" s="21" t="n">
        <x:f>E817+K817-I817-J817-L817</x:f>
        <x:v>0</x:v>
      </x:c>
    </x:row>
    <x:row r="818" ht="36" customHeight="1">
      <x:c r="A818" s="8" t="str">
        <x:v>Mixed consideration</x:v>
      </x:c>
      <x:c r="B818" s="8" t="str">
        <x:v>Severe inventory</x:v>
      </x:c>
      <x:c r="C818" s="8" t="str">
        <x:v>Acquisition term</x:v>
      </x:c>
      <x:c r="D818" s="22" t="n">
        <x:v>3</x:v>
      </x:c>
      <x:c r="E818" s="8" t="n">
        <x:v>198.24781749139703</x:v>
      </x:c>
      <x:c r="F818" s="23" t="n">
        <x:v>0.060000000000000005</x:v>
      </x:c>
      <x:c r="G818" s="8" t="n">
        <x:v>11.894869049483823</x:v>
      </x:c>
      <x:c r="H818" s="8" t="n">
        <x:v>6.091370558375635</x:v>
      </x:c>
      <x:c r="I818" s="8" t="n">
        <x:v>6.091370558375635</x:v>
      </x:c>
      <x:c r="J818" s="8" t="n">
        <x:v>142.39805155433885</x:v>
      </x:c>
      <x:c r="K818" s="8" t="n">
        <x:v>0</x:v>
      </x:c>
      <x:c r="L818" s="8" t="n">
        <x:v>0</x:v>
      </x:c>
      <x:c r="M818" s="21" t="n">
        <x:f>E818+K818-I818-J818-L818</x:f>
        <x:v>49.758395378682536</x:v>
      </x:c>
    </x:row>
    <x:row r="819" ht="36" customHeight="1">
      <x:c r="A819" s="8" t="str">
        <x:v>Mixed consideration</x:v>
      </x:c>
      <x:c r="B819" s="8" t="str">
        <x:v>Severe inventory</x:v>
      </x:c>
      <x:c r="C819" s="8" t="str">
        <x:v>Committed revolver</x:v>
      </x:c>
      <x:c r="D819" s="22" t="n">
        <x:v>3</x:v>
      </x:c>
      <x:c r="E819" s="8" t="n">
        <x:v>0</x:v>
      </x:c>
      <x:c r="F819" s="23" t="n">
        <x:v>0.0575</x:v>
      </x:c>
      <x:c r="G819" s="8" t="n">
        <x:v>0</x:v>
      </x:c>
      <x:c r="H819" s="8" t="n">
        <x:v>0</x:v>
      </x:c>
      <x:c r="I819" s="8" t="n">
        <x:v>0</x:v>
      </x:c>
      <x:c r="J819" s="8" t="n">
        <x:v>0</x:v>
      </x:c>
      <x:c r="K819" s="8" t="n">
        <x:v>0</x:v>
      </x:c>
      <x:c r="L819" s="8" t="n">
        <x:v>0</x:v>
      </x:c>
      <x:c r="M819" s="21" t="n">
        <x:f>E819+K819-I819-J819-L819</x:f>
        <x:v>0</x:v>
      </x:c>
    </x:row>
    <x:row r="820" ht="36" customHeight="1">
      <x:c r="A820" s="8" t="str">
        <x:v>Mixed consideration</x:v>
      </x:c>
      <x:c r="B820" s="8" t="str">
        <x:v>Severe inventory</x:v>
      </x:c>
      <x:c r="C820" s="8" t="str">
        <x:v>Atlas notes</x:v>
      </x:c>
      <x:c r="D820" s="22" t="n">
        <x:v>4</x:v>
      </x:c>
      <x:c r="E820" s="8" t="n">
        <x:v>900</x:v>
      </x:c>
      <x:c r="F820" s="23" t="n">
        <x:v>0.038</x:v>
      </x:c>
      <x:c r="G820" s="8" t="n">
        <x:v>34.199999999999996</x:v>
      </x:c>
      <x:c r="H820" s="8" t="n">
        <x:v>900</x:v>
      </x:c>
      <x:c r="I820" s="8" t="n">
        <x:v>900</x:v>
      </x:c>
      <x:c r="J820" s="8" t="n">
        <x:v>0</x:v>
      </x:c>
      <x:c r="K820" s="8" t="n">
        <x:v>0</x:v>
      </x:c>
      <x:c r="L820" s="8" t="n">
        <x:v>0</x:v>
      </x:c>
      <x:c r="M820" s="21" t="n">
        <x:f>E820+K820-I820-J820-L820</x:f>
        <x:v>0</x:v>
      </x:c>
    </x:row>
    <x:row r="821" ht="36" customHeight="1">
      <x:c r="A821" s="8" t="str">
        <x:v>Mixed consideration</x:v>
      </x:c>
      <x:c r="B821" s="8" t="str">
        <x:v>Severe inventory</x:v>
      </x:c>
      <x:c r="C821" s="8" t="str">
        <x:v>Atlas finance lease</x:v>
      </x:c>
      <x:c r="D821" s="22" t="n">
        <x:v>4</x:v>
      </x:c>
      <x:c r="E821" s="8" t="n">
        <x:v>32</x:v>
      </x:c>
      <x:c r="F821" s="23" t="n">
        <x:v>0.05</x:v>
      </x:c>
      <x:c r="G821" s="8" t="n">
        <x:v>1.6</x:v>
      </x:c>
      <x:c r="H821" s="8" t="n">
        <x:v>16</x:v>
      </x:c>
      <x:c r="I821" s="8" t="n">
        <x:v>16</x:v>
      </x:c>
      <x:c r="J821" s="8" t="n">
        <x:v>0</x:v>
      </x:c>
      <x:c r="K821" s="8" t="n">
        <x:v>0</x:v>
      </x:c>
      <x:c r="L821" s="8" t="n">
        <x:v>0</x:v>
      </x:c>
      <x:c r="M821" s="21" t="n">
        <x:f>E821+K821-I821-J821-L821</x:f>
        <x:v>16</x:v>
      </x:c>
    </x:row>
    <x:row r="822" ht="36" customHeight="1">
      <x:c r="A822" s="8" t="str">
        <x:v>Mixed consideration</x:v>
      </x:c>
      <x:c r="B822" s="8" t="str">
        <x:v>Severe inventory</x:v>
      </x:c>
      <x:c r="C822" s="8" t="str">
        <x:v>Beacon notes</x:v>
      </x:c>
      <x:c r="D822" s="22" t="n">
        <x:v>4</x:v>
      </x:c>
      <x:c r="E822" s="8" t="n">
        <x:v>0</x:v>
      </x:c>
      <x:c r="F822" s="23" t="n">
        <x:v>0.0475</x:v>
      </x:c>
      <x:c r="G822" s="8" t="n">
        <x:v>0</x:v>
      </x:c>
      <x:c r="H822" s="8" t="n">
        <x:v>0</x:v>
      </x:c>
      <x:c r="I822" s="8" t="n">
        <x:v>0</x:v>
      </x:c>
      <x:c r="J822" s="8" t="n">
        <x:v>0</x:v>
      </x:c>
      <x:c r="K822" s="8" t="n">
        <x:v>0</x:v>
      </x:c>
      <x:c r="L822" s="8" t="n">
        <x:v>0</x:v>
      </x:c>
      <x:c r="M822" s="21" t="n">
        <x:f>E822+K822-I822-J822-L822</x:f>
        <x:v>0</x:v>
      </x:c>
    </x:row>
    <x:row r="823" ht="36" customHeight="1">
      <x:c r="A823" s="8" t="str">
        <x:v>Mixed consideration</x:v>
      </x:c>
      <x:c r="B823" s="8" t="str">
        <x:v>Severe inventory</x:v>
      </x:c>
      <x:c r="C823" s="8" t="str">
        <x:v>Acquisition term</x:v>
      </x:c>
      <x:c r="D823" s="22" t="n">
        <x:v>4</x:v>
      </x:c>
      <x:c r="E823" s="8" t="n">
        <x:v>49.758395378682536</x:v>
      </x:c>
      <x:c r="F823" s="23" t="n">
        <x:v>0.060000000000000005</x:v>
      </x:c>
      <x:c r="G823" s="8" t="n">
        <x:v>2.9855037227209524</x:v>
      </x:c>
      <x:c r="H823" s="8" t="n">
        <x:v>6.091370558375635</x:v>
      </x:c>
      <x:c r="I823" s="8" t="n">
        <x:v>6.091370558375635</x:v>
      </x:c>
      <x:c r="J823" s="8" t="n">
        <x:v>0</x:v>
      </x:c>
      <x:c r="K823" s="8" t="n">
        <x:v>0</x:v>
      </x:c>
      <x:c r="L823" s="8" t="n">
        <x:v>0</x:v>
      </x:c>
      <x:c r="M823" s="21" t="n">
        <x:f>E823+K823-I823-J823-L823</x:f>
        <x:v>43.6670248203069</x:v>
      </x:c>
    </x:row>
    <x:row r="824" ht="36" customHeight="1">
      <x:c r="A824" s="8" t="str">
        <x:v>Mixed consideration</x:v>
      </x:c>
      <x:c r="B824" s="8" t="str">
        <x:v>Severe inventory</x:v>
      </x:c>
      <x:c r="C824" s="8" t="str">
        <x:v>Committed revolver</x:v>
      </x:c>
      <x:c r="D824" s="22" t="n">
        <x:v>4</x:v>
      </x:c>
      <x:c r="E824" s="8" t="n">
        <x:v>0</x:v>
      </x:c>
      <x:c r="F824" s="23" t="n">
        <x:v>0.0575</x:v>
      </x:c>
      <x:c r="G824" s="8" t="n">
        <x:v>0</x:v>
      </x:c>
      <x:c r="H824" s="8" t="n">
        <x:v>0</x:v>
      </x:c>
      <x:c r="I824" s="8" t="n">
        <x:v>0</x:v>
      </x:c>
      <x:c r="J824" s="8" t="n">
        <x:v>1.1368683772161603e-13</x:v>
      </x:c>
      <x:c r="K824" s="8" t="n">
        <x:v>341.41043175309323</x:v>
      </x:c>
      <x:c r="L824" s="8" t="n">
        <x:v>0</x:v>
      </x:c>
      <x:c r="M824" s="21" t="n">
        <x:f>E824+K824-I824-J824-L824</x:f>
        <x:v>341.4104317530931</x:v>
      </x:c>
    </x:row>
    <x:row r="825" ht="36" customHeight="1">
      <x:c r="A825" s="8" t="str">
        <x:v>Mixed consideration</x:v>
      </x:c>
      <x:c r="B825" s="8" t="str">
        <x:v>Severe inventory</x:v>
      </x:c>
      <x:c r="C825" s="8" t="str">
        <x:v>Atlas notes</x:v>
      </x:c>
      <x:c r="D825" s="22" t="n">
        <x:v>5</x:v>
      </x:c>
      <x:c r="E825" s="8" t="n">
        <x:v>0</x:v>
      </x:c>
      <x:c r="F825" s="23" t="n">
        <x:v>0.038</x:v>
      </x:c>
      <x:c r="G825" s="8" t="n">
        <x:v>0</x:v>
      </x:c>
      <x:c r="H825" s="8" t="n">
        <x:v>0</x:v>
      </x:c>
      <x:c r="I825" s="8" t="n">
        <x:v>0</x:v>
      </x:c>
      <x:c r="J825" s="8" t="n">
        <x:v>0</x:v>
      </x:c>
      <x:c r="K825" s="8" t="n">
        <x:v>0</x:v>
      </x:c>
      <x:c r="L825" s="8" t="n">
        <x:v>0</x:v>
      </x:c>
      <x:c r="M825" s="21" t="n">
        <x:f>E825+K825-I825-J825-L825</x:f>
        <x:v>0</x:v>
      </x:c>
    </x:row>
    <x:row r="826" ht="36" customHeight="1">
      <x:c r="A826" s="8" t="str">
        <x:v>Mixed consideration</x:v>
      </x:c>
      <x:c r="B826" s="8" t="str">
        <x:v>Severe inventory</x:v>
      </x:c>
      <x:c r="C826" s="8" t="str">
        <x:v>Atlas finance lease</x:v>
      </x:c>
      <x:c r="D826" s="22" t="n">
        <x:v>5</x:v>
      </x:c>
      <x:c r="E826" s="8" t="n">
        <x:v>16</x:v>
      </x:c>
      <x:c r="F826" s="23" t="n">
        <x:v>0.05</x:v>
      </x:c>
      <x:c r="G826" s="8" t="n">
        <x:v>0.8</x:v>
      </x:c>
      <x:c r="H826" s="8" t="n">
        <x:v>16</x:v>
      </x:c>
      <x:c r="I826" s="8" t="n">
        <x:v>16</x:v>
      </x:c>
      <x:c r="J826" s="8" t="n">
        <x:v>0</x:v>
      </x:c>
      <x:c r="K826" s="8" t="n">
        <x:v>0</x:v>
      </x:c>
      <x:c r="L826" s="8" t="n">
        <x:v>0</x:v>
      </x:c>
      <x:c r="M826" s="21" t="n">
        <x:f>E826+K826-I826-J826-L826</x:f>
        <x:v>0</x:v>
      </x:c>
    </x:row>
    <x:row r="827" ht="36" customHeight="1">
      <x:c r="A827" s="8" t="str">
        <x:v>Mixed consideration</x:v>
      </x:c>
      <x:c r="B827" s="8" t="str">
        <x:v>Severe inventory</x:v>
      </x:c>
      <x:c r="C827" s="8" t="str">
        <x:v>Beacon notes</x:v>
      </x:c>
      <x:c r="D827" s="22" t="n">
        <x:v>5</x:v>
      </x:c>
      <x:c r="E827" s="8" t="n">
        <x:v>0</x:v>
      </x:c>
      <x:c r="F827" s="23" t="n">
        <x:v>0.0475</x:v>
      </x:c>
      <x:c r="G827" s="8" t="n">
        <x:v>0</x:v>
      </x:c>
      <x:c r="H827" s="8" t="n">
        <x:v>0</x:v>
      </x:c>
      <x:c r="I827" s="8" t="n">
        <x:v>0</x:v>
      </x:c>
      <x:c r="J827" s="8" t="n">
        <x:v>0</x:v>
      </x:c>
      <x:c r="K827" s="8" t="n">
        <x:v>0</x:v>
      </x:c>
      <x:c r="L827" s="8" t="n">
        <x:v>0</x:v>
      </x:c>
      <x:c r="M827" s="21" t="n">
        <x:f>E827+K827-I827-J827-L827</x:f>
        <x:v>0</x:v>
      </x:c>
    </x:row>
    <x:row r="828" ht="36" customHeight="1">
      <x:c r="A828" s="8" t="str">
        <x:v>Mixed consideration</x:v>
      </x:c>
      <x:c r="B828" s="8" t="str">
        <x:v>Severe inventory</x:v>
      </x:c>
      <x:c r="C828" s="8" t="str">
        <x:v>Acquisition term</x:v>
      </x:c>
      <x:c r="D828" s="22" t="n">
        <x:v>5</x:v>
      </x:c>
      <x:c r="E828" s="8" t="n">
        <x:v>43.6670248203069</x:v>
      </x:c>
      <x:c r="F828" s="23" t="n">
        <x:v>0.060000000000000005</x:v>
      </x:c>
      <x:c r="G828" s="8" t="n">
        <x:v>2.620021489218414</x:v>
      </x:c>
      <x:c r="H828" s="8" t="n">
        <x:v>43.6670248203069</x:v>
      </x:c>
      <x:c r="I828" s="8" t="n">
        <x:v>43.6670248203069</x:v>
      </x:c>
      <x:c r="J828" s="8" t="n">
        <x:v>0</x:v>
      </x:c>
      <x:c r="K828" s="8" t="n">
        <x:v>0</x:v>
      </x:c>
      <x:c r="L828" s="8" t="n">
        <x:v>0</x:v>
      </x:c>
      <x:c r="M828" s="21" t="n">
        <x:f>E828+K828-I828-J828-L828</x:f>
        <x:v>0</x:v>
      </x:c>
    </x:row>
    <x:row r="829" ht="36" customHeight="1">
      <x:c r="A829" s="8" t="str">
        <x:v>Mixed consideration</x:v>
      </x:c>
      <x:c r="B829" s="8" t="str">
        <x:v>Severe inventory</x:v>
      </x:c>
      <x:c r="C829" s="8" t="str">
        <x:v>Committed revolver</x:v>
      </x:c>
      <x:c r="D829" s="22" t="n">
        <x:v>5</x:v>
      </x:c>
      <x:c r="E829" s="8" t="n">
        <x:v>341.4104317530931</x:v>
      </x:c>
      <x:c r="F829" s="23" t="n">
        <x:v>0.0575</x:v>
      </x:c>
      <x:c r="G829" s="8" t="n">
        <x:v>19.631099825802856</x:v>
      </x:c>
      <x:c r="H829" s="8" t="n">
        <x:v>341.4104317530931</x:v>
      </x:c>
      <x:c r="I829" s="8" t="n">
        <x:v>341.4104317530931</x:v>
      </x:c>
      <x:c r="J829" s="8" t="n">
        <x:v>0</x:v>
      </x:c>
      <x:c r="K829" s="8" t="n">
        <x:v>0</x:v>
      </x:c>
      <x:c r="L829" s="8" t="n">
        <x:v>0</x:v>
      </x:c>
      <x:c r="M829" s="21" t="n">
        <x:f>E829+K829-I829-J829-L829</x:f>
        <x:v>0</x:v>
      </x:c>
    </x:row>
    <x:row r="830" ht="36" customHeight="1">
      <x:c r="A830" s="8" t="str">
        <x:v>Cash-first</x:v>
      </x:c>
      <x:c r="B830" s="8" t="str">
        <x:v>Severe benchmark</x:v>
      </x:c>
      <x:c r="C830" s="8" t="str">
        <x:v>Atlas notes</x:v>
      </x:c>
      <x:c r="D830" s="22" t="n">
        <x:v>1</x:v>
      </x:c>
      <x:c r="E830" s="8" t="n">
        <x:v>900</x:v>
      </x:c>
      <x:c r="F830" s="23" t="n">
        <x:v>0.038</x:v>
      </x:c>
      <x:c r="G830" s="8" t="n">
        <x:v>34.199999999999996</x:v>
      </x:c>
      <x:c r="H830" s="8" t="n">
        <x:v>0</x:v>
      </x:c>
      <x:c r="I830" s="8" t="n">
        <x:v>0</x:v>
      </x:c>
      <x:c r="J830" s="8" t="n">
        <x:v>0</x:v>
      </x:c>
      <x:c r="K830" s="8" t="n">
        <x:v>0</x:v>
      </x:c>
      <x:c r="L830" s="8" t="n">
        <x:v>0</x:v>
      </x:c>
      <x:c r="M830" s="21" t="n">
        <x:f>E830+K830-I830-J830-L830</x:f>
        <x:v>900</x:v>
      </x:c>
    </x:row>
    <x:row r="831" ht="36" customHeight="1">
      <x:c r="A831" s="8" t="str">
        <x:v>Cash-first</x:v>
      </x:c>
      <x:c r="B831" s="8" t="str">
        <x:v>Severe benchmark</x:v>
      </x:c>
      <x:c r="C831" s="8" t="str">
        <x:v>Atlas finance lease</x:v>
      </x:c>
      <x:c r="D831" s="22" t="n">
        <x:v>1</x:v>
      </x:c>
      <x:c r="E831" s="8" t="n">
        <x:v>80</x:v>
      </x:c>
      <x:c r="F831" s="23" t="n">
        <x:v>0.05</x:v>
      </x:c>
      <x:c r="G831" s="8" t="n">
        <x:v>4</x:v>
      </x:c>
      <x:c r="H831" s="8" t="n">
        <x:v>16</x:v>
      </x:c>
      <x:c r="I831" s="8" t="n">
        <x:v>16</x:v>
      </x:c>
      <x:c r="J831" s="8" t="n">
        <x:v>0</x:v>
      </x:c>
      <x:c r="K831" s="8" t="n">
        <x:v>0</x:v>
      </x:c>
      <x:c r="L831" s="8" t="n">
        <x:v>0</x:v>
      </x:c>
      <x:c r="M831" s="21" t="n">
        <x:f>E831+K831-I831-J831-L831</x:f>
        <x:v>64</x:v>
      </x:c>
    </x:row>
    <x:row r="832" ht="36" customHeight="1">
      <x:c r="A832" s="8" t="str">
        <x:v>Cash-first</x:v>
      </x:c>
      <x:c r="B832" s="8" t="str">
        <x:v>Severe benchmark</x:v>
      </x:c>
      <x:c r="C832" s="8" t="str">
        <x:v>Beacon notes</x:v>
      </x:c>
      <x:c r="D832" s="22" t="n">
        <x:v>1</x:v>
      </x:c>
      <x:c r="E832" s="8" t="n">
        <x:v>350</x:v>
      </x:c>
      <x:c r="F832" s="23" t="n">
        <x:v>0.0475</x:v>
      </x:c>
      <x:c r="G832" s="8" t="n">
        <x:v>16.625</x:v>
      </x:c>
      <x:c r="H832" s="8" t="n">
        <x:v>0</x:v>
      </x:c>
      <x:c r="I832" s="8" t="n">
        <x:v>0</x:v>
      </x:c>
      <x:c r="J832" s="8" t="n">
        <x:v>0</x:v>
      </x:c>
      <x:c r="K832" s="8" t="n">
        <x:v>0</x:v>
      </x:c>
      <x:c r="L832" s="8" t="n">
        <x:v>0</x:v>
      </x:c>
      <x:c r="M832" s="21" t="n">
        <x:f>E832+K832-I832-J832-L832</x:f>
        <x:v>350</x:v>
      </x:c>
    </x:row>
    <x:row r="833" ht="36" customHeight="1">
      <x:c r="A833" s="8" t="str">
        <x:v>Cash-first</x:v>
      </x:c>
      <x:c r="B833" s="8" t="str">
        <x:v>Severe benchmark</x:v>
      </x:c>
      <x:c r="C833" s="8" t="str">
        <x:v>Acquisition term</x:v>
      </x:c>
      <x:c r="D833" s="22" t="n">
        <x:v>1</x:v>
      </x:c>
      <x:c r="E833" s="8" t="n">
        <x:v>1340.1015228426397</x:v>
      </x:c>
      <x:c r="F833" s="23" t="n">
        <x:v>0.08499999999999999</x:v>
      </x:c>
      <x:c r="G833" s="8" t="n">
        <x:v>113.90862944162437</x:v>
      </x:c>
      <x:c r="H833" s="8" t="n">
        <x:v>26.802030456852794</x:v>
      </x:c>
      <x:c r="I833" s="8" t="n">
        <x:v>26.802030456852794</x:v>
      </x:c>
      <x:c r="J833" s="8" t="n">
        <x:v>238.51195979069564</x:v>
      </x:c>
      <x:c r="K833" s="8" t="n">
        <x:v>0</x:v>
      </x:c>
      <x:c r="L833" s="8" t="n">
        <x:v>0</x:v>
      </x:c>
      <x:c r="M833" s="21" t="n">
        <x:f>E833+K833-I833-J833-L833</x:f>
        <x:v>1074.7875325950913</x:v>
      </x:c>
    </x:row>
    <x:row r="834" ht="36" customHeight="1">
      <x:c r="A834" s="8" t="str">
        <x:v>Cash-first</x:v>
      </x:c>
      <x:c r="B834" s="8" t="str">
        <x:v>Severe benchmark</x:v>
      </x:c>
      <x:c r="C834" s="8" t="str">
        <x:v>Committed revolver</x:v>
      </x:c>
      <x:c r="D834" s="22" t="n">
        <x:v>1</x:v>
      </x:c>
      <x:c r="E834" s="8" t="n">
        <x:v>0</x:v>
      </x:c>
      <x:c r="F834" s="23" t="n">
        <x:v>0.08249999999999999</x:v>
      </x:c>
      <x:c r="G834" s="8" t="n">
        <x:v>0</x:v>
      </x:c>
      <x:c r="H834" s="8" t="n">
        <x:v>0</x:v>
      </x:c>
      <x:c r="I834" s="8" t="n">
        <x:v>0</x:v>
      </x:c>
      <x:c r="J834" s="8" t="n">
        <x:v>0</x:v>
      </x:c>
      <x:c r="K834" s="8" t="n">
        <x:v>0</x:v>
      </x:c>
      <x:c r="L834" s="8" t="n">
        <x:v>0</x:v>
      </x:c>
      <x:c r="M834" s="21" t="n">
        <x:f>E834+K834-I834-J834-L834</x:f>
        <x:v>0</x:v>
      </x:c>
    </x:row>
    <x:row r="835" ht="36" customHeight="1">
      <x:c r="A835" s="8" t="str">
        <x:v>Cash-first</x:v>
      </x:c>
      <x:c r="B835" s="8" t="str">
        <x:v>Severe benchmark</x:v>
      </x:c>
      <x:c r="C835" s="8" t="str">
        <x:v>Atlas notes</x:v>
      </x:c>
      <x:c r="D835" s="22" t="n">
        <x:v>2</x:v>
      </x:c>
      <x:c r="E835" s="8" t="n">
        <x:v>900</x:v>
      </x:c>
      <x:c r="F835" s="23" t="n">
        <x:v>0.038</x:v>
      </x:c>
      <x:c r="G835" s="8" t="n">
        <x:v>34.199999999999996</x:v>
      </x:c>
      <x:c r="H835" s="8" t="n">
        <x:v>0</x:v>
      </x:c>
      <x:c r="I835" s="8" t="n">
        <x:v>0</x:v>
      </x:c>
      <x:c r="J835" s="8" t="n">
        <x:v>0</x:v>
      </x:c>
      <x:c r="K835" s="8" t="n">
        <x:v>0</x:v>
      </x:c>
      <x:c r="L835" s="8" t="n">
        <x:v>0</x:v>
      </x:c>
      <x:c r="M835" s="21" t="n">
        <x:f>E835+K835-I835-J835-L835</x:f>
        <x:v>900</x:v>
      </x:c>
    </x:row>
    <x:row r="836" ht="36" customHeight="1">
      <x:c r="A836" s="8" t="str">
        <x:v>Cash-first</x:v>
      </x:c>
      <x:c r="B836" s="8" t="str">
        <x:v>Severe benchmark</x:v>
      </x:c>
      <x:c r="C836" s="8" t="str">
        <x:v>Atlas finance lease</x:v>
      </x:c>
      <x:c r="D836" s="22" t="n">
        <x:v>2</x:v>
      </x:c>
      <x:c r="E836" s="8" t="n">
        <x:v>64</x:v>
      </x:c>
      <x:c r="F836" s="23" t="n">
        <x:v>0.05</x:v>
      </x:c>
      <x:c r="G836" s="8" t="n">
        <x:v>3.2</x:v>
      </x:c>
      <x:c r="H836" s="8" t="n">
        <x:v>16</x:v>
      </x:c>
      <x:c r="I836" s="8" t="n">
        <x:v>16</x:v>
      </x:c>
      <x:c r="J836" s="8" t="n">
        <x:v>0</x:v>
      </x:c>
      <x:c r="K836" s="8" t="n">
        <x:v>0</x:v>
      </x:c>
      <x:c r="L836" s="8" t="n">
        <x:v>0</x:v>
      </x:c>
      <x:c r="M836" s="21" t="n">
        <x:f>E836+K836-I836-J836-L836</x:f>
        <x:v>48</x:v>
      </x:c>
    </x:row>
    <x:row r="837" ht="36" customHeight="1">
      <x:c r="A837" s="8" t="str">
        <x:v>Cash-first</x:v>
      </x:c>
      <x:c r="B837" s="8" t="str">
        <x:v>Severe benchmark</x:v>
      </x:c>
      <x:c r="C837" s="8" t="str">
        <x:v>Beacon notes</x:v>
      </x:c>
      <x:c r="D837" s="22" t="n">
        <x:v>2</x:v>
      </x:c>
      <x:c r="E837" s="8" t="n">
        <x:v>350</x:v>
      </x:c>
      <x:c r="F837" s="23" t="n">
        <x:v>0.0475</x:v>
      </x:c>
      <x:c r="G837" s="8" t="n">
        <x:v>16.625</x:v>
      </x:c>
      <x:c r="H837" s="8" t="n">
        <x:v>0</x:v>
      </x:c>
      <x:c r="I837" s="8" t="n">
        <x:v>0</x:v>
      </x:c>
      <x:c r="J837" s="8" t="n">
        <x:v>0</x:v>
      </x:c>
      <x:c r="K837" s="8" t="n">
        <x:v>0</x:v>
      </x:c>
      <x:c r="L837" s="8" t="n">
        <x:v>0</x:v>
      </x:c>
      <x:c r="M837" s="21" t="n">
        <x:f>E837+K837-I837-J837-L837</x:f>
        <x:v>350</x:v>
      </x:c>
    </x:row>
    <x:row r="838" ht="36" customHeight="1">
      <x:c r="A838" s="8" t="str">
        <x:v>Cash-first</x:v>
      </x:c>
      <x:c r="B838" s="8" t="str">
        <x:v>Severe benchmark</x:v>
      </x:c>
      <x:c r="C838" s="8" t="str">
        <x:v>Acquisition term</x:v>
      </x:c>
      <x:c r="D838" s="22" t="n">
        <x:v>2</x:v>
      </x:c>
      <x:c r="E838" s="8" t="n">
        <x:v>1074.7875325950913</x:v>
      </x:c>
      <x:c r="F838" s="23" t="n">
        <x:v>0.08249999999999999</x:v>
      </x:c>
      <x:c r="G838" s="8" t="n">
        <x:v>88.66997143909502</x:v>
      </x:c>
      <x:c r="H838" s="8" t="n">
        <x:v>26.802030456852794</x:v>
      </x:c>
      <x:c r="I838" s="8" t="n">
        <x:v>26.802030456852794</x:v>
      </x:c>
      <x:c r="J838" s="8" t="n">
        <x:v>333.2365586008102</x:v>
      </x:c>
      <x:c r="K838" s="8" t="n">
        <x:v>0</x:v>
      </x:c>
      <x:c r="L838" s="8" t="n">
        <x:v>0</x:v>
      </x:c>
      <x:c r="M838" s="21" t="n">
        <x:f>E838+K838-I838-J838-L838</x:f>
        <x:v>714.7489435374282</x:v>
      </x:c>
    </x:row>
    <x:row r="839" ht="36" customHeight="1">
      <x:c r="A839" s="8" t="str">
        <x:v>Cash-first</x:v>
      </x:c>
      <x:c r="B839" s="8" t="str">
        <x:v>Severe benchmark</x:v>
      </x:c>
      <x:c r="C839" s="8" t="str">
        <x:v>Committed revolver</x:v>
      </x:c>
      <x:c r="D839" s="22" t="n">
        <x:v>2</x:v>
      </x:c>
      <x:c r="E839" s="8" t="n">
        <x:v>0</x:v>
      </x:c>
      <x:c r="F839" s="23" t="n">
        <x:v>0.07999999999999999</x:v>
      </x:c>
      <x:c r="G839" s="8" t="n">
        <x:v>0</x:v>
      </x:c>
      <x:c r="H839" s="8" t="n">
        <x:v>0</x:v>
      </x:c>
      <x:c r="I839" s="8" t="n">
        <x:v>0</x:v>
      </x:c>
      <x:c r="J839" s="8" t="n">
        <x:v>0</x:v>
      </x:c>
      <x:c r="K839" s="8" t="n">
        <x:v>0</x:v>
      </x:c>
      <x:c r="L839" s="8" t="n">
        <x:v>0</x:v>
      </x:c>
      <x:c r="M839" s="21" t="n">
        <x:f>E839+K839-I839-J839-L839</x:f>
        <x:v>0</x:v>
      </x:c>
    </x:row>
    <x:row r="840" ht="36" customHeight="1">
      <x:c r="A840" s="8" t="str">
        <x:v>Cash-first</x:v>
      </x:c>
      <x:c r="B840" s="8" t="str">
        <x:v>Severe benchmark</x:v>
      </x:c>
      <x:c r="C840" s="8" t="str">
        <x:v>Atlas notes</x:v>
      </x:c>
      <x:c r="D840" s="22" t="n">
        <x:v>3</x:v>
      </x:c>
      <x:c r="E840" s="8" t="n">
        <x:v>900</x:v>
      </x:c>
      <x:c r="F840" s="23" t="n">
        <x:v>0.038</x:v>
      </x:c>
      <x:c r="G840" s="8" t="n">
        <x:v>34.199999999999996</x:v>
      </x:c>
      <x:c r="H840" s="8" t="n">
        <x:v>0</x:v>
      </x:c>
      <x:c r="I840" s="8" t="n">
        <x:v>0</x:v>
      </x:c>
      <x:c r="J840" s="8" t="n">
        <x:v>0</x:v>
      </x:c>
      <x:c r="K840" s="8" t="n">
        <x:v>0</x:v>
      </x:c>
      <x:c r="L840" s="8" t="n">
        <x:v>0</x:v>
      </x:c>
      <x:c r="M840" s="21" t="n">
        <x:f>E840+K840-I840-J840-L840</x:f>
        <x:v>900</x:v>
      </x:c>
    </x:row>
    <x:row r="841" ht="36" customHeight="1">
      <x:c r="A841" s="8" t="str">
        <x:v>Cash-first</x:v>
      </x:c>
      <x:c r="B841" s="8" t="str">
        <x:v>Severe benchmark</x:v>
      </x:c>
      <x:c r="C841" s="8" t="str">
        <x:v>Atlas finance lease</x:v>
      </x:c>
      <x:c r="D841" s="22" t="n">
        <x:v>3</x:v>
      </x:c>
      <x:c r="E841" s="8" t="n">
        <x:v>48</x:v>
      </x:c>
      <x:c r="F841" s="23" t="n">
        <x:v>0.05</x:v>
      </x:c>
      <x:c r="G841" s="8" t="n">
        <x:v>2.4000000000000004</x:v>
      </x:c>
      <x:c r="H841" s="8" t="n">
        <x:v>16</x:v>
      </x:c>
      <x:c r="I841" s="8" t="n">
        <x:v>16</x:v>
      </x:c>
      <x:c r="J841" s="8" t="n">
        <x:v>0</x:v>
      </x:c>
      <x:c r="K841" s="8" t="n">
        <x:v>0</x:v>
      </x:c>
      <x:c r="L841" s="8" t="n">
        <x:v>0</x:v>
      </x:c>
      <x:c r="M841" s="21" t="n">
        <x:f>E841+K841-I841-J841-L841</x:f>
        <x:v>32</x:v>
      </x:c>
    </x:row>
    <x:row r="842" ht="36" customHeight="1">
      <x:c r="A842" s="8" t="str">
        <x:v>Cash-first</x:v>
      </x:c>
      <x:c r="B842" s="8" t="str">
        <x:v>Severe benchmark</x:v>
      </x:c>
      <x:c r="C842" s="8" t="str">
        <x:v>Beacon notes</x:v>
      </x:c>
      <x:c r="D842" s="22" t="n">
        <x:v>3</x:v>
      </x:c>
      <x:c r="E842" s="8" t="n">
        <x:v>350</x:v>
      </x:c>
      <x:c r="F842" s="23" t="n">
        <x:v>0.0475</x:v>
      </x:c>
      <x:c r="G842" s="8" t="n">
        <x:v>16.625</x:v>
      </x:c>
      <x:c r="H842" s="8" t="n">
        <x:v>350</x:v>
      </x:c>
      <x:c r="I842" s="8" t="n">
        <x:v>350</x:v>
      </x:c>
      <x:c r="J842" s="8" t="n">
        <x:v>0</x:v>
      </x:c>
      <x:c r="K842" s="8" t="n">
        <x:v>0</x:v>
      </x:c>
      <x:c r="L842" s="8" t="n">
        <x:v>0</x:v>
      </x:c>
      <x:c r="M842" s="21" t="n">
        <x:f>E842+K842-I842-J842-L842</x:f>
        <x:v>0</x:v>
      </x:c>
    </x:row>
    <x:row r="843" ht="36" customHeight="1">
      <x:c r="A843" s="8" t="str">
        <x:v>Cash-first</x:v>
      </x:c>
      <x:c r="B843" s="8" t="str">
        <x:v>Severe benchmark</x:v>
      </x:c>
      <x:c r="C843" s="8" t="str">
        <x:v>Acquisition term</x:v>
      </x:c>
      <x:c r="D843" s="22" t="n">
        <x:v>3</x:v>
      </x:c>
      <x:c r="E843" s="8" t="n">
        <x:v>714.7489435374282</x:v>
      </x:c>
      <x:c r="F843" s="23" t="n">
        <x:v>0.08000000000000002</x:v>
      </x:c>
      <x:c r="G843" s="8" t="n">
        <x:v>57.17991548299427</x:v>
      </x:c>
      <x:c r="H843" s="8" t="n">
        <x:v>26.802030456852794</x:v>
      </x:c>
      <x:c r="I843" s="8" t="n">
        <x:v>26.802030456852794</x:v>
      </x:c>
      <x:c r="J843" s="8" t="n">
        <x:v>103.45707600881167</x:v>
      </x:c>
      <x:c r="K843" s="8" t="n">
        <x:v>0</x:v>
      </x:c>
      <x:c r="L843" s="8" t="n">
        <x:v>0</x:v>
      </x:c>
      <x:c r="M843" s="21" t="n">
        <x:f>E843+K843-I843-J843-L843</x:f>
        <x:v>584.4898370717638</x:v>
      </x:c>
    </x:row>
    <x:row r="844" ht="36" customHeight="1">
      <x:c r="A844" s="8" t="str">
        <x:v>Cash-first</x:v>
      </x:c>
      <x:c r="B844" s="8" t="str">
        <x:v>Severe benchmark</x:v>
      </x:c>
      <x:c r="C844" s="8" t="str">
        <x:v>Committed revolver</x:v>
      </x:c>
      <x:c r="D844" s="22" t="n">
        <x:v>3</x:v>
      </x:c>
      <x:c r="E844" s="8" t="n">
        <x:v>0</x:v>
      </x:c>
      <x:c r="F844" s="23" t="n">
        <x:v>0.07750000000000001</x:v>
      </x:c>
      <x:c r="G844" s="8" t="n">
        <x:v>0</x:v>
      </x:c>
      <x:c r="H844" s="8" t="n">
        <x:v>0</x:v>
      </x:c>
      <x:c r="I844" s="8" t="n">
        <x:v>0</x:v>
      </x:c>
      <x:c r="J844" s="8" t="n">
        <x:v>0</x:v>
      </x:c>
      <x:c r="K844" s="8" t="n">
        <x:v>0</x:v>
      </x:c>
      <x:c r="L844" s="8" t="n">
        <x:v>0</x:v>
      </x:c>
      <x:c r="M844" s="21" t="n">
        <x:f>E844+K844-I844-J844-L844</x:f>
        <x:v>0</x:v>
      </x:c>
    </x:row>
    <x:row r="845" ht="36" customHeight="1">
      <x:c r="A845" s="8" t="str">
        <x:v>Cash-first</x:v>
      </x:c>
      <x:c r="B845" s="8" t="str">
        <x:v>Severe benchmark</x:v>
      </x:c>
      <x:c r="C845" s="8" t="str">
        <x:v>Atlas notes</x:v>
      </x:c>
      <x:c r="D845" s="22" t="n">
        <x:v>4</x:v>
      </x:c>
      <x:c r="E845" s="8" t="n">
        <x:v>900</x:v>
      </x:c>
      <x:c r="F845" s="23" t="n">
        <x:v>0.038</x:v>
      </x:c>
      <x:c r="G845" s="8" t="n">
        <x:v>34.199999999999996</x:v>
      </x:c>
      <x:c r="H845" s="8" t="n">
        <x:v>900</x:v>
      </x:c>
      <x:c r="I845" s="8" t="n">
        <x:v>900</x:v>
      </x:c>
      <x:c r="J845" s="8" t="n">
        <x:v>0</x:v>
      </x:c>
      <x:c r="K845" s="8" t="n">
        <x:v>0</x:v>
      </x:c>
      <x:c r="L845" s="8" t="n">
        <x:v>0</x:v>
      </x:c>
      <x:c r="M845" s="21" t="n">
        <x:f>E845+K845-I845-J845-L845</x:f>
        <x:v>0</x:v>
      </x:c>
    </x:row>
    <x:row r="846" ht="36" customHeight="1">
      <x:c r="A846" s="8" t="str">
        <x:v>Cash-first</x:v>
      </x:c>
      <x:c r="B846" s="8" t="str">
        <x:v>Severe benchmark</x:v>
      </x:c>
      <x:c r="C846" s="8" t="str">
        <x:v>Atlas finance lease</x:v>
      </x:c>
      <x:c r="D846" s="22" t="n">
        <x:v>4</x:v>
      </x:c>
      <x:c r="E846" s="8" t="n">
        <x:v>32</x:v>
      </x:c>
      <x:c r="F846" s="23" t="n">
        <x:v>0.05</x:v>
      </x:c>
      <x:c r="G846" s="8" t="n">
        <x:v>1.6</x:v>
      </x:c>
      <x:c r="H846" s="8" t="n">
        <x:v>16</x:v>
      </x:c>
      <x:c r="I846" s="8" t="n">
        <x:v>16</x:v>
      </x:c>
      <x:c r="J846" s="8" t="n">
        <x:v>0</x:v>
      </x:c>
      <x:c r="K846" s="8" t="n">
        <x:v>0</x:v>
      </x:c>
      <x:c r="L846" s="8" t="n">
        <x:v>0</x:v>
      </x:c>
      <x:c r="M846" s="21" t="n">
        <x:f>E846+K846-I846-J846-L846</x:f>
        <x:v>16</x:v>
      </x:c>
    </x:row>
    <x:row r="847" ht="36" customHeight="1">
      <x:c r="A847" s="8" t="str">
        <x:v>Cash-first</x:v>
      </x:c>
      <x:c r="B847" s="8" t="str">
        <x:v>Severe benchmark</x:v>
      </x:c>
      <x:c r="C847" s="8" t="str">
        <x:v>Beacon notes</x:v>
      </x:c>
      <x:c r="D847" s="22" t="n">
        <x:v>4</x:v>
      </x:c>
      <x:c r="E847" s="8" t="n">
        <x:v>0</x:v>
      </x:c>
      <x:c r="F847" s="23" t="n">
        <x:v>0.0475</x:v>
      </x:c>
      <x:c r="G847" s="8" t="n">
        <x:v>0</x:v>
      </x:c>
      <x:c r="H847" s="8" t="n">
        <x:v>0</x:v>
      </x:c>
      <x:c r="I847" s="8" t="n">
        <x:v>0</x:v>
      </x:c>
      <x:c r="J847" s="8" t="n">
        <x:v>0</x:v>
      </x:c>
      <x:c r="K847" s="8" t="n">
        <x:v>0</x:v>
      </x:c>
      <x:c r="L847" s="8" t="n">
        <x:v>0</x:v>
      </x:c>
      <x:c r="M847" s="21" t="n">
        <x:f>E847+K847-I847-J847-L847</x:f>
        <x:v>0</x:v>
      </x:c>
    </x:row>
    <x:row r="848" ht="36" customHeight="1">
      <x:c r="A848" s="8" t="str">
        <x:v>Cash-first</x:v>
      </x:c>
      <x:c r="B848" s="8" t="str">
        <x:v>Severe benchmark</x:v>
      </x:c>
      <x:c r="C848" s="8" t="str">
        <x:v>Acquisition term</x:v>
      </x:c>
      <x:c r="D848" s="22" t="n">
        <x:v>4</x:v>
      </x:c>
      <x:c r="E848" s="8" t="n">
        <x:v>584.4898370717638</x:v>
      </x:c>
      <x:c r="F848" s="23" t="n">
        <x:v>0.08000000000000002</x:v>
      </x:c>
      <x:c r="G848" s="8" t="n">
        <x:v>46.75918696574111</x:v>
      </x:c>
      <x:c r="H848" s="8" t="n">
        <x:v>26.802030456852794</x:v>
      </x:c>
      <x:c r="I848" s="8" t="n">
        <x:v>26.802030456852794</x:v>
      </x:c>
      <x:c r="J848" s="8" t="n">
        <x:v>0</x:v>
      </x:c>
      <x:c r="K848" s="8" t="n">
        <x:v>0</x:v>
      </x:c>
      <x:c r="L848" s="8" t="n">
        <x:v>0</x:v>
      </x:c>
      <x:c r="M848" s="21" t="n">
        <x:f>E848+K848-I848-J848-L848</x:f>
        <x:v>557.687806614911</x:v>
      </x:c>
    </x:row>
    <x:row r="849" ht="36" customHeight="1">
      <x:c r="A849" s="8" t="str">
        <x:v>Cash-first</x:v>
      </x:c>
      <x:c r="B849" s="8" t="str">
        <x:v>Severe benchmark</x:v>
      </x:c>
      <x:c r="C849" s="8" t="str">
        <x:v>Committed revolver</x:v>
      </x:c>
      <x:c r="D849" s="22" t="n">
        <x:v>4</x:v>
      </x:c>
      <x:c r="E849" s="8" t="n">
        <x:v>0</x:v>
      </x:c>
      <x:c r="F849" s="23" t="n">
        <x:v>0.07750000000000001</x:v>
      </x:c>
      <x:c r="G849" s="8" t="n">
        <x:v>0</x:v>
      </x:c>
      <x:c r="H849" s="8" t="n">
        <x:v>0</x:v>
      </x:c>
      <x:c r="I849" s="8" t="n">
        <x:v>0</x:v>
      </x:c>
      <x:c r="J849" s="8" t="n">
        <x:v>0</x:v>
      </x:c>
      <x:c r="K849" s="8" t="n">
        <x:v>378.8245481763015</x:v>
      </x:c>
      <x:c r="L849" s="8" t="n">
        <x:v>0</x:v>
      </x:c>
      <x:c r="M849" s="21" t="n">
        <x:f>E849+K849-I849-J849-L849</x:f>
        <x:v>378.8245481763015</x:v>
      </x:c>
    </x:row>
    <x:row r="850" ht="36" customHeight="1">
      <x:c r="A850" s="8" t="str">
        <x:v>Cash-first</x:v>
      </x:c>
      <x:c r="B850" s="8" t="str">
        <x:v>Severe benchmark</x:v>
      </x:c>
      <x:c r="C850" s="8" t="str">
        <x:v>Atlas notes</x:v>
      </x:c>
      <x:c r="D850" s="22" t="n">
        <x:v>5</x:v>
      </x:c>
      <x:c r="E850" s="8" t="n">
        <x:v>0</x:v>
      </x:c>
      <x:c r="F850" s="23" t="n">
        <x:v>0.038</x:v>
      </x:c>
      <x:c r="G850" s="8" t="n">
        <x:v>0</x:v>
      </x:c>
      <x:c r="H850" s="8" t="n">
        <x:v>0</x:v>
      </x:c>
      <x:c r="I850" s="8" t="n">
        <x:v>0</x:v>
      </x:c>
      <x:c r="J850" s="8" t="n">
        <x:v>0</x:v>
      </x:c>
      <x:c r="K850" s="8" t="n">
        <x:v>0</x:v>
      </x:c>
      <x:c r="L850" s="8" t="n">
        <x:v>0</x:v>
      </x:c>
      <x:c r="M850" s="21" t="n">
        <x:f>E850+K850-I850-J850-L850</x:f>
        <x:v>0</x:v>
      </x:c>
    </x:row>
    <x:row r="851" ht="36" customHeight="1">
      <x:c r="A851" s="8" t="str">
        <x:v>Cash-first</x:v>
      </x:c>
      <x:c r="B851" s="8" t="str">
        <x:v>Severe benchmark</x:v>
      </x:c>
      <x:c r="C851" s="8" t="str">
        <x:v>Atlas finance lease</x:v>
      </x:c>
      <x:c r="D851" s="22" t="n">
        <x:v>5</x:v>
      </x:c>
      <x:c r="E851" s="8" t="n">
        <x:v>16</x:v>
      </x:c>
      <x:c r="F851" s="23" t="n">
        <x:v>0.05</x:v>
      </x:c>
      <x:c r="G851" s="8" t="n">
        <x:v>0.8</x:v>
      </x:c>
      <x:c r="H851" s="8" t="n">
        <x:v>16</x:v>
      </x:c>
      <x:c r="I851" s="8" t="n">
        <x:v>16</x:v>
      </x:c>
      <x:c r="J851" s="8" t="n">
        <x:v>0</x:v>
      </x:c>
      <x:c r="K851" s="8" t="n">
        <x:v>0</x:v>
      </x:c>
      <x:c r="L851" s="8" t="n">
        <x:v>0</x:v>
      </x:c>
      <x:c r="M851" s="21" t="n">
        <x:f>E851+K851-I851-J851-L851</x:f>
        <x:v>0</x:v>
      </x:c>
    </x:row>
    <x:row r="852" ht="36" customHeight="1">
      <x:c r="A852" s="8" t="str">
        <x:v>Cash-first</x:v>
      </x:c>
      <x:c r="B852" s="8" t="str">
        <x:v>Severe benchmark</x:v>
      </x:c>
      <x:c r="C852" s="8" t="str">
        <x:v>Beacon notes</x:v>
      </x:c>
      <x:c r="D852" s="22" t="n">
        <x:v>5</x:v>
      </x:c>
      <x:c r="E852" s="8" t="n">
        <x:v>0</x:v>
      </x:c>
      <x:c r="F852" s="23" t="n">
        <x:v>0.0475</x:v>
      </x:c>
      <x:c r="G852" s="8" t="n">
        <x:v>0</x:v>
      </x:c>
      <x:c r="H852" s="8" t="n">
        <x:v>0</x:v>
      </x:c>
      <x:c r="I852" s="8" t="n">
        <x:v>0</x:v>
      </x:c>
      <x:c r="J852" s="8" t="n">
        <x:v>0</x:v>
      </x:c>
      <x:c r="K852" s="8" t="n">
        <x:v>0</x:v>
      </x:c>
      <x:c r="L852" s="8" t="n">
        <x:v>0</x:v>
      </x:c>
      <x:c r="M852" s="21" t="n">
        <x:f>E852+K852-I852-J852-L852</x:f>
        <x:v>0</x:v>
      </x:c>
    </x:row>
    <x:row r="853" ht="36" customHeight="1">
      <x:c r="A853" s="8" t="str">
        <x:v>Cash-first</x:v>
      </x:c>
      <x:c r="B853" s="8" t="str">
        <x:v>Severe benchmark</x:v>
      </x:c>
      <x:c r="C853" s="8" t="str">
        <x:v>Acquisition term</x:v>
      </x:c>
      <x:c r="D853" s="22" t="n">
        <x:v>5</x:v>
      </x:c>
      <x:c r="E853" s="8" t="n">
        <x:v>557.687806614911</x:v>
      </x:c>
      <x:c r="F853" s="23" t="n">
        <x:v>0.08000000000000002</x:v>
      </x:c>
      <x:c r="G853" s="8" t="n">
        <x:v>44.61502452919289</x:v>
      </x:c>
      <x:c r="H853" s="8" t="n">
        <x:v>557.687806614911</x:v>
      </x:c>
      <x:c r="I853" s="8" t="n">
        <x:v>557.687806614911</x:v>
      </x:c>
      <x:c r="J853" s="8" t="n">
        <x:v>0</x:v>
      </x:c>
      <x:c r="K853" s="8" t="n">
        <x:v>0</x:v>
      </x:c>
      <x:c r="L853" s="8" t="n">
        <x:v>0</x:v>
      </x:c>
      <x:c r="M853" s="21" t="n">
        <x:f>E853+K853-I853-J853-L853</x:f>
        <x:v>0</x:v>
      </x:c>
    </x:row>
    <x:row r="854" ht="36" customHeight="1">
      <x:c r="A854" s="8" t="str">
        <x:v>Cash-first</x:v>
      </x:c>
      <x:c r="B854" s="8" t="str">
        <x:v>Severe benchmark</x:v>
      </x:c>
      <x:c r="C854" s="8" t="str">
        <x:v>Committed revolver</x:v>
      </x:c>
      <x:c r="D854" s="22" t="n">
        <x:v>5</x:v>
      </x:c>
      <x:c r="E854" s="8" t="n">
        <x:v>378.8245481763015</x:v>
      </x:c>
      <x:c r="F854" s="23" t="n">
        <x:v>0.07750000000000001</x:v>
      </x:c>
      <x:c r="G854" s="8" t="n">
        <x:v>29.35890248366337</x:v>
      </x:c>
      <x:c r="H854" s="8" t="n">
        <x:v>378.8245481763015</x:v>
      </x:c>
      <x:c r="I854" s="8" t="n">
        <x:v>378.8245481763015</x:v>
      </x:c>
      <x:c r="J854" s="8" t="n">
        <x:v>0</x:v>
      </x:c>
      <x:c r="K854" s="8" t="n">
        <x:v>0</x:v>
      </x:c>
      <x:c r="L854" s="8" t="n">
        <x:v>0</x:v>
      </x:c>
      <x:c r="M854" s="21" t="n">
        <x:f>E854+K854-I854-J854-L854</x:f>
        <x:v>0</x:v>
      </x:c>
    </x:row>
    <x:row r="855" ht="36" customHeight="1">
      <x:c r="A855" s="8" t="str">
        <x:v>Liquidity-first</x:v>
      </x:c>
      <x:c r="B855" s="8" t="str">
        <x:v>Severe benchmark</x:v>
      </x:c>
      <x:c r="C855" s="8" t="str">
        <x:v>Atlas notes</x:v>
      </x:c>
      <x:c r="D855" s="22" t="n">
        <x:v>1</x:v>
      </x:c>
      <x:c r="E855" s="8" t="n">
        <x:v>900</x:v>
      </x:c>
      <x:c r="F855" s="23" t="n">
        <x:v>0.038</x:v>
      </x:c>
      <x:c r="G855" s="8" t="n">
        <x:v>34.199999999999996</x:v>
      </x:c>
      <x:c r="H855" s="8" t="n">
        <x:v>0</x:v>
      </x:c>
      <x:c r="I855" s="8" t="n">
        <x:v>0</x:v>
      </x:c>
      <x:c r="J855" s="8" t="n">
        <x:v>0</x:v>
      </x:c>
      <x:c r="K855" s="8" t="n">
        <x:v>0</x:v>
      </x:c>
      <x:c r="L855" s="8" t="n">
        <x:v>0</x:v>
      </x:c>
      <x:c r="M855" s="21" t="n">
        <x:f>E855+K855-I855-J855-L855</x:f>
        <x:v>900</x:v>
      </x:c>
    </x:row>
    <x:row r="856" ht="36" customHeight="1">
      <x:c r="A856" s="8" t="str">
        <x:v>Liquidity-first</x:v>
      </x:c>
      <x:c r="B856" s="8" t="str">
        <x:v>Severe benchmark</x:v>
      </x:c>
      <x:c r="C856" s="8" t="str">
        <x:v>Atlas finance lease</x:v>
      </x:c>
      <x:c r="D856" s="22" t="n">
        <x:v>1</x:v>
      </x:c>
      <x:c r="E856" s="8" t="n">
        <x:v>80</x:v>
      </x:c>
      <x:c r="F856" s="23" t="n">
        <x:v>0.05</x:v>
      </x:c>
      <x:c r="G856" s="8" t="n">
        <x:v>4</x:v>
      </x:c>
      <x:c r="H856" s="8" t="n">
        <x:v>16</x:v>
      </x:c>
      <x:c r="I856" s="8" t="n">
        <x:v>16</x:v>
      </x:c>
      <x:c r="J856" s="8" t="n">
        <x:v>0</x:v>
      </x:c>
      <x:c r="K856" s="8" t="n">
        <x:v>0</x:v>
      </x:c>
      <x:c r="L856" s="8" t="n">
        <x:v>0</x:v>
      </x:c>
      <x:c r="M856" s="21" t="n">
        <x:f>E856+K856-I856-J856-L856</x:f>
        <x:v>64</x:v>
      </x:c>
    </x:row>
    <x:row r="857" ht="36" customHeight="1">
      <x:c r="A857" s="8" t="str">
        <x:v>Liquidity-first</x:v>
      </x:c>
      <x:c r="B857" s="8" t="str">
        <x:v>Severe benchmark</x:v>
      </x:c>
      <x:c r="C857" s="8" t="str">
        <x:v>Beacon notes</x:v>
      </x:c>
      <x:c r="D857" s="22" t="n">
        <x:v>1</x:v>
      </x:c>
      <x:c r="E857" s="8" t="n">
        <x:v>350</x:v>
      </x:c>
      <x:c r="F857" s="23" t="n">
        <x:v>0.0475</x:v>
      </x:c>
      <x:c r="G857" s="8" t="n">
        <x:v>16.625</x:v>
      </x:c>
      <x:c r="H857" s="8" t="n">
        <x:v>0</x:v>
      </x:c>
      <x:c r="I857" s="8" t="n">
        <x:v>0</x:v>
      </x:c>
      <x:c r="J857" s="8" t="n">
        <x:v>0</x:v>
      </x:c>
      <x:c r="K857" s="8" t="n">
        <x:v>0</x:v>
      </x:c>
      <x:c r="L857" s="8" t="n">
        <x:v>0</x:v>
      </x:c>
      <x:c r="M857" s="21" t="n">
        <x:f>E857+K857-I857-J857-L857</x:f>
        <x:v>350</x:v>
      </x:c>
    </x:row>
    <x:row r="858" ht="36" customHeight="1">
      <x:c r="A858" s="8" t="str">
        <x:v>Liquidity-first</x:v>
      </x:c>
      <x:c r="B858" s="8" t="str">
        <x:v>Severe benchmark</x:v>
      </x:c>
      <x:c r="C858" s="8" t="str">
        <x:v>Acquisition term</x:v>
      </x:c>
      <x:c r="D858" s="22" t="n">
        <x:v>1</x:v>
      </x:c>
      <x:c r="E858" s="8" t="n">
        <x:v>2223.3502538071066</x:v>
      </x:c>
      <x:c r="F858" s="23" t="n">
        <x:v>0.08499999999999999</x:v>
      </x:c>
      <x:c r="G858" s="8" t="n">
        <x:v>188.98477157360404</x:v>
      </x:c>
      <x:c r="H858" s="8" t="n">
        <x:v>44.46700507614213</x:v>
      </x:c>
      <x:c r="I858" s="8" t="n">
        <x:v>44.46700507614213</x:v>
      </x:c>
      <x:c r="J858" s="8" t="n">
        <x:v>1034.5398785724215</x:v>
      </x:c>
      <x:c r="K858" s="8" t="n">
        <x:v>0</x:v>
      </x:c>
      <x:c r="L858" s="8" t="n">
        <x:v>0</x:v>
      </x:c>
      <x:c r="M858" s="21" t="n">
        <x:f>E858+K858-I858-J858-L858</x:f>
        <x:v>1144.3433701585432</x:v>
      </x:c>
    </x:row>
    <x:row r="859" ht="36" customHeight="1">
      <x:c r="A859" s="8" t="str">
        <x:v>Liquidity-first</x:v>
      </x:c>
      <x:c r="B859" s="8" t="str">
        <x:v>Severe benchmark</x:v>
      </x:c>
      <x:c r="C859" s="8" t="str">
        <x:v>Committed revolver</x:v>
      </x:c>
      <x:c r="D859" s="22" t="n">
        <x:v>1</x:v>
      </x:c>
      <x:c r="E859" s="8" t="n">
        <x:v>0</x:v>
      </x:c>
      <x:c r="F859" s="23" t="n">
        <x:v>0.08249999999999999</x:v>
      </x:c>
      <x:c r="G859" s="8" t="n">
        <x:v>0</x:v>
      </x:c>
      <x:c r="H859" s="8" t="n">
        <x:v>0</x:v>
      </x:c>
      <x:c r="I859" s="8" t="n">
        <x:v>0</x:v>
      </x:c>
      <x:c r="J859" s="8" t="n">
        <x:v>0</x:v>
      </x:c>
      <x:c r="K859" s="8" t="n">
        <x:v>0</x:v>
      </x:c>
      <x:c r="L859" s="8" t="n">
        <x:v>0</x:v>
      </x:c>
      <x:c r="M859" s="21" t="n">
        <x:f>E859+K859-I859-J859-L859</x:f>
        <x:v>0</x:v>
      </x:c>
    </x:row>
    <x:row r="860" ht="36" customHeight="1">
      <x:c r="A860" s="8" t="str">
        <x:v>Liquidity-first</x:v>
      </x:c>
      <x:c r="B860" s="8" t="str">
        <x:v>Severe benchmark</x:v>
      </x:c>
      <x:c r="C860" s="8" t="str">
        <x:v>Atlas notes</x:v>
      </x:c>
      <x:c r="D860" s="22" t="n">
        <x:v>2</x:v>
      </x:c>
      <x:c r="E860" s="8" t="n">
        <x:v>900</x:v>
      </x:c>
      <x:c r="F860" s="23" t="n">
        <x:v>0.038</x:v>
      </x:c>
      <x:c r="G860" s="8" t="n">
        <x:v>34.199999999999996</x:v>
      </x:c>
      <x:c r="H860" s="8" t="n">
        <x:v>0</x:v>
      </x:c>
      <x:c r="I860" s="8" t="n">
        <x:v>0</x:v>
      </x:c>
      <x:c r="J860" s="8" t="n">
        <x:v>0</x:v>
      </x:c>
      <x:c r="K860" s="8" t="n">
        <x:v>0</x:v>
      </x:c>
      <x:c r="L860" s="8" t="n">
        <x:v>0</x:v>
      </x:c>
      <x:c r="M860" s="21" t="n">
        <x:f>E860+K860-I860-J860-L860</x:f>
        <x:v>900</x:v>
      </x:c>
    </x:row>
    <x:row r="861" ht="36" customHeight="1">
      <x:c r="A861" s="8" t="str">
        <x:v>Liquidity-first</x:v>
      </x:c>
      <x:c r="B861" s="8" t="str">
        <x:v>Severe benchmark</x:v>
      </x:c>
      <x:c r="C861" s="8" t="str">
        <x:v>Atlas finance lease</x:v>
      </x:c>
      <x:c r="D861" s="22" t="n">
        <x:v>2</x:v>
      </x:c>
      <x:c r="E861" s="8" t="n">
        <x:v>64</x:v>
      </x:c>
      <x:c r="F861" s="23" t="n">
        <x:v>0.05</x:v>
      </x:c>
      <x:c r="G861" s="8" t="n">
        <x:v>3.2</x:v>
      </x:c>
      <x:c r="H861" s="8" t="n">
        <x:v>16</x:v>
      </x:c>
      <x:c r="I861" s="8" t="n">
        <x:v>16</x:v>
      </x:c>
      <x:c r="J861" s="8" t="n">
        <x:v>0</x:v>
      </x:c>
      <x:c r="K861" s="8" t="n">
        <x:v>0</x:v>
      </x:c>
      <x:c r="L861" s="8" t="n">
        <x:v>0</x:v>
      </x:c>
      <x:c r="M861" s="21" t="n">
        <x:f>E861+K861-I861-J861-L861</x:f>
        <x:v>48</x:v>
      </x:c>
    </x:row>
    <x:row r="862" ht="36" customHeight="1">
      <x:c r="A862" s="8" t="str">
        <x:v>Liquidity-first</x:v>
      </x:c>
      <x:c r="B862" s="8" t="str">
        <x:v>Severe benchmark</x:v>
      </x:c>
      <x:c r="C862" s="8" t="str">
        <x:v>Beacon notes</x:v>
      </x:c>
      <x:c r="D862" s="22" t="n">
        <x:v>2</x:v>
      </x:c>
      <x:c r="E862" s="8" t="n">
        <x:v>350</x:v>
      </x:c>
      <x:c r="F862" s="23" t="n">
        <x:v>0.0475</x:v>
      </x:c>
      <x:c r="G862" s="8" t="n">
        <x:v>16.625</x:v>
      </x:c>
      <x:c r="H862" s="8" t="n">
        <x:v>0</x:v>
      </x:c>
      <x:c r="I862" s="8" t="n">
        <x:v>0</x:v>
      </x:c>
      <x:c r="J862" s="8" t="n">
        <x:v>0</x:v>
      </x:c>
      <x:c r="K862" s="8" t="n">
        <x:v>0</x:v>
      </x:c>
      <x:c r="L862" s="8" t="n">
        <x:v>0</x:v>
      </x:c>
      <x:c r="M862" s="21" t="n">
        <x:f>E862+K862-I862-J862-L862</x:f>
        <x:v>350</x:v>
      </x:c>
    </x:row>
    <x:row r="863" ht="36" customHeight="1">
      <x:c r="A863" s="8" t="str">
        <x:v>Liquidity-first</x:v>
      </x:c>
      <x:c r="B863" s="8" t="str">
        <x:v>Severe benchmark</x:v>
      </x:c>
      <x:c r="C863" s="8" t="str">
        <x:v>Acquisition term</x:v>
      </x:c>
      <x:c r="D863" s="22" t="n">
        <x:v>2</x:v>
      </x:c>
      <x:c r="E863" s="8" t="n">
        <x:v>1144.3433701585432</x:v>
      </x:c>
      <x:c r="F863" s="23" t="n">
        <x:v>0.08249999999999999</x:v>
      </x:c>
      <x:c r="G863" s="8" t="n">
        <x:v>94.4083280380798</x:v>
      </x:c>
      <x:c r="H863" s="8" t="n">
        <x:v>44.46700507614213</x:v>
      </x:c>
      <x:c r="I863" s="8" t="n">
        <x:v>44.46700507614213</x:v>
      </x:c>
      <x:c r="J863" s="8" t="n">
        <x:v>311.2678165322825</x:v>
      </x:c>
      <x:c r="K863" s="8" t="n">
        <x:v>0</x:v>
      </x:c>
      <x:c r="L863" s="8" t="n">
        <x:v>0</x:v>
      </x:c>
      <x:c r="M863" s="21" t="n">
        <x:f>E863+K863-I863-J863-L863</x:f>
        <x:v>788.6085485501185</x:v>
      </x:c>
    </x:row>
    <x:row r="864" ht="36" customHeight="1">
      <x:c r="A864" s="8" t="str">
        <x:v>Liquidity-first</x:v>
      </x:c>
      <x:c r="B864" s="8" t="str">
        <x:v>Severe benchmark</x:v>
      </x:c>
      <x:c r="C864" s="8" t="str">
        <x:v>Committed revolver</x:v>
      </x:c>
      <x:c r="D864" s="22" t="n">
        <x:v>2</x:v>
      </x:c>
      <x:c r="E864" s="8" t="n">
        <x:v>0</x:v>
      </x:c>
      <x:c r="F864" s="23" t="n">
        <x:v>0.07999999999999999</x:v>
      </x:c>
      <x:c r="G864" s="8" t="n">
        <x:v>0</x:v>
      </x:c>
      <x:c r="H864" s="8" t="n">
        <x:v>0</x:v>
      </x:c>
      <x:c r="I864" s="8" t="n">
        <x:v>0</x:v>
      </x:c>
      <x:c r="J864" s="8" t="n">
        <x:v>0</x:v>
      </x:c>
      <x:c r="K864" s="8" t="n">
        <x:v>0</x:v>
      </x:c>
      <x:c r="L864" s="8" t="n">
        <x:v>0</x:v>
      </x:c>
      <x:c r="M864" s="21" t="n">
        <x:f>E864+K864-I864-J864-L864</x:f>
        <x:v>0</x:v>
      </x:c>
    </x:row>
    <x:row r="865" ht="36" customHeight="1">
      <x:c r="A865" s="8" t="str">
        <x:v>Liquidity-first</x:v>
      </x:c>
      <x:c r="B865" s="8" t="str">
        <x:v>Severe benchmark</x:v>
      </x:c>
      <x:c r="C865" s="8" t="str">
        <x:v>Atlas notes</x:v>
      </x:c>
      <x:c r="D865" s="22" t="n">
        <x:v>3</x:v>
      </x:c>
      <x:c r="E865" s="8" t="n">
        <x:v>900</x:v>
      </x:c>
      <x:c r="F865" s="23" t="n">
        <x:v>0.038</x:v>
      </x:c>
      <x:c r="G865" s="8" t="n">
        <x:v>34.199999999999996</x:v>
      </x:c>
      <x:c r="H865" s="8" t="n">
        <x:v>0</x:v>
      </x:c>
      <x:c r="I865" s="8" t="n">
        <x:v>0</x:v>
      </x:c>
      <x:c r="J865" s="8" t="n">
        <x:v>0</x:v>
      </x:c>
      <x:c r="K865" s="8" t="n">
        <x:v>0</x:v>
      </x:c>
      <x:c r="L865" s="8" t="n">
        <x:v>0</x:v>
      </x:c>
      <x:c r="M865" s="21" t="n">
        <x:f>E865+K865-I865-J865-L865</x:f>
        <x:v>900</x:v>
      </x:c>
    </x:row>
    <x:row r="866" ht="36" customHeight="1">
      <x:c r="A866" s="8" t="str">
        <x:v>Liquidity-first</x:v>
      </x:c>
      <x:c r="B866" s="8" t="str">
        <x:v>Severe benchmark</x:v>
      </x:c>
      <x:c r="C866" s="8" t="str">
        <x:v>Atlas finance lease</x:v>
      </x:c>
      <x:c r="D866" s="22" t="n">
        <x:v>3</x:v>
      </x:c>
      <x:c r="E866" s="8" t="n">
        <x:v>48</x:v>
      </x:c>
      <x:c r="F866" s="23" t="n">
        <x:v>0.05</x:v>
      </x:c>
      <x:c r="G866" s="8" t="n">
        <x:v>2.4000000000000004</x:v>
      </x:c>
      <x:c r="H866" s="8" t="n">
        <x:v>16</x:v>
      </x:c>
      <x:c r="I866" s="8" t="n">
        <x:v>16</x:v>
      </x:c>
      <x:c r="J866" s="8" t="n">
        <x:v>0</x:v>
      </x:c>
      <x:c r="K866" s="8" t="n">
        <x:v>0</x:v>
      </x:c>
      <x:c r="L866" s="8" t="n">
        <x:v>0</x:v>
      </x:c>
      <x:c r="M866" s="21" t="n">
        <x:f>E866+K866-I866-J866-L866</x:f>
        <x:v>32</x:v>
      </x:c>
    </x:row>
    <x:row r="867" ht="36" customHeight="1">
      <x:c r="A867" s="8" t="str">
        <x:v>Liquidity-first</x:v>
      </x:c>
      <x:c r="B867" s="8" t="str">
        <x:v>Severe benchmark</x:v>
      </x:c>
      <x:c r="C867" s="8" t="str">
        <x:v>Beacon notes</x:v>
      </x:c>
      <x:c r="D867" s="22" t="n">
        <x:v>3</x:v>
      </x:c>
      <x:c r="E867" s="8" t="n">
        <x:v>350</x:v>
      </x:c>
      <x:c r="F867" s="23" t="n">
        <x:v>0.0475</x:v>
      </x:c>
      <x:c r="G867" s="8" t="n">
        <x:v>16.625</x:v>
      </x:c>
      <x:c r="H867" s="8" t="n">
        <x:v>350</x:v>
      </x:c>
      <x:c r="I867" s="8" t="n">
        <x:v>350</x:v>
      </x:c>
      <x:c r="J867" s="8" t="n">
        <x:v>0</x:v>
      </x:c>
      <x:c r="K867" s="8" t="n">
        <x:v>0</x:v>
      </x:c>
      <x:c r="L867" s="8" t="n">
        <x:v>0</x:v>
      </x:c>
      <x:c r="M867" s="21" t="n">
        <x:f>E867+K867-I867-J867-L867</x:f>
        <x:v>0</x:v>
      </x:c>
    </x:row>
    <x:row r="868" ht="36" customHeight="1">
      <x:c r="A868" s="8" t="str">
        <x:v>Liquidity-first</x:v>
      </x:c>
      <x:c r="B868" s="8" t="str">
        <x:v>Severe benchmark</x:v>
      </x:c>
      <x:c r="C868" s="8" t="str">
        <x:v>Acquisition term</x:v>
      </x:c>
      <x:c r="D868" s="22" t="n">
        <x:v>3</x:v>
      </x:c>
      <x:c r="E868" s="8" t="n">
        <x:v>788.6085485501185</x:v>
      </x:c>
      <x:c r="F868" s="23" t="n">
        <x:v>0.08000000000000002</x:v>
      </x:c>
      <x:c r="G868" s="8" t="n">
        <x:v>63.08868388400949</x:v>
      </x:c>
      <x:c r="H868" s="8" t="n">
        <x:v>44.46700507614213</x:v>
      </x:c>
      <x:c r="I868" s="8" t="n">
        <x:v>44.46700507614213</x:v>
      </x:c>
      <x:c r="J868" s="8" t="n">
        <x:v>81.36052508876082</x:v>
      </x:c>
      <x:c r="K868" s="8" t="n">
        <x:v>0</x:v>
      </x:c>
      <x:c r="L868" s="8" t="n">
        <x:v>0</x:v>
      </x:c>
      <x:c r="M868" s="21" t="n">
        <x:f>E868+K868-I868-J868-L868</x:f>
        <x:v>662.7810183852155</x:v>
      </x:c>
    </x:row>
    <x:row r="869" ht="36" customHeight="1">
      <x:c r="A869" s="8" t="str">
        <x:v>Liquidity-first</x:v>
      </x:c>
      <x:c r="B869" s="8" t="str">
        <x:v>Severe benchmark</x:v>
      </x:c>
      <x:c r="C869" s="8" t="str">
        <x:v>Committed revolver</x:v>
      </x:c>
      <x:c r="D869" s="22" t="n">
        <x:v>3</x:v>
      </x:c>
      <x:c r="E869" s="8" t="n">
        <x:v>0</x:v>
      </x:c>
      <x:c r="F869" s="23" t="n">
        <x:v>0.07750000000000001</x:v>
      </x:c>
      <x:c r="G869" s="8" t="n">
        <x:v>0</x:v>
      </x:c>
      <x:c r="H869" s="8" t="n">
        <x:v>0</x:v>
      </x:c>
      <x:c r="I869" s="8" t="n">
        <x:v>0</x:v>
      </x:c>
      <x:c r="J869" s="8" t="n">
        <x:v>0</x:v>
      </x:c>
      <x:c r="K869" s="8" t="n">
        <x:v>0</x:v>
      </x:c>
      <x:c r="L869" s="8" t="n">
        <x:v>0</x:v>
      </x:c>
      <x:c r="M869" s="21" t="n">
        <x:f>E869+K869-I869-J869-L869</x:f>
        <x:v>0</x:v>
      </x:c>
    </x:row>
    <x:row r="870" ht="36" customHeight="1">
      <x:c r="A870" s="8" t="str">
        <x:v>Liquidity-first</x:v>
      </x:c>
      <x:c r="B870" s="8" t="str">
        <x:v>Severe benchmark</x:v>
      </x:c>
      <x:c r="C870" s="8" t="str">
        <x:v>Atlas notes</x:v>
      </x:c>
      <x:c r="D870" s="22" t="n">
        <x:v>4</x:v>
      </x:c>
      <x:c r="E870" s="8" t="n">
        <x:v>900</x:v>
      </x:c>
      <x:c r="F870" s="23" t="n">
        <x:v>0.038</x:v>
      </x:c>
      <x:c r="G870" s="8" t="n">
        <x:v>34.199999999999996</x:v>
      </x:c>
      <x:c r="H870" s="8" t="n">
        <x:v>900</x:v>
      </x:c>
      <x:c r="I870" s="8" t="n">
        <x:v>900</x:v>
      </x:c>
      <x:c r="J870" s="8" t="n">
        <x:v>0</x:v>
      </x:c>
      <x:c r="K870" s="8" t="n">
        <x:v>0</x:v>
      </x:c>
      <x:c r="L870" s="8" t="n">
        <x:v>0</x:v>
      </x:c>
      <x:c r="M870" s="21" t="n">
        <x:f>E870+K870-I870-J870-L870</x:f>
        <x:v>0</x:v>
      </x:c>
    </x:row>
    <x:row r="871" ht="36" customHeight="1">
      <x:c r="A871" s="8" t="str">
        <x:v>Liquidity-first</x:v>
      </x:c>
      <x:c r="B871" s="8" t="str">
        <x:v>Severe benchmark</x:v>
      </x:c>
      <x:c r="C871" s="8" t="str">
        <x:v>Atlas finance lease</x:v>
      </x:c>
      <x:c r="D871" s="22" t="n">
        <x:v>4</x:v>
      </x:c>
      <x:c r="E871" s="8" t="n">
        <x:v>32</x:v>
      </x:c>
      <x:c r="F871" s="23" t="n">
        <x:v>0.05</x:v>
      </x:c>
      <x:c r="G871" s="8" t="n">
        <x:v>1.6</x:v>
      </x:c>
      <x:c r="H871" s="8" t="n">
        <x:v>16</x:v>
      </x:c>
      <x:c r="I871" s="8" t="n">
        <x:v>16</x:v>
      </x:c>
      <x:c r="J871" s="8" t="n">
        <x:v>0</x:v>
      </x:c>
      <x:c r="K871" s="8" t="n">
        <x:v>0</x:v>
      </x:c>
      <x:c r="L871" s="8" t="n">
        <x:v>0</x:v>
      </x:c>
      <x:c r="M871" s="21" t="n">
        <x:f>E871+K871-I871-J871-L871</x:f>
        <x:v>16</x:v>
      </x:c>
    </x:row>
    <x:row r="872" ht="36" customHeight="1">
      <x:c r="A872" s="8" t="str">
        <x:v>Liquidity-first</x:v>
      </x:c>
      <x:c r="B872" s="8" t="str">
        <x:v>Severe benchmark</x:v>
      </x:c>
      <x:c r="C872" s="8" t="str">
        <x:v>Beacon notes</x:v>
      </x:c>
      <x:c r="D872" s="22" t="n">
        <x:v>4</x:v>
      </x:c>
      <x:c r="E872" s="8" t="n">
        <x:v>0</x:v>
      </x:c>
      <x:c r="F872" s="23" t="n">
        <x:v>0.0475</x:v>
      </x:c>
      <x:c r="G872" s="8" t="n">
        <x:v>0</x:v>
      </x:c>
      <x:c r="H872" s="8" t="n">
        <x:v>0</x:v>
      </x:c>
      <x:c r="I872" s="8" t="n">
        <x:v>0</x:v>
      </x:c>
      <x:c r="J872" s="8" t="n">
        <x:v>0</x:v>
      </x:c>
      <x:c r="K872" s="8" t="n">
        <x:v>0</x:v>
      </x:c>
      <x:c r="L872" s="8" t="n">
        <x:v>0</x:v>
      </x:c>
      <x:c r="M872" s="21" t="n">
        <x:f>E872+K872-I872-J872-L872</x:f>
        <x:v>0</x:v>
      </x:c>
    </x:row>
    <x:row r="873" ht="36" customHeight="1">
      <x:c r="A873" s="8" t="str">
        <x:v>Liquidity-first</x:v>
      </x:c>
      <x:c r="B873" s="8" t="str">
        <x:v>Severe benchmark</x:v>
      </x:c>
      <x:c r="C873" s="8" t="str">
        <x:v>Acquisition term</x:v>
      </x:c>
      <x:c r="D873" s="22" t="n">
        <x:v>4</x:v>
      </x:c>
      <x:c r="E873" s="8" t="n">
        <x:v>662.7810183852155</x:v>
      </x:c>
      <x:c r="F873" s="23" t="n">
        <x:v>0.08000000000000002</x:v>
      </x:c>
      <x:c r="G873" s="8" t="n">
        <x:v>53.02248147081725</x:v>
      </x:c>
      <x:c r="H873" s="8" t="n">
        <x:v>44.46700507614213</x:v>
      </x:c>
      <x:c r="I873" s="8" t="n">
        <x:v>44.46700507614213</x:v>
      </x:c>
      <x:c r="J873" s="8" t="n">
        <x:v>0</x:v>
      </x:c>
      <x:c r="K873" s="8" t="n">
        <x:v>0</x:v>
      </x:c>
      <x:c r="L873" s="8" t="n">
        <x:v>0</x:v>
      </x:c>
      <x:c r="M873" s="21" t="n">
        <x:f>E873+K873-I873-J873-L873</x:f>
        <x:v>618.3140133090733</x:v>
      </x:c>
    </x:row>
    <x:row r="874" ht="36" customHeight="1">
      <x:c r="A874" s="8" t="str">
        <x:v>Liquidity-first</x:v>
      </x:c>
      <x:c r="B874" s="8" t="str">
        <x:v>Severe benchmark</x:v>
      </x:c>
      <x:c r="C874" s="8" t="str">
        <x:v>Committed revolver</x:v>
      </x:c>
      <x:c r="D874" s="22" t="n">
        <x:v>4</x:v>
      </x:c>
      <x:c r="E874" s="8" t="n">
        <x:v>0</x:v>
      </x:c>
      <x:c r="F874" s="23" t="n">
        <x:v>0.07750000000000001</x:v>
      </x:c>
      <x:c r="G874" s="8" t="n">
        <x:v>0</x:v>
      </x:c>
      <x:c r="H874" s="8" t="n">
        <x:v>0</x:v>
      </x:c>
      <x:c r="I874" s="8" t="n">
        <x:v>0</x:v>
      </x:c>
      <x:c r="J874" s="8" t="n">
        <x:v>0</x:v>
      </x:c>
      <x:c r="K874" s="8" t="n">
        <x:v>401.1869936743983</x:v>
      </x:c>
      <x:c r="L874" s="8" t="n">
        <x:v>0</x:v>
      </x:c>
      <x:c r="M874" s="21" t="n">
        <x:f>E874+K874-I874-J874-L874</x:f>
        <x:v>401.1869936743983</x:v>
      </x:c>
    </x:row>
    <x:row r="875" ht="36" customHeight="1">
      <x:c r="A875" s="8" t="str">
        <x:v>Liquidity-first</x:v>
      </x:c>
      <x:c r="B875" s="8" t="str">
        <x:v>Severe benchmark</x:v>
      </x:c>
      <x:c r="C875" s="8" t="str">
        <x:v>Atlas notes</x:v>
      </x:c>
      <x:c r="D875" s="22" t="n">
        <x:v>5</x:v>
      </x:c>
      <x:c r="E875" s="8" t="n">
        <x:v>0</x:v>
      </x:c>
      <x:c r="F875" s="23" t="n">
        <x:v>0.038</x:v>
      </x:c>
      <x:c r="G875" s="8" t="n">
        <x:v>0</x:v>
      </x:c>
      <x:c r="H875" s="8" t="n">
        <x:v>0</x:v>
      </x:c>
      <x:c r="I875" s="8" t="n">
        <x:v>0</x:v>
      </x:c>
      <x:c r="J875" s="8" t="n">
        <x:v>0</x:v>
      </x:c>
      <x:c r="K875" s="8" t="n">
        <x:v>0</x:v>
      </x:c>
      <x:c r="L875" s="8" t="n">
        <x:v>0</x:v>
      </x:c>
      <x:c r="M875" s="21" t="n">
        <x:f>E875+K875-I875-J875-L875</x:f>
        <x:v>0</x:v>
      </x:c>
    </x:row>
    <x:row r="876" ht="36" customHeight="1">
      <x:c r="A876" s="8" t="str">
        <x:v>Liquidity-first</x:v>
      </x:c>
      <x:c r="B876" s="8" t="str">
        <x:v>Severe benchmark</x:v>
      </x:c>
      <x:c r="C876" s="8" t="str">
        <x:v>Atlas finance lease</x:v>
      </x:c>
      <x:c r="D876" s="22" t="n">
        <x:v>5</x:v>
      </x:c>
      <x:c r="E876" s="8" t="n">
        <x:v>16</x:v>
      </x:c>
      <x:c r="F876" s="23" t="n">
        <x:v>0.05</x:v>
      </x:c>
      <x:c r="G876" s="8" t="n">
        <x:v>0.8</x:v>
      </x:c>
      <x:c r="H876" s="8" t="n">
        <x:v>16</x:v>
      </x:c>
      <x:c r="I876" s="8" t="n">
        <x:v>16</x:v>
      </x:c>
      <x:c r="J876" s="8" t="n">
        <x:v>0</x:v>
      </x:c>
      <x:c r="K876" s="8" t="n">
        <x:v>0</x:v>
      </x:c>
      <x:c r="L876" s="8" t="n">
        <x:v>0</x:v>
      </x:c>
      <x:c r="M876" s="21" t="n">
        <x:f>E876+K876-I876-J876-L876</x:f>
        <x:v>0</x:v>
      </x:c>
    </x:row>
    <x:row r="877" ht="36" customHeight="1">
      <x:c r="A877" s="8" t="str">
        <x:v>Liquidity-first</x:v>
      </x:c>
      <x:c r="B877" s="8" t="str">
        <x:v>Severe benchmark</x:v>
      </x:c>
      <x:c r="C877" s="8" t="str">
        <x:v>Beacon notes</x:v>
      </x:c>
      <x:c r="D877" s="22" t="n">
        <x:v>5</x:v>
      </x:c>
      <x:c r="E877" s="8" t="n">
        <x:v>0</x:v>
      </x:c>
      <x:c r="F877" s="23" t="n">
        <x:v>0.0475</x:v>
      </x:c>
      <x:c r="G877" s="8" t="n">
        <x:v>0</x:v>
      </x:c>
      <x:c r="H877" s="8" t="n">
        <x:v>0</x:v>
      </x:c>
      <x:c r="I877" s="8" t="n">
        <x:v>0</x:v>
      </x:c>
      <x:c r="J877" s="8" t="n">
        <x:v>0</x:v>
      </x:c>
      <x:c r="K877" s="8" t="n">
        <x:v>0</x:v>
      </x:c>
      <x:c r="L877" s="8" t="n">
        <x:v>0</x:v>
      </x:c>
      <x:c r="M877" s="21" t="n">
        <x:f>E877+K877-I877-J877-L877</x:f>
        <x:v>0</x:v>
      </x:c>
    </x:row>
    <x:row r="878" ht="36" customHeight="1">
      <x:c r="A878" s="8" t="str">
        <x:v>Liquidity-first</x:v>
      </x:c>
      <x:c r="B878" s="8" t="str">
        <x:v>Severe benchmark</x:v>
      </x:c>
      <x:c r="C878" s="8" t="str">
        <x:v>Acquisition term</x:v>
      </x:c>
      <x:c r="D878" s="22" t="n">
        <x:v>5</x:v>
      </x:c>
      <x:c r="E878" s="8" t="n">
        <x:v>618.3140133090733</x:v>
      </x:c>
      <x:c r="F878" s="23" t="n">
        <x:v>0.08000000000000002</x:v>
      </x:c>
      <x:c r="G878" s="8" t="n">
        <x:v>49.46512106472587</x:v>
      </x:c>
      <x:c r="H878" s="8" t="n">
        <x:v>618.3140133090733</x:v>
      </x:c>
      <x:c r="I878" s="8" t="n">
        <x:v>618.3140133090733</x:v>
      </x:c>
      <x:c r="J878" s="8" t="n">
        <x:v>0</x:v>
      </x:c>
      <x:c r="K878" s="8" t="n">
        <x:v>0</x:v>
      </x:c>
      <x:c r="L878" s="8" t="n">
        <x:v>0</x:v>
      </x:c>
      <x:c r="M878" s="21" t="n">
        <x:f>E878+K878-I878-J878-L878</x:f>
        <x:v>0</x:v>
      </x:c>
    </x:row>
    <x:row r="879" ht="36" customHeight="1">
      <x:c r="A879" s="8" t="str">
        <x:v>Liquidity-first</x:v>
      </x:c>
      <x:c r="B879" s="8" t="str">
        <x:v>Severe benchmark</x:v>
      </x:c>
      <x:c r="C879" s="8" t="str">
        <x:v>Committed revolver</x:v>
      </x:c>
      <x:c r="D879" s="22" t="n">
        <x:v>5</x:v>
      </x:c>
      <x:c r="E879" s="8" t="n">
        <x:v>401.1869936743983</x:v>
      </x:c>
      <x:c r="F879" s="23" t="n">
        <x:v>0.07750000000000001</x:v>
      </x:c>
      <x:c r="G879" s="8" t="n">
        <x:v>31.091992009765875</x:v>
      </x:c>
      <x:c r="H879" s="8" t="n">
        <x:v>401.1869936743983</x:v>
      </x:c>
      <x:c r="I879" s="8" t="n">
        <x:v>401.1869936743983</x:v>
      </x:c>
      <x:c r="J879" s="8" t="n">
        <x:v>0</x:v>
      </x:c>
      <x:c r="K879" s="8" t="n">
        <x:v>0</x:v>
      </x:c>
      <x:c r="L879" s="8" t="n">
        <x:v>0</x:v>
      </x:c>
      <x:c r="M879" s="21" t="n">
        <x:f>E879+K879-I879-J879-L879</x:f>
        <x:v>0</x:v>
      </x:c>
    </x:row>
    <x:row r="880" ht="36" customHeight="1">
      <x:c r="A880" s="8" t="str">
        <x:v>Mixed consideration</x:v>
      </x:c>
      <x:c r="B880" s="8" t="str">
        <x:v>Severe benchmark</x:v>
      </x:c>
      <x:c r="C880" s="8" t="str">
        <x:v>Atlas notes</x:v>
      </x:c>
      <x:c r="D880" s="22" t="n">
        <x:v>1</x:v>
      </x:c>
      <x:c r="E880" s="8" t="n">
        <x:v>900</x:v>
      </x:c>
      <x:c r="F880" s="23" t="n">
        <x:v>0.038</x:v>
      </x:c>
      <x:c r="G880" s="8" t="n">
        <x:v>34.199999999999996</x:v>
      </x:c>
      <x:c r="H880" s="8" t="n">
        <x:v>0</x:v>
      </x:c>
      <x:c r="I880" s="8" t="n">
        <x:v>0</x:v>
      </x:c>
      <x:c r="J880" s="8" t="n">
        <x:v>0</x:v>
      </x:c>
      <x:c r="K880" s="8" t="n">
        <x:v>0</x:v>
      </x:c>
      <x:c r="L880" s="8" t="n">
        <x:v>0</x:v>
      </x:c>
      <x:c r="M880" s="21" t="n">
        <x:f>E880+K880-I880-J880-L880</x:f>
        <x:v>900</x:v>
      </x:c>
    </x:row>
    <x:row r="881" ht="36" customHeight="1">
      <x:c r="A881" s="8" t="str">
        <x:v>Mixed consideration</x:v>
      </x:c>
      <x:c r="B881" s="8" t="str">
        <x:v>Severe benchmark</x:v>
      </x:c>
      <x:c r="C881" s="8" t="str">
        <x:v>Atlas finance lease</x:v>
      </x:c>
      <x:c r="D881" s="22" t="n">
        <x:v>1</x:v>
      </x:c>
      <x:c r="E881" s="8" t="n">
        <x:v>80</x:v>
      </x:c>
      <x:c r="F881" s="23" t="n">
        <x:v>0.05</x:v>
      </x:c>
      <x:c r="G881" s="8" t="n">
        <x:v>4</x:v>
      </x:c>
      <x:c r="H881" s="8" t="n">
        <x:v>16</x:v>
      </x:c>
      <x:c r="I881" s="8" t="n">
        <x:v>16</x:v>
      </x:c>
      <x:c r="J881" s="8" t="n">
        <x:v>26.76069075516267</x:v>
      </x:c>
      <x:c r="K881" s="8" t="n">
        <x:v>0</x:v>
      </x:c>
      <x:c r="L881" s="8" t="n">
        <x:v>0</x:v>
      </x:c>
      <x:c r="M881" s="21" t="n">
        <x:f>E881+K881-I881-J881-L881</x:f>
        <x:v>37.23930924483733</x:v>
      </x:c>
    </x:row>
    <x:row r="882" ht="36" customHeight="1">
      <x:c r="A882" s="8" t="str">
        <x:v>Mixed consideration</x:v>
      </x:c>
      <x:c r="B882" s="8" t="str">
        <x:v>Severe benchmark</x:v>
      </x:c>
      <x:c r="C882" s="8" t="str">
        <x:v>Beacon notes</x:v>
      </x:c>
      <x:c r="D882" s="22" t="n">
        <x:v>1</x:v>
      </x:c>
      <x:c r="E882" s="8" t="n">
        <x:v>350</x:v>
      </x:c>
      <x:c r="F882" s="23" t="n">
        <x:v>0.0475</x:v>
      </x:c>
      <x:c r="G882" s="8" t="n">
        <x:v>16.625</x:v>
      </x:c>
      <x:c r="H882" s="8" t="n">
        <x:v>0</x:v>
      </x:c>
      <x:c r="I882" s="8" t="n">
        <x:v>0</x:v>
      </x:c>
      <x:c r="J882" s="8" t="n">
        <x:v>0</x:v>
      </x:c>
      <x:c r="K882" s="8" t="n">
        <x:v>0</x:v>
      </x:c>
      <x:c r="L882" s="8" t="n">
        <x:v>0</x:v>
      </x:c>
      <x:c r="M882" s="21" t="n">
        <x:f>E882+K882-I882-J882-L882</x:f>
        <x:v>350</x:v>
      </x:c>
    </x:row>
    <x:row r="883" ht="36" customHeight="1">
      <x:c r="A883" s="8" t="str">
        <x:v>Mixed consideration</x:v>
      </x:c>
      <x:c r="B883" s="8" t="str">
        <x:v>Severe benchmark</x:v>
      </x:c>
      <x:c r="C883" s="8" t="str">
        <x:v>Acquisition term</x:v>
      </x:c>
      <x:c r="D883" s="22" t="n">
        <x:v>1</x:v>
      </x:c>
      <x:c r="E883" s="8" t="n">
        <x:v>304.56852791878174</x:v>
      </x:c>
      <x:c r="F883" s="23" t="n">
        <x:v>0.08499999999999999</x:v>
      </x:c>
      <x:c r="G883" s="8" t="n">
        <x:v>25.888324873096444</x:v>
      </x:c>
      <x:c r="H883" s="8" t="n">
        <x:v>6.091370558375635</x:v>
      </x:c>
      <x:c r="I883" s="8" t="n">
        <x:v>6.091370558375635</x:v>
      </x:c>
      <x:c r="J883" s="8" t="n">
        <x:v>298.4771573604061</x:v>
      </x:c>
      <x:c r="K883" s="8" t="n">
        <x:v>0</x:v>
      </x:c>
      <x:c r="L883" s="8" t="n">
        <x:v>0</x:v>
      </x:c>
      <x:c r="M883" s="21" t="n">
        <x:f>E883+K883-I883-J883-L883</x:f>
        <x:v>0</x:v>
      </x:c>
    </x:row>
    <x:row r="884" ht="36" customHeight="1">
      <x:c r="A884" s="8" t="str">
        <x:v>Mixed consideration</x:v>
      </x:c>
      <x:c r="B884" s="8" t="str">
        <x:v>Severe benchmark</x:v>
      </x:c>
      <x:c r="C884" s="8" t="str">
        <x:v>Committed revolver</x:v>
      </x:c>
      <x:c r="D884" s="22" t="n">
        <x:v>1</x:v>
      </x:c>
      <x:c r="E884" s="8" t="n">
        <x:v>0</x:v>
      </x:c>
      <x:c r="F884" s="23" t="n">
        <x:v>0.08249999999999999</x:v>
      </x:c>
      <x:c r="G884" s="8" t="n">
        <x:v>0</x:v>
      </x:c>
      <x:c r="H884" s="8" t="n">
        <x:v>0</x:v>
      </x:c>
      <x:c r="I884" s="8" t="n">
        <x:v>0</x:v>
      </x:c>
      <x:c r="J884" s="8" t="n">
        <x:v>0</x:v>
      </x:c>
      <x:c r="K884" s="8" t="n">
        <x:v>0</x:v>
      </x:c>
      <x:c r="L884" s="8" t="n">
        <x:v>0</x:v>
      </x:c>
      <x:c r="M884" s="21" t="n">
        <x:f>E884+K884-I884-J884-L884</x:f>
        <x:v>0</x:v>
      </x:c>
    </x:row>
    <x:row r="885" ht="36" customHeight="1">
      <x:c r="A885" s="8" t="str">
        <x:v>Mixed consideration</x:v>
      </x:c>
      <x:c r="B885" s="8" t="str">
        <x:v>Severe benchmark</x:v>
      </x:c>
      <x:c r="C885" s="8" t="str">
        <x:v>Atlas notes</x:v>
      </x:c>
      <x:c r="D885" s="22" t="n">
        <x:v>2</x:v>
      </x:c>
      <x:c r="E885" s="8" t="n">
        <x:v>900</x:v>
      </x:c>
      <x:c r="F885" s="23" t="n">
        <x:v>0.038</x:v>
      </x:c>
      <x:c r="G885" s="8" t="n">
        <x:v>34.199999999999996</x:v>
      </x:c>
      <x:c r="H885" s="8" t="n">
        <x:v>0</x:v>
      </x:c>
      <x:c r="I885" s="8" t="n">
        <x:v>0</x:v>
      </x:c>
      <x:c r="J885" s="8" t="n">
        <x:v>56.30528429546558</x:v>
      </x:c>
      <x:c r="K885" s="8" t="n">
        <x:v>0</x:v>
      </x:c>
      <x:c r="L885" s="8" t="n">
        <x:v>0</x:v>
      </x:c>
      <x:c r="M885" s="21" t="n">
        <x:f>E885+K885-I885-J885-L885</x:f>
        <x:v>843.6947157045345</x:v>
      </x:c>
    </x:row>
    <x:row r="886" ht="36" customHeight="1">
      <x:c r="A886" s="8" t="str">
        <x:v>Mixed consideration</x:v>
      </x:c>
      <x:c r="B886" s="8" t="str">
        <x:v>Severe benchmark</x:v>
      </x:c>
      <x:c r="C886" s="8" t="str">
        <x:v>Atlas finance lease</x:v>
      </x:c>
      <x:c r="D886" s="22" t="n">
        <x:v>2</x:v>
      </x:c>
      <x:c r="E886" s="8" t="n">
        <x:v>37.23930924483733</x:v>
      </x:c>
      <x:c r="F886" s="23" t="n">
        <x:v>0.05</x:v>
      </x:c>
      <x:c r="G886" s="8" t="n">
        <x:v>1.8619654622418667</x:v>
      </x:c>
      <x:c r="H886" s="8" t="n">
        <x:v>16</x:v>
      </x:c>
      <x:c r="I886" s="8" t="n">
        <x:v>16</x:v>
      </x:c>
      <x:c r="J886" s="8" t="n">
        <x:v>21.23930924483733</x:v>
      </x:c>
      <x:c r="K886" s="8" t="n">
        <x:v>0</x:v>
      </x:c>
      <x:c r="L886" s="8" t="n">
        <x:v>0</x:v>
      </x:c>
      <x:c r="M886" s="21" t="n">
        <x:f>E886+K886-I886-J886-L886</x:f>
        <x:v>0</x:v>
      </x:c>
    </x:row>
    <x:row r="887" ht="36" customHeight="1">
      <x:c r="A887" s="8" t="str">
        <x:v>Mixed consideration</x:v>
      </x:c>
      <x:c r="B887" s="8" t="str">
        <x:v>Severe benchmark</x:v>
      </x:c>
      <x:c r="C887" s="8" t="str">
        <x:v>Beacon notes</x:v>
      </x:c>
      <x:c r="D887" s="22" t="n">
        <x:v>2</x:v>
      </x:c>
      <x:c r="E887" s="8" t="n">
        <x:v>350</x:v>
      </x:c>
      <x:c r="F887" s="23" t="n">
        <x:v>0.0475</x:v>
      </x:c>
      <x:c r="G887" s="8" t="n">
        <x:v>16.625</x:v>
      </x:c>
      <x:c r="H887" s="8" t="n">
        <x:v>0</x:v>
      </x:c>
      <x:c r="I887" s="8" t="n">
        <x:v>0</x:v>
      </x:c>
      <x:c r="J887" s="8" t="n">
        <x:v>350</x:v>
      </x:c>
      <x:c r="K887" s="8" t="n">
        <x:v>0</x:v>
      </x:c>
      <x:c r="L887" s="8" t="n">
        <x:v>0</x:v>
      </x:c>
      <x:c r="M887" s="21" t="n">
        <x:f>E887+K887-I887-J887-L887</x:f>
        <x:v>0</x:v>
      </x:c>
    </x:row>
    <x:row r="888" ht="36" customHeight="1">
      <x:c r="A888" s="8" t="str">
        <x:v>Mixed consideration</x:v>
      </x:c>
      <x:c r="B888" s="8" t="str">
        <x:v>Severe benchmark</x:v>
      </x:c>
      <x:c r="C888" s="8" t="str">
        <x:v>Acquisition term</x:v>
      </x:c>
      <x:c r="D888" s="22" t="n">
        <x:v>2</x:v>
      </x:c>
      <x:c r="E888" s="8" t="n">
        <x:v>0</x:v>
      </x:c>
      <x:c r="F888" s="23" t="n">
        <x:v>0.08249999999999999</x:v>
      </x:c>
      <x:c r="G888" s="8" t="n">
        <x:v>0</x:v>
      </x:c>
      <x:c r="H888" s="8" t="n">
        <x:v>0</x:v>
      </x:c>
      <x:c r="I888" s="8" t="n">
        <x:v>0</x:v>
      </x:c>
      <x:c r="J888" s="8" t="n">
        <x:v>0</x:v>
      </x:c>
      <x:c r="K888" s="8" t="n">
        <x:v>0</x:v>
      </x:c>
      <x:c r="L888" s="8" t="n">
        <x:v>0</x:v>
      </x:c>
      <x:c r="M888" s="21" t="n">
        <x:f>E888+K888-I888-J888-L888</x:f>
        <x:v>0</x:v>
      </x:c>
    </x:row>
    <x:row r="889" ht="36" customHeight="1">
      <x:c r="A889" s="8" t="str">
        <x:v>Mixed consideration</x:v>
      </x:c>
      <x:c r="B889" s="8" t="str">
        <x:v>Severe benchmark</x:v>
      </x:c>
      <x:c r="C889" s="8" t="str">
        <x:v>Committed revolver</x:v>
      </x:c>
      <x:c r="D889" s="22" t="n">
        <x:v>2</x:v>
      </x:c>
      <x:c r="E889" s="8" t="n">
        <x:v>0</x:v>
      </x:c>
      <x:c r="F889" s="23" t="n">
        <x:v>0.07999999999999999</x:v>
      </x:c>
      <x:c r="G889" s="8" t="n">
        <x:v>0</x:v>
      </x:c>
      <x:c r="H889" s="8" t="n">
        <x:v>0</x:v>
      </x:c>
      <x:c r="I889" s="8" t="n">
        <x:v>0</x:v>
      </x:c>
      <x:c r="J889" s="8" t="n">
        <x:v>0</x:v>
      </x:c>
      <x:c r="K889" s="8" t="n">
        <x:v>0</x:v>
      </x:c>
      <x:c r="L889" s="8" t="n">
        <x:v>0</x:v>
      </x:c>
      <x:c r="M889" s="21" t="n">
        <x:f>E889+K889-I889-J889-L889</x:f>
        <x:v>0</x:v>
      </x:c>
    </x:row>
    <x:row r="890" ht="36" customHeight="1">
      <x:c r="A890" s="8" t="str">
        <x:v>Mixed consideration</x:v>
      </x:c>
      <x:c r="B890" s="8" t="str">
        <x:v>Severe benchmark</x:v>
      </x:c>
      <x:c r="C890" s="8" t="str">
        <x:v>Atlas notes</x:v>
      </x:c>
      <x:c r="D890" s="22" t="n">
        <x:v>3</x:v>
      </x:c>
      <x:c r="E890" s="8" t="n">
        <x:v>843.6947157045345</x:v>
      </x:c>
      <x:c r="F890" s="23" t="n">
        <x:v>0.038</x:v>
      </x:c>
      <x:c r="G890" s="8" t="n">
        <x:v>32.06039919677231</x:v>
      </x:c>
      <x:c r="H890" s="8" t="n">
        <x:v>0</x:v>
      </x:c>
      <x:c r="I890" s="8" t="n">
        <x:v>0</x:v>
      </x:c>
      <x:c r="J890" s="8" t="n">
        <x:v>555.017493680331</x:v>
      </x:c>
      <x:c r="K890" s="8" t="n">
        <x:v>0</x:v>
      </x:c>
      <x:c r="L890" s="8" t="n">
        <x:v>0</x:v>
      </x:c>
      <x:c r="M890" s="21" t="n">
        <x:f>E890+K890-I890-J890-L890</x:f>
        <x:v>288.6772220242035</x:v>
      </x:c>
    </x:row>
    <x:row r="891" ht="36" customHeight="1">
      <x:c r="A891" s="8" t="str">
        <x:v>Mixed consideration</x:v>
      </x:c>
      <x:c r="B891" s="8" t="str">
        <x:v>Severe benchmark</x:v>
      </x:c>
      <x:c r="C891" s="8" t="str">
        <x:v>Atlas finance lease</x:v>
      </x:c>
      <x:c r="D891" s="22" t="n">
        <x:v>3</x:v>
      </x:c>
      <x:c r="E891" s="8" t="n">
        <x:v>0</x:v>
      </x:c>
      <x:c r="F891" s="23" t="n">
        <x:v>0.05</x:v>
      </x:c>
      <x:c r="G891" s="8" t="n">
        <x:v>0</x:v>
      </x:c>
      <x:c r="H891" s="8" t="n">
        <x:v>0</x:v>
      </x:c>
      <x:c r="I891" s="8" t="n">
        <x:v>0</x:v>
      </x:c>
      <x:c r="J891" s="8" t="n">
        <x:v>0</x:v>
      </x:c>
      <x:c r="K891" s="8" t="n">
        <x:v>0</x:v>
      </x:c>
      <x:c r="L891" s="8" t="n">
        <x:v>0</x:v>
      </x:c>
      <x:c r="M891" s="21" t="n">
        <x:f>E891+K891-I891-J891-L891</x:f>
        <x:v>0</x:v>
      </x:c>
    </x:row>
    <x:row r="892" ht="36" customHeight="1">
      <x:c r="A892" s="8" t="str">
        <x:v>Mixed consideration</x:v>
      </x:c>
      <x:c r="B892" s="8" t="str">
        <x:v>Severe benchmark</x:v>
      </x:c>
      <x:c r="C892" s="8" t="str">
        <x:v>Beacon notes</x:v>
      </x:c>
      <x:c r="D892" s="22" t="n">
        <x:v>3</x:v>
      </x:c>
      <x:c r="E892" s="8" t="n">
        <x:v>0</x:v>
      </x:c>
      <x:c r="F892" s="23" t="n">
        <x:v>0.0475</x:v>
      </x:c>
      <x:c r="G892" s="8" t="n">
        <x:v>0</x:v>
      </x:c>
      <x:c r="H892" s="8" t="n">
        <x:v>0</x:v>
      </x:c>
      <x:c r="I892" s="8" t="n">
        <x:v>0</x:v>
      </x:c>
      <x:c r="J892" s="8" t="n">
        <x:v>0</x:v>
      </x:c>
      <x:c r="K892" s="8" t="n">
        <x:v>0</x:v>
      </x:c>
      <x:c r="L892" s="8" t="n">
        <x:v>0</x:v>
      </x:c>
      <x:c r="M892" s="21" t="n">
        <x:f>E892+K892-I892-J892-L892</x:f>
        <x:v>0</x:v>
      </x:c>
    </x:row>
    <x:row r="893" ht="36" customHeight="1">
      <x:c r="A893" s="8" t="str">
        <x:v>Mixed consideration</x:v>
      </x:c>
      <x:c r="B893" s="8" t="str">
        <x:v>Severe benchmark</x:v>
      </x:c>
      <x:c r="C893" s="8" t="str">
        <x:v>Acquisition term</x:v>
      </x:c>
      <x:c r="D893" s="22" t="n">
        <x:v>3</x:v>
      </x:c>
      <x:c r="E893" s="8" t="n">
        <x:v>0</x:v>
      </x:c>
      <x:c r="F893" s="23" t="n">
        <x:v>0.08000000000000002</x:v>
      </x:c>
      <x:c r="G893" s="8" t="n">
        <x:v>0</x:v>
      </x:c>
      <x:c r="H893" s="8" t="n">
        <x:v>0</x:v>
      </x:c>
      <x:c r="I893" s="8" t="n">
        <x:v>0</x:v>
      </x:c>
      <x:c r="J893" s="8" t="n">
        <x:v>0</x:v>
      </x:c>
      <x:c r="K893" s="8" t="n">
        <x:v>0</x:v>
      </x:c>
      <x:c r="L893" s="8" t="n">
        <x:v>0</x:v>
      </x:c>
      <x:c r="M893" s="21" t="n">
        <x:f>E893+K893-I893-J893-L893</x:f>
        <x:v>0</x:v>
      </x:c>
    </x:row>
    <x:row r="894" ht="36" customHeight="1">
      <x:c r="A894" s="8" t="str">
        <x:v>Mixed consideration</x:v>
      </x:c>
      <x:c r="B894" s="8" t="str">
        <x:v>Severe benchmark</x:v>
      </x:c>
      <x:c r="C894" s="8" t="str">
        <x:v>Committed revolver</x:v>
      </x:c>
      <x:c r="D894" s="22" t="n">
        <x:v>3</x:v>
      </x:c>
      <x:c r="E894" s="8" t="n">
        <x:v>0</x:v>
      </x:c>
      <x:c r="F894" s="23" t="n">
        <x:v>0.07750000000000001</x:v>
      </x:c>
      <x:c r="G894" s="8" t="n">
        <x:v>0</x:v>
      </x:c>
      <x:c r="H894" s="8" t="n">
        <x:v>0</x:v>
      </x:c>
      <x:c r="I894" s="8" t="n">
        <x:v>0</x:v>
      </x:c>
      <x:c r="J894" s="8" t="n">
        <x:v>0</x:v>
      </x:c>
      <x:c r="K894" s="8" t="n">
        <x:v>0</x:v>
      </x:c>
      <x:c r="L894" s="8" t="n">
        <x:v>0</x:v>
      </x:c>
      <x:c r="M894" s="21" t="n">
        <x:f>E894+K894-I894-J894-L894</x:f>
        <x:v>0</x:v>
      </x:c>
    </x:row>
    <x:row r="895" ht="36" customHeight="1">
      <x:c r="A895" s="8" t="str">
        <x:v>Mixed consideration</x:v>
      </x:c>
      <x:c r="B895" s="8" t="str">
        <x:v>Severe benchmark</x:v>
      </x:c>
      <x:c r="C895" s="8" t="str">
        <x:v>Atlas notes</x:v>
      </x:c>
      <x:c r="D895" s="22" t="n">
        <x:v>4</x:v>
      </x:c>
      <x:c r="E895" s="8" t="n">
        <x:v>288.6772220242035</x:v>
      </x:c>
      <x:c r="F895" s="23" t="n">
        <x:v>0.038</x:v>
      </x:c>
      <x:c r="G895" s="8" t="n">
        <x:v>10.969734436919733</x:v>
      </x:c>
      <x:c r="H895" s="8" t="n">
        <x:v>288.6772220242035</x:v>
      </x:c>
      <x:c r="I895" s="8" t="n">
        <x:v>288.6772220242035</x:v>
      </x:c>
      <x:c r="J895" s="8" t="n">
        <x:v>0</x:v>
      </x:c>
      <x:c r="K895" s="8" t="n">
        <x:v>0</x:v>
      </x:c>
      <x:c r="L895" s="8" t="n">
        <x:v>0</x:v>
      </x:c>
      <x:c r="M895" s="21" t="n">
        <x:f>E895+K895-I895-J895-L895</x:f>
        <x:v>0</x:v>
      </x:c>
    </x:row>
    <x:row r="896" ht="36" customHeight="1">
      <x:c r="A896" s="8" t="str">
        <x:v>Mixed consideration</x:v>
      </x:c>
      <x:c r="B896" s="8" t="str">
        <x:v>Severe benchmark</x:v>
      </x:c>
      <x:c r="C896" s="8" t="str">
        <x:v>Atlas finance lease</x:v>
      </x:c>
      <x:c r="D896" s="22" t="n">
        <x:v>4</x:v>
      </x:c>
      <x:c r="E896" s="8" t="n">
        <x:v>0</x:v>
      </x:c>
      <x:c r="F896" s="23" t="n">
        <x:v>0.05</x:v>
      </x:c>
      <x:c r="G896" s="8" t="n">
        <x:v>0</x:v>
      </x:c>
      <x:c r="H896" s="8" t="n">
        <x:v>0</x:v>
      </x:c>
      <x:c r="I896" s="8" t="n">
        <x:v>0</x:v>
      </x:c>
      <x:c r="J896" s="8" t="n">
        <x:v>0</x:v>
      </x:c>
      <x:c r="K896" s="8" t="n">
        <x:v>0</x:v>
      </x:c>
      <x:c r="L896" s="8" t="n">
        <x:v>0</x:v>
      </x:c>
      <x:c r="M896" s="21" t="n">
        <x:f>E896+K896-I896-J896-L896</x:f>
        <x:v>0</x:v>
      </x:c>
    </x:row>
    <x:row r="897" ht="36" customHeight="1">
      <x:c r="A897" s="8" t="str">
        <x:v>Mixed consideration</x:v>
      </x:c>
      <x:c r="B897" s="8" t="str">
        <x:v>Severe benchmark</x:v>
      </x:c>
      <x:c r="C897" s="8" t="str">
        <x:v>Beacon notes</x:v>
      </x:c>
      <x:c r="D897" s="22" t="n">
        <x:v>4</x:v>
      </x:c>
      <x:c r="E897" s="8" t="n">
        <x:v>0</x:v>
      </x:c>
      <x:c r="F897" s="23" t="n">
        <x:v>0.0475</x:v>
      </x:c>
      <x:c r="G897" s="8" t="n">
        <x:v>0</x:v>
      </x:c>
      <x:c r="H897" s="8" t="n">
        <x:v>0</x:v>
      </x:c>
      <x:c r="I897" s="8" t="n">
        <x:v>0</x:v>
      </x:c>
      <x:c r="J897" s="8" t="n">
        <x:v>0</x:v>
      </x:c>
      <x:c r="K897" s="8" t="n">
        <x:v>0</x:v>
      </x:c>
      <x:c r="L897" s="8" t="n">
        <x:v>0</x:v>
      </x:c>
      <x:c r="M897" s="21" t="n">
        <x:f>E897+K897-I897-J897-L897</x:f>
        <x:v>0</x:v>
      </x:c>
    </x:row>
    <x:row r="898" ht="36" customHeight="1">
      <x:c r="A898" s="8" t="str">
        <x:v>Mixed consideration</x:v>
      </x:c>
      <x:c r="B898" s="8" t="str">
        <x:v>Severe benchmark</x:v>
      </x:c>
      <x:c r="C898" s="8" t="str">
        <x:v>Acquisition term</x:v>
      </x:c>
      <x:c r="D898" s="22" t="n">
        <x:v>4</x:v>
      </x:c>
      <x:c r="E898" s="8" t="n">
        <x:v>0</x:v>
      </x:c>
      <x:c r="F898" s="23" t="n">
        <x:v>0.08000000000000002</x:v>
      </x:c>
      <x:c r="G898" s="8" t="n">
        <x:v>0</x:v>
      </x:c>
      <x:c r="H898" s="8" t="n">
        <x:v>0</x:v>
      </x:c>
      <x:c r="I898" s="8" t="n">
        <x:v>0</x:v>
      </x:c>
      <x:c r="J898" s="8" t="n">
        <x:v>0</x:v>
      </x:c>
      <x:c r="K898" s="8" t="n">
        <x:v>0</x:v>
      </x:c>
      <x:c r="L898" s="8" t="n">
        <x:v>0</x:v>
      </x:c>
      <x:c r="M898" s="21" t="n">
        <x:f>E898+K898-I898-J898-L898</x:f>
        <x:v>0</x:v>
      </x:c>
    </x:row>
    <x:row r="899" ht="36" customHeight="1">
      <x:c r="A899" s="8" t="str">
        <x:v>Mixed consideration</x:v>
      </x:c>
      <x:c r="B899" s="8" t="str">
        <x:v>Severe benchmark</x:v>
      </x:c>
      <x:c r="C899" s="8" t="str">
        <x:v>Committed revolver</x:v>
      </x:c>
      <x:c r="D899" s="22" t="n">
        <x:v>4</x:v>
      </x:c>
      <x:c r="E899" s="8" t="n">
        <x:v>0</x:v>
      </x:c>
      <x:c r="F899" s="23" t="n">
        <x:v>0.07750000000000001</x:v>
      </x:c>
      <x:c r="G899" s="8" t="n">
        <x:v>0</x:v>
      </x:c>
      <x:c r="H899" s="8" t="n">
        <x:v>0</x:v>
      </x:c>
      <x:c r="I899" s="8" t="n">
        <x:v>0</x:v>
      </x:c>
      <x:c r="J899" s="8" t="n">
        <x:v>0</x:v>
      </x:c>
      <x:c r="K899" s="8" t="n">
        <x:v>0</x:v>
      </x:c>
      <x:c r="L899" s="8" t="n">
        <x:v>0</x:v>
      </x:c>
      <x:c r="M899" s="21" t="n">
        <x:f>E899+K899-I899-J899-L899</x:f>
        <x:v>0</x:v>
      </x:c>
    </x:row>
    <x:row r="900" ht="36" customHeight="1">
      <x:c r="A900" s="8" t="str">
        <x:v>Mixed consideration</x:v>
      </x:c>
      <x:c r="B900" s="8" t="str">
        <x:v>Severe benchmark</x:v>
      </x:c>
      <x:c r="C900" s="8" t="str">
        <x:v>Atlas notes</x:v>
      </x:c>
      <x:c r="D900" s="22" t="n">
        <x:v>5</x:v>
      </x:c>
      <x:c r="E900" s="8" t="n">
        <x:v>0</x:v>
      </x:c>
      <x:c r="F900" s="23" t="n">
        <x:v>0.038</x:v>
      </x:c>
      <x:c r="G900" s="8" t="n">
        <x:v>0</x:v>
      </x:c>
      <x:c r="H900" s="8" t="n">
        <x:v>0</x:v>
      </x:c>
      <x:c r="I900" s="8" t="n">
        <x:v>0</x:v>
      </x:c>
      <x:c r="J900" s="8" t="n">
        <x:v>0</x:v>
      </x:c>
      <x:c r="K900" s="8" t="n">
        <x:v>0</x:v>
      </x:c>
      <x:c r="L900" s="8" t="n">
        <x:v>0</x:v>
      </x:c>
      <x:c r="M900" s="21" t="n">
        <x:f>E900+K900-I900-J900-L900</x:f>
        <x:v>0</x:v>
      </x:c>
    </x:row>
    <x:row r="901" ht="36" customHeight="1">
      <x:c r="A901" s="8" t="str">
        <x:v>Mixed consideration</x:v>
      </x:c>
      <x:c r="B901" s="8" t="str">
        <x:v>Severe benchmark</x:v>
      </x:c>
      <x:c r="C901" s="8" t="str">
        <x:v>Atlas finance lease</x:v>
      </x:c>
      <x:c r="D901" s="22" t="n">
        <x:v>5</x:v>
      </x:c>
      <x:c r="E901" s="8" t="n">
        <x:v>0</x:v>
      </x:c>
      <x:c r="F901" s="23" t="n">
        <x:v>0.05</x:v>
      </x:c>
      <x:c r="G901" s="8" t="n">
        <x:v>0</x:v>
      </x:c>
      <x:c r="H901" s="8" t="n">
        <x:v>0</x:v>
      </x:c>
      <x:c r="I901" s="8" t="n">
        <x:v>0</x:v>
      </x:c>
      <x:c r="J901" s="8" t="n">
        <x:v>0</x:v>
      </x:c>
      <x:c r="K901" s="8" t="n">
        <x:v>0</x:v>
      </x:c>
      <x:c r="L901" s="8" t="n">
        <x:v>0</x:v>
      </x:c>
      <x:c r="M901" s="21" t="n">
        <x:f>E901+K901-I901-J901-L901</x:f>
        <x:v>0</x:v>
      </x:c>
    </x:row>
    <x:row r="902" ht="36" customHeight="1">
      <x:c r="A902" s="8" t="str">
        <x:v>Mixed consideration</x:v>
      </x:c>
      <x:c r="B902" s="8" t="str">
        <x:v>Severe benchmark</x:v>
      </x:c>
      <x:c r="C902" s="8" t="str">
        <x:v>Beacon notes</x:v>
      </x:c>
      <x:c r="D902" s="22" t="n">
        <x:v>5</x:v>
      </x:c>
      <x:c r="E902" s="8" t="n">
        <x:v>0</x:v>
      </x:c>
      <x:c r="F902" s="23" t="n">
        <x:v>0.0475</x:v>
      </x:c>
      <x:c r="G902" s="8" t="n">
        <x:v>0</x:v>
      </x:c>
      <x:c r="H902" s="8" t="n">
        <x:v>0</x:v>
      </x:c>
      <x:c r="I902" s="8" t="n">
        <x:v>0</x:v>
      </x:c>
      <x:c r="J902" s="8" t="n">
        <x:v>0</x:v>
      </x:c>
      <x:c r="K902" s="8" t="n">
        <x:v>0</x:v>
      </x:c>
      <x:c r="L902" s="8" t="n">
        <x:v>0</x:v>
      </x:c>
      <x:c r="M902" s="21" t="n">
        <x:f>E902+K902-I902-J902-L902</x:f>
        <x:v>0</x:v>
      </x:c>
    </x:row>
    <x:row r="903" ht="36" customHeight="1">
      <x:c r="A903" s="8" t="str">
        <x:v>Mixed consideration</x:v>
      </x:c>
      <x:c r="B903" s="8" t="str">
        <x:v>Severe benchmark</x:v>
      </x:c>
      <x:c r="C903" s="8" t="str">
        <x:v>Acquisition term</x:v>
      </x:c>
      <x:c r="D903" s="22" t="n">
        <x:v>5</x:v>
      </x:c>
      <x:c r="E903" s="8" t="n">
        <x:v>0</x:v>
      </x:c>
      <x:c r="F903" s="23" t="n">
        <x:v>0.08000000000000002</x:v>
      </x:c>
      <x:c r="G903" s="8" t="n">
        <x:v>0</x:v>
      </x:c>
      <x:c r="H903" s="8" t="n">
        <x:v>0</x:v>
      </x:c>
      <x:c r="I903" s="8" t="n">
        <x:v>0</x:v>
      </x:c>
      <x:c r="J903" s="8" t="n">
        <x:v>0</x:v>
      </x:c>
      <x:c r="K903" s="8" t="n">
        <x:v>0</x:v>
      </x:c>
      <x:c r="L903" s="8" t="n">
        <x:v>0</x:v>
      </x:c>
      <x:c r="M903" s="21" t="n">
        <x:f>E903+K903-I903-J903-L903</x:f>
        <x:v>0</x:v>
      </x:c>
    </x:row>
    <x:row r="904" ht="36" customHeight="1">
      <x:c r="A904" s="8" t="str">
        <x:v>Mixed consideration</x:v>
      </x:c>
      <x:c r="B904" s="8" t="str">
        <x:v>Severe benchmark</x:v>
      </x:c>
      <x:c r="C904" s="8" t="str">
        <x:v>Committed revolver</x:v>
      </x:c>
      <x:c r="D904" s="22" t="n">
        <x:v>5</x:v>
      </x:c>
      <x:c r="E904" s="8" t="n">
        <x:v>0</x:v>
      </x:c>
      <x:c r="F904" s="23" t="n">
        <x:v>0.07750000000000001</x:v>
      </x:c>
      <x:c r="G904" s="8" t="n">
        <x:v>0</x:v>
      </x:c>
      <x:c r="H904" s="8" t="n">
        <x:v>0</x:v>
      </x:c>
      <x:c r="I904" s="8" t="n">
        <x:v>0</x:v>
      </x:c>
      <x:c r="J904" s="8" t="n">
        <x:v>0</x:v>
      </x:c>
      <x:c r="K904" s="8" t="n">
        <x:v>0</x:v>
      </x:c>
      <x:c r="L904" s="8" t="n">
        <x:v>0</x:v>
      </x:c>
      <x:c r="M904" s="21" t="n">
        <x:f>E904+K904-I904-J904-L904</x:f>
        <x:v>0</x:v>
      </x:c>
    </x:row>
    <x:row r="905" ht="36" customHeight="1">
      <x:c r="A905" s="8" t="str">
        <x:v>Cash-first</x:v>
      </x:c>
      <x:c r="B905" s="8" t="str">
        <x:v>Severe spread</x:v>
      </x:c>
      <x:c r="C905" s="8" t="str">
        <x:v>Atlas notes</x:v>
      </x:c>
      <x:c r="D905" s="22" t="n">
        <x:v>1</x:v>
      </x:c>
      <x:c r="E905" s="8" t="n">
        <x:v>900</x:v>
      </x:c>
      <x:c r="F905" s="23" t="n">
        <x:v>0.038</x:v>
      </x:c>
      <x:c r="G905" s="8" t="n">
        <x:v>34.199999999999996</x:v>
      </x:c>
      <x:c r="H905" s="8" t="n">
        <x:v>0</x:v>
      </x:c>
      <x:c r="I905" s="8" t="n">
        <x:v>0</x:v>
      </x:c>
      <x:c r="J905" s="8" t="n">
        <x:v>0</x:v>
      </x:c>
      <x:c r="K905" s="8" t="n">
        <x:v>0</x:v>
      </x:c>
      <x:c r="L905" s="8" t="n">
        <x:v>0</x:v>
      </x:c>
      <x:c r="M905" s="21" t="n">
        <x:f>E905+K905-I905-J905-L905</x:f>
        <x:v>900</x:v>
      </x:c>
    </x:row>
    <x:row r="906" ht="36" customHeight="1">
      <x:c r="A906" s="8" t="str">
        <x:v>Cash-first</x:v>
      </x:c>
      <x:c r="B906" s="8" t="str">
        <x:v>Severe spread</x:v>
      </x:c>
      <x:c r="C906" s="8" t="str">
        <x:v>Atlas finance lease</x:v>
      </x:c>
      <x:c r="D906" s="22" t="n">
        <x:v>1</x:v>
      </x:c>
      <x:c r="E906" s="8" t="n">
        <x:v>80</x:v>
      </x:c>
      <x:c r="F906" s="23" t="n">
        <x:v>0.05</x:v>
      </x:c>
      <x:c r="G906" s="8" t="n">
        <x:v>4</x:v>
      </x:c>
      <x:c r="H906" s="8" t="n">
        <x:v>16</x:v>
      </x:c>
      <x:c r="I906" s="8" t="n">
        <x:v>16</x:v>
      </x:c>
      <x:c r="J906" s="8" t="n">
        <x:v>0</x:v>
      </x:c>
      <x:c r="K906" s="8" t="n">
        <x:v>0</x:v>
      </x:c>
      <x:c r="L906" s="8" t="n">
        <x:v>0</x:v>
      </x:c>
      <x:c r="M906" s="21" t="n">
        <x:f>E906+K906-I906-J906-L906</x:f>
        <x:v>64</x:v>
      </x:c>
    </x:row>
    <x:row r="907" ht="36" customHeight="1">
      <x:c r="A907" s="8" t="str">
        <x:v>Cash-first</x:v>
      </x:c>
      <x:c r="B907" s="8" t="str">
        <x:v>Severe spread</x:v>
      </x:c>
      <x:c r="C907" s="8" t="str">
        <x:v>Beacon notes</x:v>
      </x:c>
      <x:c r="D907" s="22" t="n">
        <x:v>1</x:v>
      </x:c>
      <x:c r="E907" s="8" t="n">
        <x:v>350</x:v>
      </x:c>
      <x:c r="F907" s="23" t="n">
        <x:v>0.0475</x:v>
      </x:c>
      <x:c r="G907" s="8" t="n">
        <x:v>16.625</x:v>
      </x:c>
      <x:c r="H907" s="8" t="n">
        <x:v>0</x:v>
      </x:c>
      <x:c r="I907" s="8" t="n">
        <x:v>0</x:v>
      </x:c>
      <x:c r="J907" s="8" t="n">
        <x:v>0</x:v>
      </x:c>
      <x:c r="K907" s="8" t="n">
        <x:v>0</x:v>
      </x:c>
      <x:c r="L907" s="8" t="n">
        <x:v>0</x:v>
      </x:c>
      <x:c r="M907" s="21" t="n">
        <x:f>E907+K907-I907-J907-L907</x:f>
        <x:v>350</x:v>
      </x:c>
    </x:row>
    <x:row r="908" ht="36" customHeight="1">
      <x:c r="A908" s="8" t="str">
        <x:v>Cash-first</x:v>
      </x:c>
      <x:c r="B908" s="8" t="str">
        <x:v>Severe spread</x:v>
      </x:c>
      <x:c r="C908" s="8" t="str">
        <x:v>Acquisition term</x:v>
      </x:c>
      <x:c r="D908" s="22" t="n">
        <x:v>1</x:v>
      </x:c>
      <x:c r="E908" s="8" t="n">
        <x:v>1340.1015228426397</x:v>
      </x:c>
      <x:c r="F908" s="23" t="n">
        <x:v>0.085</x:v>
      </x:c>
      <x:c r="G908" s="8" t="n">
        <x:v>113.90862944162438</x:v>
      </x:c>
      <x:c r="H908" s="8" t="n">
        <x:v>26.802030456852794</x:v>
      </x:c>
      <x:c r="I908" s="8" t="n">
        <x:v>26.802030456852794</x:v>
      </x:c>
      <x:c r="J908" s="8" t="n">
        <x:v>238.51195979069564</x:v>
      </x:c>
      <x:c r="K908" s="8" t="n">
        <x:v>0</x:v>
      </x:c>
      <x:c r="L908" s="8" t="n">
        <x:v>0</x:v>
      </x:c>
      <x:c r="M908" s="21" t="n">
        <x:f>E908+K908-I908-J908-L908</x:f>
        <x:v>1074.7875325950913</x:v>
      </x:c>
    </x:row>
    <x:row r="909" ht="36" customHeight="1">
      <x:c r="A909" s="8" t="str">
        <x:v>Cash-first</x:v>
      </x:c>
      <x:c r="B909" s="8" t="str">
        <x:v>Severe spread</x:v>
      </x:c>
      <x:c r="C909" s="8" t="str">
        <x:v>Committed revolver</x:v>
      </x:c>
      <x:c r="D909" s="22" t="n">
        <x:v>1</x:v>
      </x:c>
      <x:c r="E909" s="8" t="n">
        <x:v>0</x:v>
      </x:c>
      <x:c r="F909" s="23" t="n">
        <x:v>0.0625</x:v>
      </x:c>
      <x:c r="G909" s="8" t="n">
        <x:v>0</x:v>
      </x:c>
      <x:c r="H909" s="8" t="n">
        <x:v>0</x:v>
      </x:c>
      <x:c r="I909" s="8" t="n">
        <x:v>0</x:v>
      </x:c>
      <x:c r="J909" s="8" t="n">
        <x:v>0</x:v>
      </x:c>
      <x:c r="K909" s="8" t="n">
        <x:v>0</x:v>
      </x:c>
      <x:c r="L909" s="8" t="n">
        <x:v>0</x:v>
      </x:c>
      <x:c r="M909" s="21" t="n">
        <x:f>E909+K909-I909-J909-L909</x:f>
        <x:v>0</x:v>
      </x:c>
    </x:row>
    <x:row r="910" ht="36" customHeight="1">
      <x:c r="A910" s="8" t="str">
        <x:v>Cash-first</x:v>
      </x:c>
      <x:c r="B910" s="8" t="str">
        <x:v>Severe spread</x:v>
      </x:c>
      <x:c r="C910" s="8" t="str">
        <x:v>Atlas notes</x:v>
      </x:c>
      <x:c r="D910" s="22" t="n">
        <x:v>2</x:v>
      </x:c>
      <x:c r="E910" s="8" t="n">
        <x:v>900</x:v>
      </x:c>
      <x:c r="F910" s="23" t="n">
        <x:v>0.038</x:v>
      </x:c>
      <x:c r="G910" s="8" t="n">
        <x:v>34.199999999999996</x:v>
      </x:c>
      <x:c r="H910" s="8" t="n">
        <x:v>0</x:v>
      </x:c>
      <x:c r="I910" s="8" t="n">
        <x:v>0</x:v>
      </x:c>
      <x:c r="J910" s="8" t="n">
        <x:v>0</x:v>
      </x:c>
      <x:c r="K910" s="8" t="n">
        <x:v>0</x:v>
      </x:c>
      <x:c r="L910" s="8" t="n">
        <x:v>0</x:v>
      </x:c>
      <x:c r="M910" s="21" t="n">
        <x:f>E910+K910-I910-J910-L910</x:f>
        <x:v>900</x:v>
      </x:c>
    </x:row>
    <x:row r="911" ht="36" customHeight="1">
      <x:c r="A911" s="8" t="str">
        <x:v>Cash-first</x:v>
      </x:c>
      <x:c r="B911" s="8" t="str">
        <x:v>Severe spread</x:v>
      </x:c>
      <x:c r="C911" s="8" t="str">
        <x:v>Atlas finance lease</x:v>
      </x:c>
      <x:c r="D911" s="22" t="n">
        <x:v>2</x:v>
      </x:c>
      <x:c r="E911" s="8" t="n">
        <x:v>64</x:v>
      </x:c>
      <x:c r="F911" s="23" t="n">
        <x:v>0.05</x:v>
      </x:c>
      <x:c r="G911" s="8" t="n">
        <x:v>3.2</x:v>
      </x:c>
      <x:c r="H911" s="8" t="n">
        <x:v>16</x:v>
      </x:c>
      <x:c r="I911" s="8" t="n">
        <x:v>16</x:v>
      </x:c>
      <x:c r="J911" s="8" t="n">
        <x:v>0</x:v>
      </x:c>
      <x:c r="K911" s="8" t="n">
        <x:v>0</x:v>
      </x:c>
      <x:c r="L911" s="8" t="n">
        <x:v>0</x:v>
      </x:c>
      <x:c r="M911" s="21" t="n">
        <x:f>E911+K911-I911-J911-L911</x:f>
        <x:v>48</x:v>
      </x:c>
    </x:row>
    <x:row r="912" ht="36" customHeight="1">
      <x:c r="A912" s="8" t="str">
        <x:v>Cash-first</x:v>
      </x:c>
      <x:c r="B912" s="8" t="str">
        <x:v>Severe spread</x:v>
      </x:c>
      <x:c r="C912" s="8" t="str">
        <x:v>Beacon notes</x:v>
      </x:c>
      <x:c r="D912" s="22" t="n">
        <x:v>2</x:v>
      </x:c>
      <x:c r="E912" s="8" t="n">
        <x:v>350</x:v>
      </x:c>
      <x:c r="F912" s="23" t="n">
        <x:v>0.0475</x:v>
      </x:c>
      <x:c r="G912" s="8" t="n">
        <x:v>16.625</x:v>
      </x:c>
      <x:c r="H912" s="8" t="n">
        <x:v>0</x:v>
      </x:c>
      <x:c r="I912" s="8" t="n">
        <x:v>0</x:v>
      </x:c>
      <x:c r="J912" s="8" t="n">
        <x:v>0</x:v>
      </x:c>
      <x:c r="K912" s="8" t="n">
        <x:v>0</x:v>
      </x:c>
      <x:c r="L912" s="8" t="n">
        <x:v>0</x:v>
      </x:c>
      <x:c r="M912" s="21" t="n">
        <x:f>E912+K912-I912-J912-L912</x:f>
        <x:v>350</x:v>
      </x:c>
    </x:row>
    <x:row r="913" ht="36" customHeight="1">
      <x:c r="A913" s="8" t="str">
        <x:v>Cash-first</x:v>
      </x:c>
      <x:c r="B913" s="8" t="str">
        <x:v>Severe spread</x:v>
      </x:c>
      <x:c r="C913" s="8" t="str">
        <x:v>Acquisition term</x:v>
      </x:c>
      <x:c r="D913" s="22" t="n">
        <x:v>2</x:v>
      </x:c>
      <x:c r="E913" s="8" t="n">
        <x:v>1074.7875325950913</x:v>
      </x:c>
      <x:c r="F913" s="23" t="n">
        <x:v>0.0825</x:v>
      </x:c>
      <x:c r="G913" s="8" t="n">
        <x:v>88.66997143909504</x:v>
      </x:c>
      <x:c r="H913" s="8" t="n">
        <x:v>26.802030456852794</x:v>
      </x:c>
      <x:c r="I913" s="8" t="n">
        <x:v>26.802030456852794</x:v>
      </x:c>
      <x:c r="J913" s="8" t="n">
        <x:v>333.2365586008102</x:v>
      </x:c>
      <x:c r="K913" s="8" t="n">
        <x:v>0</x:v>
      </x:c>
      <x:c r="L913" s="8" t="n">
        <x:v>0</x:v>
      </x:c>
      <x:c r="M913" s="21" t="n">
        <x:f>E913+K913-I913-J913-L913</x:f>
        <x:v>714.7489435374282</x:v>
      </x:c>
    </x:row>
    <x:row r="914" ht="36" customHeight="1">
      <x:c r="A914" s="8" t="str">
        <x:v>Cash-first</x:v>
      </x:c>
      <x:c r="B914" s="8" t="str">
        <x:v>Severe spread</x:v>
      </x:c>
      <x:c r="C914" s="8" t="str">
        <x:v>Committed revolver</x:v>
      </x:c>
      <x:c r="D914" s="22" t="n">
        <x:v>2</x:v>
      </x:c>
      <x:c r="E914" s="8" t="n">
        <x:v>0</x:v>
      </x:c>
      <x:c r="F914" s="23" t="n">
        <x:v>0.06</x:v>
      </x:c>
      <x:c r="G914" s="8" t="n">
        <x:v>0</x:v>
      </x:c>
      <x:c r="H914" s="8" t="n">
        <x:v>0</x:v>
      </x:c>
      <x:c r="I914" s="8" t="n">
        <x:v>0</x:v>
      </x:c>
      <x:c r="J914" s="8" t="n">
        <x:v>0</x:v>
      </x:c>
      <x:c r="K914" s="8" t="n">
        <x:v>0</x:v>
      </x:c>
      <x:c r="L914" s="8" t="n">
        <x:v>0</x:v>
      </x:c>
      <x:c r="M914" s="21" t="n">
        <x:f>E914+K914-I914-J914-L914</x:f>
        <x:v>0</x:v>
      </x:c>
    </x:row>
    <x:row r="915" ht="36" customHeight="1">
      <x:c r="A915" s="8" t="str">
        <x:v>Cash-first</x:v>
      </x:c>
      <x:c r="B915" s="8" t="str">
        <x:v>Severe spread</x:v>
      </x:c>
      <x:c r="C915" s="8" t="str">
        <x:v>Atlas notes</x:v>
      </x:c>
      <x:c r="D915" s="22" t="n">
        <x:v>3</x:v>
      </x:c>
      <x:c r="E915" s="8" t="n">
        <x:v>900</x:v>
      </x:c>
      <x:c r="F915" s="23" t="n">
        <x:v>0.038</x:v>
      </x:c>
      <x:c r="G915" s="8" t="n">
        <x:v>34.199999999999996</x:v>
      </x:c>
      <x:c r="H915" s="8" t="n">
        <x:v>0</x:v>
      </x:c>
      <x:c r="I915" s="8" t="n">
        <x:v>0</x:v>
      </x:c>
      <x:c r="J915" s="8" t="n">
        <x:v>0</x:v>
      </x:c>
      <x:c r="K915" s="8" t="n">
        <x:v>0</x:v>
      </x:c>
      <x:c r="L915" s="8" t="n">
        <x:v>0</x:v>
      </x:c>
      <x:c r="M915" s="21" t="n">
        <x:f>E915+K915-I915-J915-L915</x:f>
        <x:v>900</x:v>
      </x:c>
    </x:row>
    <x:row r="916" ht="36" customHeight="1">
      <x:c r="A916" s="8" t="str">
        <x:v>Cash-first</x:v>
      </x:c>
      <x:c r="B916" s="8" t="str">
        <x:v>Severe spread</x:v>
      </x:c>
      <x:c r="C916" s="8" t="str">
        <x:v>Atlas finance lease</x:v>
      </x:c>
      <x:c r="D916" s="22" t="n">
        <x:v>3</x:v>
      </x:c>
      <x:c r="E916" s="8" t="n">
        <x:v>48</x:v>
      </x:c>
      <x:c r="F916" s="23" t="n">
        <x:v>0.05</x:v>
      </x:c>
      <x:c r="G916" s="8" t="n">
        <x:v>2.4000000000000004</x:v>
      </x:c>
      <x:c r="H916" s="8" t="n">
        <x:v>16</x:v>
      </x:c>
      <x:c r="I916" s="8" t="n">
        <x:v>16</x:v>
      </x:c>
      <x:c r="J916" s="8" t="n">
        <x:v>0</x:v>
      </x:c>
      <x:c r="K916" s="8" t="n">
        <x:v>0</x:v>
      </x:c>
      <x:c r="L916" s="8" t="n">
        <x:v>0</x:v>
      </x:c>
      <x:c r="M916" s="21" t="n">
        <x:f>E916+K916-I916-J916-L916</x:f>
        <x:v>32</x:v>
      </x:c>
    </x:row>
    <x:row r="917" ht="36" customHeight="1">
      <x:c r="A917" s="8" t="str">
        <x:v>Cash-first</x:v>
      </x:c>
      <x:c r="B917" s="8" t="str">
        <x:v>Severe spread</x:v>
      </x:c>
      <x:c r="C917" s="8" t="str">
        <x:v>Beacon notes</x:v>
      </x:c>
      <x:c r="D917" s="22" t="n">
        <x:v>3</x:v>
      </x:c>
      <x:c r="E917" s="8" t="n">
        <x:v>350</x:v>
      </x:c>
      <x:c r="F917" s="23" t="n">
        <x:v>0.0475</x:v>
      </x:c>
      <x:c r="G917" s="8" t="n">
        <x:v>16.625</x:v>
      </x:c>
      <x:c r="H917" s="8" t="n">
        <x:v>350</x:v>
      </x:c>
      <x:c r="I917" s="8" t="n">
        <x:v>350</x:v>
      </x:c>
      <x:c r="J917" s="8" t="n">
        <x:v>0</x:v>
      </x:c>
      <x:c r="K917" s="8" t="n">
        <x:v>0</x:v>
      </x:c>
      <x:c r="L917" s="8" t="n">
        <x:v>0</x:v>
      </x:c>
      <x:c r="M917" s="21" t="n">
        <x:f>E917+K917-I917-J917-L917</x:f>
        <x:v>0</x:v>
      </x:c>
    </x:row>
    <x:row r="918" ht="36" customHeight="1">
      <x:c r="A918" s="8" t="str">
        <x:v>Cash-first</x:v>
      </x:c>
      <x:c r="B918" s="8" t="str">
        <x:v>Severe spread</x:v>
      </x:c>
      <x:c r="C918" s="8" t="str">
        <x:v>Acquisition term</x:v>
      </x:c>
      <x:c r="D918" s="22" t="n">
        <x:v>3</x:v>
      </x:c>
      <x:c r="E918" s="8" t="n">
        <x:v>714.7489435374282</x:v>
      </x:c>
      <x:c r="F918" s="23" t="n">
        <x:v>0.08</x:v>
      </x:c>
      <x:c r="G918" s="8" t="n">
        <x:v>57.17991548299426</x:v>
      </x:c>
      <x:c r="H918" s="8" t="n">
        <x:v>26.802030456852794</x:v>
      </x:c>
      <x:c r="I918" s="8" t="n">
        <x:v>26.802030456852794</x:v>
      </x:c>
      <x:c r="J918" s="8" t="n">
        <x:v>103.45707600881167</x:v>
      </x:c>
      <x:c r="K918" s="8" t="n">
        <x:v>0</x:v>
      </x:c>
      <x:c r="L918" s="8" t="n">
        <x:v>0</x:v>
      </x:c>
      <x:c r="M918" s="21" t="n">
        <x:f>E918+K918-I918-J918-L918</x:f>
        <x:v>584.4898370717638</x:v>
      </x:c>
    </x:row>
    <x:row r="919" ht="36" customHeight="1">
      <x:c r="A919" s="8" t="str">
        <x:v>Cash-first</x:v>
      </x:c>
      <x:c r="B919" s="8" t="str">
        <x:v>Severe spread</x:v>
      </x:c>
      <x:c r="C919" s="8" t="str">
        <x:v>Committed revolver</x:v>
      </x:c>
      <x:c r="D919" s="22" t="n">
        <x:v>3</x:v>
      </x:c>
      <x:c r="E919" s="8" t="n">
        <x:v>0</x:v>
      </x:c>
      <x:c r="F919" s="23" t="n">
        <x:v>0.0575</x:v>
      </x:c>
      <x:c r="G919" s="8" t="n">
        <x:v>0</x:v>
      </x:c>
      <x:c r="H919" s="8" t="n">
        <x:v>0</x:v>
      </x:c>
      <x:c r="I919" s="8" t="n">
        <x:v>0</x:v>
      </x:c>
      <x:c r="J919" s="8" t="n">
        <x:v>0</x:v>
      </x:c>
      <x:c r="K919" s="8" t="n">
        <x:v>0</x:v>
      </x:c>
      <x:c r="L919" s="8" t="n">
        <x:v>0</x:v>
      </x:c>
      <x:c r="M919" s="21" t="n">
        <x:f>E919+K919-I919-J919-L919</x:f>
        <x:v>0</x:v>
      </x:c>
    </x:row>
    <x:row r="920" ht="36" customHeight="1">
      <x:c r="A920" s="8" t="str">
        <x:v>Cash-first</x:v>
      </x:c>
      <x:c r="B920" s="8" t="str">
        <x:v>Severe spread</x:v>
      </x:c>
      <x:c r="C920" s="8" t="str">
        <x:v>Atlas notes</x:v>
      </x:c>
      <x:c r="D920" s="22" t="n">
        <x:v>4</x:v>
      </x:c>
      <x:c r="E920" s="8" t="n">
        <x:v>900</x:v>
      </x:c>
      <x:c r="F920" s="23" t="n">
        <x:v>0.038</x:v>
      </x:c>
      <x:c r="G920" s="8" t="n">
        <x:v>34.199999999999996</x:v>
      </x:c>
      <x:c r="H920" s="8" t="n">
        <x:v>900</x:v>
      </x:c>
      <x:c r="I920" s="8" t="n">
        <x:v>900</x:v>
      </x:c>
      <x:c r="J920" s="8" t="n">
        <x:v>0</x:v>
      </x:c>
      <x:c r="K920" s="8" t="n">
        <x:v>0</x:v>
      </x:c>
      <x:c r="L920" s="8" t="n">
        <x:v>0</x:v>
      </x:c>
      <x:c r="M920" s="21" t="n">
        <x:f>E920+K920-I920-J920-L920</x:f>
        <x:v>0</x:v>
      </x:c>
    </x:row>
    <x:row r="921" ht="36" customHeight="1">
      <x:c r="A921" s="8" t="str">
        <x:v>Cash-first</x:v>
      </x:c>
      <x:c r="B921" s="8" t="str">
        <x:v>Severe spread</x:v>
      </x:c>
      <x:c r="C921" s="8" t="str">
        <x:v>Atlas finance lease</x:v>
      </x:c>
      <x:c r="D921" s="22" t="n">
        <x:v>4</x:v>
      </x:c>
      <x:c r="E921" s="8" t="n">
        <x:v>32</x:v>
      </x:c>
      <x:c r="F921" s="23" t="n">
        <x:v>0.05</x:v>
      </x:c>
      <x:c r="G921" s="8" t="n">
        <x:v>1.6</x:v>
      </x:c>
      <x:c r="H921" s="8" t="n">
        <x:v>16</x:v>
      </x:c>
      <x:c r="I921" s="8" t="n">
        <x:v>16</x:v>
      </x:c>
      <x:c r="J921" s="8" t="n">
        <x:v>0</x:v>
      </x:c>
      <x:c r="K921" s="8" t="n">
        <x:v>0</x:v>
      </x:c>
      <x:c r="L921" s="8" t="n">
        <x:v>0</x:v>
      </x:c>
      <x:c r="M921" s="21" t="n">
        <x:f>E921+K921-I921-J921-L921</x:f>
        <x:v>16</x:v>
      </x:c>
    </x:row>
    <x:row r="922" ht="36" customHeight="1">
      <x:c r="A922" s="8" t="str">
        <x:v>Cash-first</x:v>
      </x:c>
      <x:c r="B922" s="8" t="str">
        <x:v>Severe spread</x:v>
      </x:c>
      <x:c r="C922" s="8" t="str">
        <x:v>Beacon notes</x:v>
      </x:c>
      <x:c r="D922" s="22" t="n">
        <x:v>4</x:v>
      </x:c>
      <x:c r="E922" s="8" t="n">
        <x:v>0</x:v>
      </x:c>
      <x:c r="F922" s="23" t="n">
        <x:v>0.0475</x:v>
      </x:c>
      <x:c r="G922" s="8" t="n">
        <x:v>0</x:v>
      </x:c>
      <x:c r="H922" s="8" t="n">
        <x:v>0</x:v>
      </x:c>
      <x:c r="I922" s="8" t="n">
        <x:v>0</x:v>
      </x:c>
      <x:c r="J922" s="8" t="n">
        <x:v>0</x:v>
      </x:c>
      <x:c r="K922" s="8" t="n">
        <x:v>0</x:v>
      </x:c>
      <x:c r="L922" s="8" t="n">
        <x:v>0</x:v>
      </x:c>
      <x:c r="M922" s="21" t="n">
        <x:f>E922+K922-I922-J922-L922</x:f>
        <x:v>0</x:v>
      </x:c>
    </x:row>
    <x:row r="923" ht="36" customHeight="1">
      <x:c r="A923" s="8" t="str">
        <x:v>Cash-first</x:v>
      </x:c>
      <x:c r="B923" s="8" t="str">
        <x:v>Severe spread</x:v>
      </x:c>
      <x:c r="C923" s="8" t="str">
        <x:v>Acquisition term</x:v>
      </x:c>
      <x:c r="D923" s="22" t="n">
        <x:v>4</x:v>
      </x:c>
      <x:c r="E923" s="8" t="n">
        <x:v>584.4898370717638</x:v>
      </x:c>
      <x:c r="F923" s="23" t="n">
        <x:v>0.08</x:v>
      </x:c>
      <x:c r="G923" s="8" t="n">
        <x:v>46.7591869657411</x:v>
      </x:c>
      <x:c r="H923" s="8" t="n">
        <x:v>26.802030456852794</x:v>
      </x:c>
      <x:c r="I923" s="8" t="n">
        <x:v>26.802030456852794</x:v>
      </x:c>
      <x:c r="J923" s="8" t="n">
        <x:v>0</x:v>
      </x:c>
      <x:c r="K923" s="8" t="n">
        <x:v>0</x:v>
      </x:c>
      <x:c r="L923" s="8" t="n">
        <x:v>0</x:v>
      </x:c>
      <x:c r="M923" s="21" t="n">
        <x:f>E923+K923-I923-J923-L923</x:f>
        <x:v>557.687806614911</x:v>
      </x:c>
    </x:row>
    <x:row r="924" ht="36" customHeight="1">
      <x:c r="A924" s="8" t="str">
        <x:v>Cash-first</x:v>
      </x:c>
      <x:c r="B924" s="8" t="str">
        <x:v>Severe spread</x:v>
      </x:c>
      <x:c r="C924" s="8" t="str">
        <x:v>Committed revolver</x:v>
      </x:c>
      <x:c r="D924" s="22" t="n">
        <x:v>4</x:v>
      </x:c>
      <x:c r="E924" s="8" t="n">
        <x:v>0</x:v>
      </x:c>
      <x:c r="F924" s="23" t="n">
        <x:v>0.0575</x:v>
      </x:c>
      <x:c r="G924" s="8" t="n">
        <x:v>0</x:v>
      </x:c>
      <x:c r="H924" s="8" t="n">
        <x:v>0</x:v>
      </x:c>
      <x:c r="I924" s="8" t="n">
        <x:v>0</x:v>
      </x:c>
      <x:c r="J924" s="8" t="n">
        <x:v>0</x:v>
      </x:c>
      <x:c r="K924" s="8" t="n">
        <x:v>378.8245481763015</x:v>
      </x:c>
      <x:c r="L924" s="8" t="n">
        <x:v>0</x:v>
      </x:c>
      <x:c r="M924" s="21" t="n">
        <x:f>E924+K924-I924-J924-L924</x:f>
        <x:v>378.8245481763015</x:v>
      </x:c>
    </x:row>
    <x:row r="925" ht="36" customHeight="1">
      <x:c r="A925" s="8" t="str">
        <x:v>Cash-first</x:v>
      </x:c>
      <x:c r="B925" s="8" t="str">
        <x:v>Severe spread</x:v>
      </x:c>
      <x:c r="C925" s="8" t="str">
        <x:v>Atlas notes</x:v>
      </x:c>
      <x:c r="D925" s="22" t="n">
        <x:v>5</x:v>
      </x:c>
      <x:c r="E925" s="8" t="n">
        <x:v>0</x:v>
      </x:c>
      <x:c r="F925" s="23" t="n">
        <x:v>0.038</x:v>
      </x:c>
      <x:c r="G925" s="8" t="n">
        <x:v>0</x:v>
      </x:c>
      <x:c r="H925" s="8" t="n">
        <x:v>0</x:v>
      </x:c>
      <x:c r="I925" s="8" t="n">
        <x:v>0</x:v>
      </x:c>
      <x:c r="J925" s="8" t="n">
        <x:v>0</x:v>
      </x:c>
      <x:c r="K925" s="8" t="n">
        <x:v>0</x:v>
      </x:c>
      <x:c r="L925" s="8" t="n">
        <x:v>0</x:v>
      </x:c>
      <x:c r="M925" s="21" t="n">
        <x:f>E925+K925-I925-J925-L925</x:f>
        <x:v>0</x:v>
      </x:c>
    </x:row>
    <x:row r="926" ht="36" customHeight="1">
      <x:c r="A926" s="8" t="str">
        <x:v>Cash-first</x:v>
      </x:c>
      <x:c r="B926" s="8" t="str">
        <x:v>Severe spread</x:v>
      </x:c>
      <x:c r="C926" s="8" t="str">
        <x:v>Atlas finance lease</x:v>
      </x:c>
      <x:c r="D926" s="22" t="n">
        <x:v>5</x:v>
      </x:c>
      <x:c r="E926" s="8" t="n">
        <x:v>16</x:v>
      </x:c>
      <x:c r="F926" s="23" t="n">
        <x:v>0.05</x:v>
      </x:c>
      <x:c r="G926" s="8" t="n">
        <x:v>0.8</x:v>
      </x:c>
      <x:c r="H926" s="8" t="n">
        <x:v>16</x:v>
      </x:c>
      <x:c r="I926" s="8" t="n">
        <x:v>16</x:v>
      </x:c>
      <x:c r="J926" s="8" t="n">
        <x:v>0</x:v>
      </x:c>
      <x:c r="K926" s="8" t="n">
        <x:v>0</x:v>
      </x:c>
      <x:c r="L926" s="8" t="n">
        <x:v>0</x:v>
      </x:c>
      <x:c r="M926" s="21" t="n">
        <x:f>E926+K926-I926-J926-L926</x:f>
        <x:v>0</x:v>
      </x:c>
    </x:row>
    <x:row r="927" ht="36" customHeight="1">
      <x:c r="A927" s="8" t="str">
        <x:v>Cash-first</x:v>
      </x:c>
      <x:c r="B927" s="8" t="str">
        <x:v>Severe spread</x:v>
      </x:c>
      <x:c r="C927" s="8" t="str">
        <x:v>Beacon notes</x:v>
      </x:c>
      <x:c r="D927" s="22" t="n">
        <x:v>5</x:v>
      </x:c>
      <x:c r="E927" s="8" t="n">
        <x:v>0</x:v>
      </x:c>
      <x:c r="F927" s="23" t="n">
        <x:v>0.0475</x:v>
      </x:c>
      <x:c r="G927" s="8" t="n">
        <x:v>0</x:v>
      </x:c>
      <x:c r="H927" s="8" t="n">
        <x:v>0</x:v>
      </x:c>
      <x:c r="I927" s="8" t="n">
        <x:v>0</x:v>
      </x:c>
      <x:c r="J927" s="8" t="n">
        <x:v>0</x:v>
      </x:c>
      <x:c r="K927" s="8" t="n">
        <x:v>0</x:v>
      </x:c>
      <x:c r="L927" s="8" t="n">
        <x:v>0</x:v>
      </x:c>
      <x:c r="M927" s="21" t="n">
        <x:f>E927+K927-I927-J927-L927</x:f>
        <x:v>0</x:v>
      </x:c>
    </x:row>
    <x:row r="928" ht="36" customHeight="1">
      <x:c r="A928" s="8" t="str">
        <x:v>Cash-first</x:v>
      </x:c>
      <x:c r="B928" s="8" t="str">
        <x:v>Severe spread</x:v>
      </x:c>
      <x:c r="C928" s="8" t="str">
        <x:v>Acquisition term</x:v>
      </x:c>
      <x:c r="D928" s="22" t="n">
        <x:v>5</x:v>
      </x:c>
      <x:c r="E928" s="8" t="n">
        <x:v>557.687806614911</x:v>
      </x:c>
      <x:c r="F928" s="23" t="n">
        <x:v>0.08</x:v>
      </x:c>
      <x:c r="G928" s="8" t="n">
        <x:v>44.61502452919288</x:v>
      </x:c>
      <x:c r="H928" s="8" t="n">
        <x:v>557.687806614911</x:v>
      </x:c>
      <x:c r="I928" s="8" t="n">
        <x:v>557.687806614911</x:v>
      </x:c>
      <x:c r="J928" s="8" t="n">
        <x:v>0</x:v>
      </x:c>
      <x:c r="K928" s="8" t="n">
        <x:v>0</x:v>
      </x:c>
      <x:c r="L928" s="8" t="n">
        <x:v>0</x:v>
      </x:c>
      <x:c r="M928" s="21" t="n">
        <x:f>E928+K928-I928-J928-L928</x:f>
        <x:v>0</x:v>
      </x:c>
    </x:row>
    <x:row r="929" ht="36" customHeight="1">
      <x:c r="A929" s="8" t="str">
        <x:v>Cash-first</x:v>
      </x:c>
      <x:c r="B929" s="8" t="str">
        <x:v>Severe spread</x:v>
      </x:c>
      <x:c r="C929" s="8" t="str">
        <x:v>Committed revolver</x:v>
      </x:c>
      <x:c r="D929" s="22" t="n">
        <x:v>5</x:v>
      </x:c>
      <x:c r="E929" s="8" t="n">
        <x:v>378.8245481763015</x:v>
      </x:c>
      <x:c r="F929" s="23" t="n">
        <x:v>0.0575</x:v>
      </x:c>
      <x:c r="G929" s="8" t="n">
        <x:v>21.782411520137337</x:v>
      </x:c>
      <x:c r="H929" s="8" t="n">
        <x:v>378.8245481763015</x:v>
      </x:c>
      <x:c r="I929" s="8" t="n">
        <x:v>378.8245481763015</x:v>
      </x:c>
      <x:c r="J929" s="8" t="n">
        <x:v>0</x:v>
      </x:c>
      <x:c r="K929" s="8" t="n">
        <x:v>0</x:v>
      </x:c>
      <x:c r="L929" s="8" t="n">
        <x:v>0</x:v>
      </x:c>
      <x:c r="M929" s="21" t="n">
        <x:f>E929+K929-I929-J929-L929</x:f>
        <x:v>0</x:v>
      </x:c>
    </x:row>
    <x:row r="930" ht="36" customHeight="1">
      <x:c r="A930" s="8" t="str">
        <x:v>Liquidity-first</x:v>
      </x:c>
      <x:c r="B930" s="8" t="str">
        <x:v>Severe spread</x:v>
      </x:c>
      <x:c r="C930" s="8" t="str">
        <x:v>Atlas notes</x:v>
      </x:c>
      <x:c r="D930" s="22" t="n">
        <x:v>1</x:v>
      </x:c>
      <x:c r="E930" s="8" t="n">
        <x:v>900</x:v>
      </x:c>
      <x:c r="F930" s="23" t="n">
        <x:v>0.038</x:v>
      </x:c>
      <x:c r="G930" s="8" t="n">
        <x:v>34.199999999999996</x:v>
      </x:c>
      <x:c r="H930" s="8" t="n">
        <x:v>0</x:v>
      </x:c>
      <x:c r="I930" s="8" t="n">
        <x:v>0</x:v>
      </x:c>
      <x:c r="J930" s="8" t="n">
        <x:v>0</x:v>
      </x:c>
      <x:c r="K930" s="8" t="n">
        <x:v>0</x:v>
      </x:c>
      <x:c r="L930" s="8" t="n">
        <x:v>0</x:v>
      </x:c>
      <x:c r="M930" s="21" t="n">
        <x:f>E930+K930-I930-J930-L930</x:f>
        <x:v>900</x:v>
      </x:c>
    </x:row>
    <x:row r="931" ht="36" customHeight="1">
      <x:c r="A931" s="8" t="str">
        <x:v>Liquidity-first</x:v>
      </x:c>
      <x:c r="B931" s="8" t="str">
        <x:v>Severe spread</x:v>
      </x:c>
      <x:c r="C931" s="8" t="str">
        <x:v>Atlas finance lease</x:v>
      </x:c>
      <x:c r="D931" s="22" t="n">
        <x:v>1</x:v>
      </x:c>
      <x:c r="E931" s="8" t="n">
        <x:v>80</x:v>
      </x:c>
      <x:c r="F931" s="23" t="n">
        <x:v>0.05</x:v>
      </x:c>
      <x:c r="G931" s="8" t="n">
        <x:v>4</x:v>
      </x:c>
      <x:c r="H931" s="8" t="n">
        <x:v>16</x:v>
      </x:c>
      <x:c r="I931" s="8" t="n">
        <x:v>16</x:v>
      </x:c>
      <x:c r="J931" s="8" t="n">
        <x:v>0</x:v>
      </x:c>
      <x:c r="K931" s="8" t="n">
        <x:v>0</x:v>
      </x:c>
      <x:c r="L931" s="8" t="n">
        <x:v>0</x:v>
      </x:c>
      <x:c r="M931" s="21" t="n">
        <x:f>E931+K931-I931-J931-L931</x:f>
        <x:v>64</x:v>
      </x:c>
    </x:row>
    <x:row r="932" ht="36" customHeight="1">
      <x:c r="A932" s="8" t="str">
        <x:v>Liquidity-first</x:v>
      </x:c>
      <x:c r="B932" s="8" t="str">
        <x:v>Severe spread</x:v>
      </x:c>
      <x:c r="C932" s="8" t="str">
        <x:v>Beacon notes</x:v>
      </x:c>
      <x:c r="D932" s="22" t="n">
        <x:v>1</x:v>
      </x:c>
      <x:c r="E932" s="8" t="n">
        <x:v>350</x:v>
      </x:c>
      <x:c r="F932" s="23" t="n">
        <x:v>0.0475</x:v>
      </x:c>
      <x:c r="G932" s="8" t="n">
        <x:v>16.625</x:v>
      </x:c>
      <x:c r="H932" s="8" t="n">
        <x:v>0</x:v>
      </x:c>
      <x:c r="I932" s="8" t="n">
        <x:v>0</x:v>
      </x:c>
      <x:c r="J932" s="8" t="n">
        <x:v>0</x:v>
      </x:c>
      <x:c r="K932" s="8" t="n">
        <x:v>0</x:v>
      </x:c>
      <x:c r="L932" s="8" t="n">
        <x:v>0</x:v>
      </x:c>
      <x:c r="M932" s="21" t="n">
        <x:f>E932+K932-I932-J932-L932</x:f>
        <x:v>350</x:v>
      </x:c>
    </x:row>
    <x:row r="933" ht="36" customHeight="1">
      <x:c r="A933" s="8" t="str">
        <x:v>Liquidity-first</x:v>
      </x:c>
      <x:c r="B933" s="8" t="str">
        <x:v>Severe spread</x:v>
      </x:c>
      <x:c r="C933" s="8" t="str">
        <x:v>Acquisition term</x:v>
      </x:c>
      <x:c r="D933" s="22" t="n">
        <x:v>1</x:v>
      </x:c>
      <x:c r="E933" s="8" t="n">
        <x:v>2223.3502538071066</x:v>
      </x:c>
      <x:c r="F933" s="23" t="n">
        <x:v>0.085</x:v>
      </x:c>
      <x:c r="G933" s="8" t="n">
        <x:v>188.98477157360406</x:v>
      </x:c>
      <x:c r="H933" s="8" t="n">
        <x:v>44.46700507614213</x:v>
      </x:c>
      <x:c r="I933" s="8" t="n">
        <x:v>44.46700507614213</x:v>
      </x:c>
      <x:c r="J933" s="8" t="n">
        <x:v>1034.5398785724215</x:v>
      </x:c>
      <x:c r="K933" s="8" t="n">
        <x:v>0</x:v>
      </x:c>
      <x:c r="L933" s="8" t="n">
        <x:v>0</x:v>
      </x:c>
      <x:c r="M933" s="21" t="n">
        <x:f>E933+K933-I933-J933-L933</x:f>
        <x:v>1144.3433701585432</x:v>
      </x:c>
    </x:row>
    <x:row r="934" ht="36" customHeight="1">
      <x:c r="A934" s="8" t="str">
        <x:v>Liquidity-first</x:v>
      </x:c>
      <x:c r="B934" s="8" t="str">
        <x:v>Severe spread</x:v>
      </x:c>
      <x:c r="C934" s="8" t="str">
        <x:v>Committed revolver</x:v>
      </x:c>
      <x:c r="D934" s="22" t="n">
        <x:v>1</x:v>
      </x:c>
      <x:c r="E934" s="8" t="n">
        <x:v>0</x:v>
      </x:c>
      <x:c r="F934" s="23" t="n">
        <x:v>0.0625</x:v>
      </x:c>
      <x:c r="G934" s="8" t="n">
        <x:v>0</x:v>
      </x:c>
      <x:c r="H934" s="8" t="n">
        <x:v>0</x:v>
      </x:c>
      <x:c r="I934" s="8" t="n">
        <x:v>0</x:v>
      </x:c>
      <x:c r="J934" s="8" t="n">
        <x:v>0</x:v>
      </x:c>
      <x:c r="K934" s="8" t="n">
        <x:v>0</x:v>
      </x:c>
      <x:c r="L934" s="8" t="n">
        <x:v>0</x:v>
      </x:c>
      <x:c r="M934" s="21" t="n">
        <x:f>E934+K934-I934-J934-L934</x:f>
        <x:v>0</x:v>
      </x:c>
    </x:row>
    <x:row r="935" ht="36" customHeight="1">
      <x:c r="A935" s="8" t="str">
        <x:v>Liquidity-first</x:v>
      </x:c>
      <x:c r="B935" s="8" t="str">
        <x:v>Severe spread</x:v>
      </x:c>
      <x:c r="C935" s="8" t="str">
        <x:v>Atlas notes</x:v>
      </x:c>
      <x:c r="D935" s="22" t="n">
        <x:v>2</x:v>
      </x:c>
      <x:c r="E935" s="8" t="n">
        <x:v>900</x:v>
      </x:c>
      <x:c r="F935" s="23" t="n">
        <x:v>0.038</x:v>
      </x:c>
      <x:c r="G935" s="8" t="n">
        <x:v>34.199999999999996</x:v>
      </x:c>
      <x:c r="H935" s="8" t="n">
        <x:v>0</x:v>
      </x:c>
      <x:c r="I935" s="8" t="n">
        <x:v>0</x:v>
      </x:c>
      <x:c r="J935" s="8" t="n">
        <x:v>0</x:v>
      </x:c>
      <x:c r="K935" s="8" t="n">
        <x:v>0</x:v>
      </x:c>
      <x:c r="L935" s="8" t="n">
        <x:v>0</x:v>
      </x:c>
      <x:c r="M935" s="21" t="n">
        <x:f>E935+K935-I935-J935-L935</x:f>
        <x:v>900</x:v>
      </x:c>
    </x:row>
    <x:row r="936" ht="36" customHeight="1">
      <x:c r="A936" s="8" t="str">
        <x:v>Liquidity-first</x:v>
      </x:c>
      <x:c r="B936" s="8" t="str">
        <x:v>Severe spread</x:v>
      </x:c>
      <x:c r="C936" s="8" t="str">
        <x:v>Atlas finance lease</x:v>
      </x:c>
      <x:c r="D936" s="22" t="n">
        <x:v>2</x:v>
      </x:c>
      <x:c r="E936" s="8" t="n">
        <x:v>64</x:v>
      </x:c>
      <x:c r="F936" s="23" t="n">
        <x:v>0.05</x:v>
      </x:c>
      <x:c r="G936" s="8" t="n">
        <x:v>3.2</x:v>
      </x:c>
      <x:c r="H936" s="8" t="n">
        <x:v>16</x:v>
      </x:c>
      <x:c r="I936" s="8" t="n">
        <x:v>16</x:v>
      </x:c>
      <x:c r="J936" s="8" t="n">
        <x:v>0</x:v>
      </x:c>
      <x:c r="K936" s="8" t="n">
        <x:v>0</x:v>
      </x:c>
      <x:c r="L936" s="8" t="n">
        <x:v>0</x:v>
      </x:c>
      <x:c r="M936" s="21" t="n">
        <x:f>E936+K936-I936-J936-L936</x:f>
        <x:v>48</x:v>
      </x:c>
    </x:row>
    <x:row r="937" ht="36" customHeight="1">
      <x:c r="A937" s="8" t="str">
        <x:v>Liquidity-first</x:v>
      </x:c>
      <x:c r="B937" s="8" t="str">
        <x:v>Severe spread</x:v>
      </x:c>
      <x:c r="C937" s="8" t="str">
        <x:v>Beacon notes</x:v>
      </x:c>
      <x:c r="D937" s="22" t="n">
        <x:v>2</x:v>
      </x:c>
      <x:c r="E937" s="8" t="n">
        <x:v>350</x:v>
      </x:c>
      <x:c r="F937" s="23" t="n">
        <x:v>0.0475</x:v>
      </x:c>
      <x:c r="G937" s="8" t="n">
        <x:v>16.625</x:v>
      </x:c>
      <x:c r="H937" s="8" t="n">
        <x:v>0</x:v>
      </x:c>
      <x:c r="I937" s="8" t="n">
        <x:v>0</x:v>
      </x:c>
      <x:c r="J937" s="8" t="n">
        <x:v>0</x:v>
      </x:c>
      <x:c r="K937" s="8" t="n">
        <x:v>0</x:v>
      </x:c>
      <x:c r="L937" s="8" t="n">
        <x:v>0</x:v>
      </x:c>
      <x:c r="M937" s="21" t="n">
        <x:f>E937+K937-I937-J937-L937</x:f>
        <x:v>350</x:v>
      </x:c>
    </x:row>
    <x:row r="938" ht="36" customHeight="1">
      <x:c r="A938" s="8" t="str">
        <x:v>Liquidity-first</x:v>
      </x:c>
      <x:c r="B938" s="8" t="str">
        <x:v>Severe spread</x:v>
      </x:c>
      <x:c r="C938" s="8" t="str">
        <x:v>Acquisition term</x:v>
      </x:c>
      <x:c r="D938" s="22" t="n">
        <x:v>2</x:v>
      </x:c>
      <x:c r="E938" s="8" t="n">
        <x:v>1144.3433701585432</x:v>
      </x:c>
      <x:c r="F938" s="23" t="n">
        <x:v>0.0825</x:v>
      </x:c>
      <x:c r="G938" s="8" t="n">
        <x:v>94.40832803807982</x:v>
      </x:c>
      <x:c r="H938" s="8" t="n">
        <x:v>44.46700507614213</x:v>
      </x:c>
      <x:c r="I938" s="8" t="n">
        <x:v>44.46700507614213</x:v>
      </x:c>
      <x:c r="J938" s="8" t="n">
        <x:v>311.2678165322825</x:v>
      </x:c>
      <x:c r="K938" s="8" t="n">
        <x:v>0</x:v>
      </x:c>
      <x:c r="L938" s="8" t="n">
        <x:v>0</x:v>
      </x:c>
      <x:c r="M938" s="21" t="n">
        <x:f>E938+K938-I938-J938-L938</x:f>
        <x:v>788.6085485501185</x:v>
      </x:c>
    </x:row>
    <x:row r="939" ht="36" customHeight="1">
      <x:c r="A939" s="8" t="str">
        <x:v>Liquidity-first</x:v>
      </x:c>
      <x:c r="B939" s="8" t="str">
        <x:v>Severe spread</x:v>
      </x:c>
      <x:c r="C939" s="8" t="str">
        <x:v>Committed revolver</x:v>
      </x:c>
      <x:c r="D939" s="22" t="n">
        <x:v>2</x:v>
      </x:c>
      <x:c r="E939" s="8" t="n">
        <x:v>0</x:v>
      </x:c>
      <x:c r="F939" s="23" t="n">
        <x:v>0.06</x:v>
      </x:c>
      <x:c r="G939" s="8" t="n">
        <x:v>0</x:v>
      </x:c>
      <x:c r="H939" s="8" t="n">
        <x:v>0</x:v>
      </x:c>
      <x:c r="I939" s="8" t="n">
        <x:v>0</x:v>
      </x:c>
      <x:c r="J939" s="8" t="n">
        <x:v>0</x:v>
      </x:c>
      <x:c r="K939" s="8" t="n">
        <x:v>0</x:v>
      </x:c>
      <x:c r="L939" s="8" t="n">
        <x:v>0</x:v>
      </x:c>
      <x:c r="M939" s="21" t="n">
        <x:f>E939+K939-I939-J939-L939</x:f>
        <x:v>0</x:v>
      </x:c>
    </x:row>
    <x:row r="940" ht="36" customHeight="1">
      <x:c r="A940" s="8" t="str">
        <x:v>Liquidity-first</x:v>
      </x:c>
      <x:c r="B940" s="8" t="str">
        <x:v>Severe spread</x:v>
      </x:c>
      <x:c r="C940" s="8" t="str">
        <x:v>Atlas notes</x:v>
      </x:c>
      <x:c r="D940" s="22" t="n">
        <x:v>3</x:v>
      </x:c>
      <x:c r="E940" s="8" t="n">
        <x:v>900</x:v>
      </x:c>
      <x:c r="F940" s="23" t="n">
        <x:v>0.038</x:v>
      </x:c>
      <x:c r="G940" s="8" t="n">
        <x:v>34.199999999999996</x:v>
      </x:c>
      <x:c r="H940" s="8" t="n">
        <x:v>0</x:v>
      </x:c>
      <x:c r="I940" s="8" t="n">
        <x:v>0</x:v>
      </x:c>
      <x:c r="J940" s="8" t="n">
        <x:v>0</x:v>
      </x:c>
      <x:c r="K940" s="8" t="n">
        <x:v>0</x:v>
      </x:c>
      <x:c r="L940" s="8" t="n">
        <x:v>0</x:v>
      </x:c>
      <x:c r="M940" s="21" t="n">
        <x:f>E940+K940-I940-J940-L940</x:f>
        <x:v>900</x:v>
      </x:c>
    </x:row>
    <x:row r="941" ht="36" customHeight="1">
      <x:c r="A941" s="8" t="str">
        <x:v>Liquidity-first</x:v>
      </x:c>
      <x:c r="B941" s="8" t="str">
        <x:v>Severe spread</x:v>
      </x:c>
      <x:c r="C941" s="8" t="str">
        <x:v>Atlas finance lease</x:v>
      </x:c>
      <x:c r="D941" s="22" t="n">
        <x:v>3</x:v>
      </x:c>
      <x:c r="E941" s="8" t="n">
        <x:v>48</x:v>
      </x:c>
      <x:c r="F941" s="23" t="n">
        <x:v>0.05</x:v>
      </x:c>
      <x:c r="G941" s="8" t="n">
        <x:v>2.4000000000000004</x:v>
      </x:c>
      <x:c r="H941" s="8" t="n">
        <x:v>16</x:v>
      </x:c>
      <x:c r="I941" s="8" t="n">
        <x:v>16</x:v>
      </x:c>
      <x:c r="J941" s="8" t="n">
        <x:v>0</x:v>
      </x:c>
      <x:c r="K941" s="8" t="n">
        <x:v>0</x:v>
      </x:c>
      <x:c r="L941" s="8" t="n">
        <x:v>0</x:v>
      </x:c>
      <x:c r="M941" s="21" t="n">
        <x:f>E941+K941-I941-J941-L941</x:f>
        <x:v>32</x:v>
      </x:c>
    </x:row>
    <x:row r="942" ht="36" customHeight="1">
      <x:c r="A942" s="8" t="str">
        <x:v>Liquidity-first</x:v>
      </x:c>
      <x:c r="B942" s="8" t="str">
        <x:v>Severe spread</x:v>
      </x:c>
      <x:c r="C942" s="8" t="str">
        <x:v>Beacon notes</x:v>
      </x:c>
      <x:c r="D942" s="22" t="n">
        <x:v>3</x:v>
      </x:c>
      <x:c r="E942" s="8" t="n">
        <x:v>350</x:v>
      </x:c>
      <x:c r="F942" s="23" t="n">
        <x:v>0.0475</x:v>
      </x:c>
      <x:c r="G942" s="8" t="n">
        <x:v>16.625</x:v>
      </x:c>
      <x:c r="H942" s="8" t="n">
        <x:v>350</x:v>
      </x:c>
      <x:c r="I942" s="8" t="n">
        <x:v>350</x:v>
      </x:c>
      <x:c r="J942" s="8" t="n">
        <x:v>0</x:v>
      </x:c>
      <x:c r="K942" s="8" t="n">
        <x:v>0</x:v>
      </x:c>
      <x:c r="L942" s="8" t="n">
        <x:v>0</x:v>
      </x:c>
      <x:c r="M942" s="21" t="n">
        <x:f>E942+K942-I942-J942-L942</x:f>
        <x:v>0</x:v>
      </x:c>
    </x:row>
    <x:row r="943" ht="36" customHeight="1">
      <x:c r="A943" s="8" t="str">
        <x:v>Liquidity-first</x:v>
      </x:c>
      <x:c r="B943" s="8" t="str">
        <x:v>Severe spread</x:v>
      </x:c>
      <x:c r="C943" s="8" t="str">
        <x:v>Acquisition term</x:v>
      </x:c>
      <x:c r="D943" s="22" t="n">
        <x:v>3</x:v>
      </x:c>
      <x:c r="E943" s="8" t="n">
        <x:v>788.6085485501185</x:v>
      </x:c>
      <x:c r="F943" s="23" t="n">
        <x:v>0.08</x:v>
      </x:c>
      <x:c r="G943" s="8" t="n">
        <x:v>63.08868388400948</x:v>
      </x:c>
      <x:c r="H943" s="8" t="n">
        <x:v>44.46700507614213</x:v>
      </x:c>
      <x:c r="I943" s="8" t="n">
        <x:v>44.46700507614213</x:v>
      </x:c>
      <x:c r="J943" s="8" t="n">
        <x:v>81.36052508876082</x:v>
      </x:c>
      <x:c r="K943" s="8" t="n">
        <x:v>0</x:v>
      </x:c>
      <x:c r="L943" s="8" t="n">
        <x:v>0</x:v>
      </x:c>
      <x:c r="M943" s="21" t="n">
        <x:f>E943+K943-I943-J943-L943</x:f>
        <x:v>662.7810183852155</x:v>
      </x:c>
    </x:row>
    <x:row r="944" ht="36" customHeight="1">
      <x:c r="A944" s="8" t="str">
        <x:v>Liquidity-first</x:v>
      </x:c>
      <x:c r="B944" s="8" t="str">
        <x:v>Severe spread</x:v>
      </x:c>
      <x:c r="C944" s="8" t="str">
        <x:v>Committed revolver</x:v>
      </x:c>
      <x:c r="D944" s="22" t="n">
        <x:v>3</x:v>
      </x:c>
      <x:c r="E944" s="8" t="n">
        <x:v>0</x:v>
      </x:c>
      <x:c r="F944" s="23" t="n">
        <x:v>0.0575</x:v>
      </x:c>
      <x:c r="G944" s="8" t="n">
        <x:v>0</x:v>
      </x:c>
      <x:c r="H944" s="8" t="n">
        <x:v>0</x:v>
      </x:c>
      <x:c r="I944" s="8" t="n">
        <x:v>0</x:v>
      </x:c>
      <x:c r="J944" s="8" t="n">
        <x:v>0</x:v>
      </x:c>
      <x:c r="K944" s="8" t="n">
        <x:v>0</x:v>
      </x:c>
      <x:c r="L944" s="8" t="n">
        <x:v>0</x:v>
      </x:c>
      <x:c r="M944" s="21" t="n">
        <x:f>E944+K944-I944-J944-L944</x:f>
        <x:v>0</x:v>
      </x:c>
    </x:row>
    <x:row r="945" ht="36" customHeight="1">
      <x:c r="A945" s="8" t="str">
        <x:v>Liquidity-first</x:v>
      </x:c>
      <x:c r="B945" s="8" t="str">
        <x:v>Severe spread</x:v>
      </x:c>
      <x:c r="C945" s="8" t="str">
        <x:v>Atlas notes</x:v>
      </x:c>
      <x:c r="D945" s="22" t="n">
        <x:v>4</x:v>
      </x:c>
      <x:c r="E945" s="8" t="n">
        <x:v>900</x:v>
      </x:c>
      <x:c r="F945" s="23" t="n">
        <x:v>0.038</x:v>
      </x:c>
      <x:c r="G945" s="8" t="n">
        <x:v>34.199999999999996</x:v>
      </x:c>
      <x:c r="H945" s="8" t="n">
        <x:v>900</x:v>
      </x:c>
      <x:c r="I945" s="8" t="n">
        <x:v>900</x:v>
      </x:c>
      <x:c r="J945" s="8" t="n">
        <x:v>0</x:v>
      </x:c>
      <x:c r="K945" s="8" t="n">
        <x:v>0</x:v>
      </x:c>
      <x:c r="L945" s="8" t="n">
        <x:v>0</x:v>
      </x:c>
      <x:c r="M945" s="21" t="n">
        <x:f>E945+K945-I945-J945-L945</x:f>
        <x:v>0</x:v>
      </x:c>
    </x:row>
    <x:row r="946" ht="36" customHeight="1">
      <x:c r="A946" s="8" t="str">
        <x:v>Liquidity-first</x:v>
      </x:c>
      <x:c r="B946" s="8" t="str">
        <x:v>Severe spread</x:v>
      </x:c>
      <x:c r="C946" s="8" t="str">
        <x:v>Atlas finance lease</x:v>
      </x:c>
      <x:c r="D946" s="22" t="n">
        <x:v>4</x:v>
      </x:c>
      <x:c r="E946" s="8" t="n">
        <x:v>32</x:v>
      </x:c>
      <x:c r="F946" s="23" t="n">
        <x:v>0.05</x:v>
      </x:c>
      <x:c r="G946" s="8" t="n">
        <x:v>1.6</x:v>
      </x:c>
      <x:c r="H946" s="8" t="n">
        <x:v>16</x:v>
      </x:c>
      <x:c r="I946" s="8" t="n">
        <x:v>16</x:v>
      </x:c>
      <x:c r="J946" s="8" t="n">
        <x:v>0</x:v>
      </x:c>
      <x:c r="K946" s="8" t="n">
        <x:v>0</x:v>
      </x:c>
      <x:c r="L946" s="8" t="n">
        <x:v>0</x:v>
      </x:c>
      <x:c r="M946" s="21" t="n">
        <x:f>E946+K946-I946-J946-L946</x:f>
        <x:v>16</x:v>
      </x:c>
    </x:row>
    <x:row r="947" ht="36" customHeight="1">
      <x:c r="A947" s="8" t="str">
        <x:v>Liquidity-first</x:v>
      </x:c>
      <x:c r="B947" s="8" t="str">
        <x:v>Severe spread</x:v>
      </x:c>
      <x:c r="C947" s="8" t="str">
        <x:v>Beacon notes</x:v>
      </x:c>
      <x:c r="D947" s="22" t="n">
        <x:v>4</x:v>
      </x:c>
      <x:c r="E947" s="8" t="n">
        <x:v>0</x:v>
      </x:c>
      <x:c r="F947" s="23" t="n">
        <x:v>0.0475</x:v>
      </x:c>
      <x:c r="G947" s="8" t="n">
        <x:v>0</x:v>
      </x:c>
      <x:c r="H947" s="8" t="n">
        <x:v>0</x:v>
      </x:c>
      <x:c r="I947" s="8" t="n">
        <x:v>0</x:v>
      </x:c>
      <x:c r="J947" s="8" t="n">
        <x:v>0</x:v>
      </x:c>
      <x:c r="K947" s="8" t="n">
        <x:v>0</x:v>
      </x:c>
      <x:c r="L947" s="8" t="n">
        <x:v>0</x:v>
      </x:c>
      <x:c r="M947" s="21" t="n">
        <x:f>E947+K947-I947-J947-L947</x:f>
        <x:v>0</x:v>
      </x:c>
    </x:row>
    <x:row r="948" ht="36" customHeight="1">
      <x:c r="A948" s="8" t="str">
        <x:v>Liquidity-first</x:v>
      </x:c>
      <x:c r="B948" s="8" t="str">
        <x:v>Severe spread</x:v>
      </x:c>
      <x:c r="C948" s="8" t="str">
        <x:v>Acquisition term</x:v>
      </x:c>
      <x:c r="D948" s="22" t="n">
        <x:v>4</x:v>
      </x:c>
      <x:c r="E948" s="8" t="n">
        <x:v>662.7810183852155</x:v>
      </x:c>
      <x:c r="F948" s="23" t="n">
        <x:v>0.08</x:v>
      </x:c>
      <x:c r="G948" s="8" t="n">
        <x:v>53.02248147081724</x:v>
      </x:c>
      <x:c r="H948" s="8" t="n">
        <x:v>44.46700507614213</x:v>
      </x:c>
      <x:c r="I948" s="8" t="n">
        <x:v>44.46700507614213</x:v>
      </x:c>
      <x:c r="J948" s="8" t="n">
        <x:v>0</x:v>
      </x:c>
      <x:c r="K948" s="8" t="n">
        <x:v>0</x:v>
      </x:c>
      <x:c r="L948" s="8" t="n">
        <x:v>0</x:v>
      </x:c>
      <x:c r="M948" s="21" t="n">
        <x:f>E948+K948-I948-J948-L948</x:f>
        <x:v>618.3140133090733</x:v>
      </x:c>
    </x:row>
    <x:row r="949" ht="36" customHeight="1">
      <x:c r="A949" s="8" t="str">
        <x:v>Liquidity-first</x:v>
      </x:c>
      <x:c r="B949" s="8" t="str">
        <x:v>Severe spread</x:v>
      </x:c>
      <x:c r="C949" s="8" t="str">
        <x:v>Committed revolver</x:v>
      </x:c>
      <x:c r="D949" s="22" t="n">
        <x:v>4</x:v>
      </x:c>
      <x:c r="E949" s="8" t="n">
        <x:v>0</x:v>
      </x:c>
      <x:c r="F949" s="23" t="n">
        <x:v>0.0575</x:v>
      </x:c>
      <x:c r="G949" s="8" t="n">
        <x:v>0</x:v>
      </x:c>
      <x:c r="H949" s="8" t="n">
        <x:v>0</x:v>
      </x:c>
      <x:c r="I949" s="8" t="n">
        <x:v>0</x:v>
      </x:c>
      <x:c r="J949" s="8" t="n">
        <x:v>0</x:v>
      </x:c>
      <x:c r="K949" s="8" t="n">
        <x:v>401.1869936743983</x:v>
      </x:c>
      <x:c r="L949" s="8" t="n">
        <x:v>0</x:v>
      </x:c>
      <x:c r="M949" s="21" t="n">
        <x:f>E949+K949-I949-J949-L949</x:f>
        <x:v>401.1869936743983</x:v>
      </x:c>
    </x:row>
    <x:row r="950" ht="36" customHeight="1">
      <x:c r="A950" s="8" t="str">
        <x:v>Liquidity-first</x:v>
      </x:c>
      <x:c r="B950" s="8" t="str">
        <x:v>Severe spread</x:v>
      </x:c>
      <x:c r="C950" s="8" t="str">
        <x:v>Atlas notes</x:v>
      </x:c>
      <x:c r="D950" s="22" t="n">
        <x:v>5</x:v>
      </x:c>
      <x:c r="E950" s="8" t="n">
        <x:v>0</x:v>
      </x:c>
      <x:c r="F950" s="23" t="n">
        <x:v>0.038</x:v>
      </x:c>
      <x:c r="G950" s="8" t="n">
        <x:v>0</x:v>
      </x:c>
      <x:c r="H950" s="8" t="n">
        <x:v>0</x:v>
      </x:c>
      <x:c r="I950" s="8" t="n">
        <x:v>0</x:v>
      </x:c>
      <x:c r="J950" s="8" t="n">
        <x:v>0</x:v>
      </x:c>
      <x:c r="K950" s="8" t="n">
        <x:v>0</x:v>
      </x:c>
      <x:c r="L950" s="8" t="n">
        <x:v>0</x:v>
      </x:c>
      <x:c r="M950" s="21" t="n">
        <x:f>E950+K950-I950-J950-L950</x:f>
        <x:v>0</x:v>
      </x:c>
    </x:row>
    <x:row r="951" ht="36" customHeight="1">
      <x:c r="A951" s="8" t="str">
        <x:v>Liquidity-first</x:v>
      </x:c>
      <x:c r="B951" s="8" t="str">
        <x:v>Severe spread</x:v>
      </x:c>
      <x:c r="C951" s="8" t="str">
        <x:v>Atlas finance lease</x:v>
      </x:c>
      <x:c r="D951" s="22" t="n">
        <x:v>5</x:v>
      </x:c>
      <x:c r="E951" s="8" t="n">
        <x:v>16</x:v>
      </x:c>
      <x:c r="F951" s="23" t="n">
        <x:v>0.05</x:v>
      </x:c>
      <x:c r="G951" s="8" t="n">
        <x:v>0.8</x:v>
      </x:c>
      <x:c r="H951" s="8" t="n">
        <x:v>16</x:v>
      </x:c>
      <x:c r="I951" s="8" t="n">
        <x:v>16</x:v>
      </x:c>
      <x:c r="J951" s="8" t="n">
        <x:v>0</x:v>
      </x:c>
      <x:c r="K951" s="8" t="n">
        <x:v>0</x:v>
      </x:c>
      <x:c r="L951" s="8" t="n">
        <x:v>0</x:v>
      </x:c>
      <x:c r="M951" s="21" t="n">
        <x:f>E951+K951-I951-J951-L951</x:f>
        <x:v>0</x:v>
      </x:c>
    </x:row>
    <x:row r="952" ht="36" customHeight="1">
      <x:c r="A952" s="8" t="str">
        <x:v>Liquidity-first</x:v>
      </x:c>
      <x:c r="B952" s="8" t="str">
        <x:v>Severe spread</x:v>
      </x:c>
      <x:c r="C952" s="8" t="str">
        <x:v>Beacon notes</x:v>
      </x:c>
      <x:c r="D952" s="22" t="n">
        <x:v>5</x:v>
      </x:c>
      <x:c r="E952" s="8" t="n">
        <x:v>0</x:v>
      </x:c>
      <x:c r="F952" s="23" t="n">
        <x:v>0.0475</x:v>
      </x:c>
      <x:c r="G952" s="8" t="n">
        <x:v>0</x:v>
      </x:c>
      <x:c r="H952" s="8" t="n">
        <x:v>0</x:v>
      </x:c>
      <x:c r="I952" s="8" t="n">
        <x:v>0</x:v>
      </x:c>
      <x:c r="J952" s="8" t="n">
        <x:v>0</x:v>
      </x:c>
      <x:c r="K952" s="8" t="n">
        <x:v>0</x:v>
      </x:c>
      <x:c r="L952" s="8" t="n">
        <x:v>0</x:v>
      </x:c>
      <x:c r="M952" s="21" t="n">
        <x:f>E952+K952-I952-J952-L952</x:f>
        <x:v>0</x:v>
      </x:c>
    </x:row>
    <x:row r="953" ht="36" customHeight="1">
      <x:c r="A953" s="8" t="str">
        <x:v>Liquidity-first</x:v>
      </x:c>
      <x:c r="B953" s="8" t="str">
        <x:v>Severe spread</x:v>
      </x:c>
      <x:c r="C953" s="8" t="str">
        <x:v>Acquisition term</x:v>
      </x:c>
      <x:c r="D953" s="22" t="n">
        <x:v>5</x:v>
      </x:c>
      <x:c r="E953" s="8" t="n">
        <x:v>618.3140133090733</x:v>
      </x:c>
      <x:c r="F953" s="23" t="n">
        <x:v>0.08</x:v>
      </x:c>
      <x:c r="G953" s="8" t="n">
        <x:v>49.465121064725864</x:v>
      </x:c>
      <x:c r="H953" s="8" t="n">
        <x:v>618.3140133090733</x:v>
      </x:c>
      <x:c r="I953" s="8" t="n">
        <x:v>618.3140133090733</x:v>
      </x:c>
      <x:c r="J953" s="8" t="n">
        <x:v>0</x:v>
      </x:c>
      <x:c r="K953" s="8" t="n">
        <x:v>0</x:v>
      </x:c>
      <x:c r="L953" s="8" t="n">
        <x:v>0</x:v>
      </x:c>
      <x:c r="M953" s="21" t="n">
        <x:f>E953+K953-I953-J953-L953</x:f>
        <x:v>0</x:v>
      </x:c>
    </x:row>
    <x:row r="954" ht="36" customHeight="1">
      <x:c r="A954" s="8" t="str">
        <x:v>Liquidity-first</x:v>
      </x:c>
      <x:c r="B954" s="8" t="str">
        <x:v>Severe spread</x:v>
      </x:c>
      <x:c r="C954" s="8" t="str">
        <x:v>Committed revolver</x:v>
      </x:c>
      <x:c r="D954" s="22" t="n">
        <x:v>5</x:v>
      </x:c>
      <x:c r="E954" s="8" t="n">
        <x:v>401.1869936743983</x:v>
      </x:c>
      <x:c r="F954" s="23" t="n">
        <x:v>0.0575</x:v>
      </x:c>
      <x:c r="G954" s="8" t="n">
        <x:v>23.068252136277902</x:v>
      </x:c>
      <x:c r="H954" s="8" t="n">
        <x:v>401.1869936743983</x:v>
      </x:c>
      <x:c r="I954" s="8" t="n">
        <x:v>401.1869936743983</x:v>
      </x:c>
      <x:c r="J954" s="8" t="n">
        <x:v>0</x:v>
      </x:c>
      <x:c r="K954" s="8" t="n">
        <x:v>0</x:v>
      </x:c>
      <x:c r="L954" s="8" t="n">
        <x:v>0</x:v>
      </x:c>
      <x:c r="M954" s="21" t="n">
        <x:f>E954+K954-I954-J954-L954</x:f>
        <x:v>0</x:v>
      </x:c>
    </x:row>
    <x:row r="955" ht="36" customHeight="1">
      <x:c r="A955" s="8" t="str">
        <x:v>Mixed consideration</x:v>
      </x:c>
      <x:c r="B955" s="8" t="str">
        <x:v>Severe spread</x:v>
      </x:c>
      <x:c r="C955" s="8" t="str">
        <x:v>Atlas notes</x:v>
      </x:c>
      <x:c r="D955" s="22" t="n">
        <x:v>1</x:v>
      </x:c>
      <x:c r="E955" s="8" t="n">
        <x:v>900</x:v>
      </x:c>
      <x:c r="F955" s="23" t="n">
        <x:v>0.038</x:v>
      </x:c>
      <x:c r="G955" s="8" t="n">
        <x:v>34.199999999999996</x:v>
      </x:c>
      <x:c r="H955" s="8" t="n">
        <x:v>0</x:v>
      </x:c>
      <x:c r="I955" s="8" t="n">
        <x:v>0</x:v>
      </x:c>
      <x:c r="J955" s="8" t="n">
        <x:v>0</x:v>
      </x:c>
      <x:c r="K955" s="8" t="n">
        <x:v>0</x:v>
      </x:c>
      <x:c r="L955" s="8" t="n">
        <x:v>0</x:v>
      </x:c>
      <x:c r="M955" s="21" t="n">
        <x:f>E955+K955-I955-J955-L955</x:f>
        <x:v>900</x:v>
      </x:c>
    </x:row>
    <x:row r="956" ht="36" customHeight="1">
      <x:c r="A956" s="8" t="str">
        <x:v>Mixed consideration</x:v>
      </x:c>
      <x:c r="B956" s="8" t="str">
        <x:v>Severe spread</x:v>
      </x:c>
      <x:c r="C956" s="8" t="str">
        <x:v>Atlas finance lease</x:v>
      </x:c>
      <x:c r="D956" s="22" t="n">
        <x:v>1</x:v>
      </x:c>
      <x:c r="E956" s="8" t="n">
        <x:v>80</x:v>
      </x:c>
      <x:c r="F956" s="23" t="n">
        <x:v>0.05</x:v>
      </x:c>
      <x:c r="G956" s="8" t="n">
        <x:v>4</x:v>
      </x:c>
      <x:c r="H956" s="8" t="n">
        <x:v>16</x:v>
      </x:c>
      <x:c r="I956" s="8" t="n">
        <x:v>16</x:v>
      </x:c>
      <x:c r="J956" s="8" t="n">
        <x:v>26.76069075516267</x:v>
      </x:c>
      <x:c r="K956" s="8" t="n">
        <x:v>0</x:v>
      </x:c>
      <x:c r="L956" s="8" t="n">
        <x:v>0</x:v>
      </x:c>
      <x:c r="M956" s="21" t="n">
        <x:f>E956+K956-I956-J956-L956</x:f>
        <x:v>37.23930924483733</x:v>
      </x:c>
    </x:row>
    <x:row r="957" ht="36" customHeight="1">
      <x:c r="A957" s="8" t="str">
        <x:v>Mixed consideration</x:v>
      </x:c>
      <x:c r="B957" s="8" t="str">
        <x:v>Severe spread</x:v>
      </x:c>
      <x:c r="C957" s="8" t="str">
        <x:v>Beacon notes</x:v>
      </x:c>
      <x:c r="D957" s="22" t="n">
        <x:v>1</x:v>
      </x:c>
      <x:c r="E957" s="8" t="n">
        <x:v>350</x:v>
      </x:c>
      <x:c r="F957" s="23" t="n">
        <x:v>0.0475</x:v>
      </x:c>
      <x:c r="G957" s="8" t="n">
        <x:v>16.625</x:v>
      </x:c>
      <x:c r="H957" s="8" t="n">
        <x:v>0</x:v>
      </x:c>
      <x:c r="I957" s="8" t="n">
        <x:v>0</x:v>
      </x:c>
      <x:c r="J957" s="8" t="n">
        <x:v>0</x:v>
      </x:c>
      <x:c r="K957" s="8" t="n">
        <x:v>0</x:v>
      </x:c>
      <x:c r="L957" s="8" t="n">
        <x:v>0</x:v>
      </x:c>
      <x:c r="M957" s="21" t="n">
        <x:f>E957+K957-I957-J957-L957</x:f>
        <x:v>350</x:v>
      </x:c>
    </x:row>
    <x:row r="958" ht="36" customHeight="1">
      <x:c r="A958" s="8" t="str">
        <x:v>Mixed consideration</x:v>
      </x:c>
      <x:c r="B958" s="8" t="str">
        <x:v>Severe spread</x:v>
      </x:c>
      <x:c r="C958" s="8" t="str">
        <x:v>Acquisition term</x:v>
      </x:c>
      <x:c r="D958" s="22" t="n">
        <x:v>1</x:v>
      </x:c>
      <x:c r="E958" s="8" t="n">
        <x:v>304.56852791878174</x:v>
      </x:c>
      <x:c r="F958" s="23" t="n">
        <x:v>0.085</x:v>
      </x:c>
      <x:c r="G958" s="8" t="n">
        <x:v>25.88832487309645</x:v>
      </x:c>
      <x:c r="H958" s="8" t="n">
        <x:v>6.091370558375635</x:v>
      </x:c>
      <x:c r="I958" s="8" t="n">
        <x:v>6.091370558375635</x:v>
      </x:c>
      <x:c r="J958" s="8" t="n">
        <x:v>298.4771573604061</x:v>
      </x:c>
      <x:c r="K958" s="8" t="n">
        <x:v>0</x:v>
      </x:c>
      <x:c r="L958" s="8" t="n">
        <x:v>0</x:v>
      </x:c>
      <x:c r="M958" s="21" t="n">
        <x:f>E958+K958-I958-J958-L958</x:f>
        <x:v>0</x:v>
      </x:c>
    </x:row>
    <x:row r="959" ht="36" customHeight="1">
      <x:c r="A959" s="8" t="str">
        <x:v>Mixed consideration</x:v>
      </x:c>
      <x:c r="B959" s="8" t="str">
        <x:v>Severe spread</x:v>
      </x:c>
      <x:c r="C959" s="8" t="str">
        <x:v>Committed revolver</x:v>
      </x:c>
      <x:c r="D959" s="22" t="n">
        <x:v>1</x:v>
      </x:c>
      <x:c r="E959" s="8" t="n">
        <x:v>0</x:v>
      </x:c>
      <x:c r="F959" s="23" t="n">
        <x:v>0.0625</x:v>
      </x:c>
      <x:c r="G959" s="8" t="n">
        <x:v>0</x:v>
      </x:c>
      <x:c r="H959" s="8" t="n">
        <x:v>0</x:v>
      </x:c>
      <x:c r="I959" s="8" t="n">
        <x:v>0</x:v>
      </x:c>
      <x:c r="J959" s="8" t="n">
        <x:v>0</x:v>
      </x:c>
      <x:c r="K959" s="8" t="n">
        <x:v>0</x:v>
      </x:c>
      <x:c r="L959" s="8" t="n">
        <x:v>0</x:v>
      </x:c>
      <x:c r="M959" s="21" t="n">
        <x:f>E959+K959-I959-J959-L959</x:f>
        <x:v>0</x:v>
      </x:c>
    </x:row>
    <x:row r="960" ht="36" customHeight="1">
      <x:c r="A960" s="8" t="str">
        <x:v>Mixed consideration</x:v>
      </x:c>
      <x:c r="B960" s="8" t="str">
        <x:v>Severe spread</x:v>
      </x:c>
      <x:c r="C960" s="8" t="str">
        <x:v>Atlas notes</x:v>
      </x:c>
      <x:c r="D960" s="22" t="n">
        <x:v>2</x:v>
      </x:c>
      <x:c r="E960" s="8" t="n">
        <x:v>900</x:v>
      </x:c>
      <x:c r="F960" s="23" t="n">
        <x:v>0.038</x:v>
      </x:c>
      <x:c r="G960" s="8" t="n">
        <x:v>34.199999999999996</x:v>
      </x:c>
      <x:c r="H960" s="8" t="n">
        <x:v>0</x:v>
      </x:c>
      <x:c r="I960" s="8" t="n">
        <x:v>0</x:v>
      </x:c>
      <x:c r="J960" s="8" t="n">
        <x:v>56.30528429546558</x:v>
      </x:c>
      <x:c r="K960" s="8" t="n">
        <x:v>0</x:v>
      </x:c>
      <x:c r="L960" s="8" t="n">
        <x:v>0</x:v>
      </x:c>
      <x:c r="M960" s="21" t="n">
        <x:f>E960+K960-I960-J960-L960</x:f>
        <x:v>843.6947157045345</x:v>
      </x:c>
    </x:row>
    <x:row r="961" ht="36" customHeight="1">
      <x:c r="A961" s="8" t="str">
        <x:v>Mixed consideration</x:v>
      </x:c>
      <x:c r="B961" s="8" t="str">
        <x:v>Severe spread</x:v>
      </x:c>
      <x:c r="C961" s="8" t="str">
        <x:v>Atlas finance lease</x:v>
      </x:c>
      <x:c r="D961" s="22" t="n">
        <x:v>2</x:v>
      </x:c>
      <x:c r="E961" s="8" t="n">
        <x:v>37.23930924483733</x:v>
      </x:c>
      <x:c r="F961" s="23" t="n">
        <x:v>0.05</x:v>
      </x:c>
      <x:c r="G961" s="8" t="n">
        <x:v>1.8619654622418667</x:v>
      </x:c>
      <x:c r="H961" s="8" t="n">
        <x:v>16</x:v>
      </x:c>
      <x:c r="I961" s="8" t="n">
        <x:v>16</x:v>
      </x:c>
      <x:c r="J961" s="8" t="n">
        <x:v>21.23930924483733</x:v>
      </x:c>
      <x:c r="K961" s="8" t="n">
        <x:v>0</x:v>
      </x:c>
      <x:c r="L961" s="8" t="n">
        <x:v>0</x:v>
      </x:c>
      <x:c r="M961" s="21" t="n">
        <x:f>E961+K961-I961-J961-L961</x:f>
        <x:v>0</x:v>
      </x:c>
    </x:row>
    <x:row r="962" ht="36" customHeight="1">
      <x:c r="A962" s="8" t="str">
        <x:v>Mixed consideration</x:v>
      </x:c>
      <x:c r="B962" s="8" t="str">
        <x:v>Severe spread</x:v>
      </x:c>
      <x:c r="C962" s="8" t="str">
        <x:v>Beacon notes</x:v>
      </x:c>
      <x:c r="D962" s="22" t="n">
        <x:v>2</x:v>
      </x:c>
      <x:c r="E962" s="8" t="n">
        <x:v>350</x:v>
      </x:c>
      <x:c r="F962" s="23" t="n">
        <x:v>0.0475</x:v>
      </x:c>
      <x:c r="G962" s="8" t="n">
        <x:v>16.625</x:v>
      </x:c>
      <x:c r="H962" s="8" t="n">
        <x:v>0</x:v>
      </x:c>
      <x:c r="I962" s="8" t="n">
        <x:v>0</x:v>
      </x:c>
      <x:c r="J962" s="8" t="n">
        <x:v>350</x:v>
      </x:c>
      <x:c r="K962" s="8" t="n">
        <x:v>0</x:v>
      </x:c>
      <x:c r="L962" s="8" t="n">
        <x:v>0</x:v>
      </x:c>
      <x:c r="M962" s="21" t="n">
        <x:f>E962+K962-I962-J962-L962</x:f>
        <x:v>0</x:v>
      </x:c>
    </x:row>
    <x:row r="963" ht="36" customHeight="1">
      <x:c r="A963" s="8" t="str">
        <x:v>Mixed consideration</x:v>
      </x:c>
      <x:c r="B963" s="8" t="str">
        <x:v>Severe spread</x:v>
      </x:c>
      <x:c r="C963" s="8" t="str">
        <x:v>Acquisition term</x:v>
      </x:c>
      <x:c r="D963" s="22" t="n">
        <x:v>2</x:v>
      </x:c>
      <x:c r="E963" s="8" t="n">
        <x:v>0</x:v>
      </x:c>
      <x:c r="F963" s="23" t="n">
        <x:v>0.0825</x:v>
      </x:c>
      <x:c r="G963" s="8" t="n">
        <x:v>0</x:v>
      </x:c>
      <x:c r="H963" s="8" t="n">
        <x:v>0</x:v>
      </x:c>
      <x:c r="I963" s="8" t="n">
        <x:v>0</x:v>
      </x:c>
      <x:c r="J963" s="8" t="n">
        <x:v>0</x:v>
      </x:c>
      <x:c r="K963" s="8" t="n">
        <x:v>0</x:v>
      </x:c>
      <x:c r="L963" s="8" t="n">
        <x:v>0</x:v>
      </x:c>
      <x:c r="M963" s="21" t="n">
        <x:f>E963+K963-I963-J963-L963</x:f>
        <x:v>0</x:v>
      </x:c>
    </x:row>
    <x:row r="964" ht="36" customHeight="1">
      <x:c r="A964" s="8" t="str">
        <x:v>Mixed consideration</x:v>
      </x:c>
      <x:c r="B964" s="8" t="str">
        <x:v>Severe spread</x:v>
      </x:c>
      <x:c r="C964" s="8" t="str">
        <x:v>Committed revolver</x:v>
      </x:c>
      <x:c r="D964" s="22" t="n">
        <x:v>2</x:v>
      </x:c>
      <x:c r="E964" s="8" t="n">
        <x:v>0</x:v>
      </x:c>
      <x:c r="F964" s="23" t="n">
        <x:v>0.06</x:v>
      </x:c>
      <x:c r="G964" s="8" t="n">
        <x:v>0</x:v>
      </x:c>
      <x:c r="H964" s="8" t="n">
        <x:v>0</x:v>
      </x:c>
      <x:c r="I964" s="8" t="n">
        <x:v>0</x:v>
      </x:c>
      <x:c r="J964" s="8" t="n">
        <x:v>0</x:v>
      </x:c>
      <x:c r="K964" s="8" t="n">
        <x:v>0</x:v>
      </x:c>
      <x:c r="L964" s="8" t="n">
        <x:v>0</x:v>
      </x:c>
      <x:c r="M964" s="21" t="n">
        <x:f>E964+K964-I964-J964-L964</x:f>
        <x:v>0</x:v>
      </x:c>
    </x:row>
    <x:row r="965" ht="36" customHeight="1">
      <x:c r="A965" s="8" t="str">
        <x:v>Mixed consideration</x:v>
      </x:c>
      <x:c r="B965" s="8" t="str">
        <x:v>Severe spread</x:v>
      </x:c>
      <x:c r="C965" s="8" t="str">
        <x:v>Atlas notes</x:v>
      </x:c>
      <x:c r="D965" s="22" t="n">
        <x:v>3</x:v>
      </x:c>
      <x:c r="E965" s="8" t="n">
        <x:v>843.6947157045345</x:v>
      </x:c>
      <x:c r="F965" s="23" t="n">
        <x:v>0.038</x:v>
      </x:c>
      <x:c r="G965" s="8" t="n">
        <x:v>32.06039919677231</x:v>
      </x:c>
      <x:c r="H965" s="8" t="n">
        <x:v>0</x:v>
      </x:c>
      <x:c r="I965" s="8" t="n">
        <x:v>0</x:v>
      </x:c>
      <x:c r="J965" s="8" t="n">
        <x:v>555.017493680331</x:v>
      </x:c>
      <x:c r="K965" s="8" t="n">
        <x:v>0</x:v>
      </x:c>
      <x:c r="L965" s="8" t="n">
        <x:v>0</x:v>
      </x:c>
      <x:c r="M965" s="21" t="n">
        <x:f>E965+K965-I965-J965-L965</x:f>
        <x:v>288.6772220242035</x:v>
      </x:c>
    </x:row>
    <x:row r="966" ht="36" customHeight="1">
      <x:c r="A966" s="8" t="str">
        <x:v>Mixed consideration</x:v>
      </x:c>
      <x:c r="B966" s="8" t="str">
        <x:v>Severe spread</x:v>
      </x:c>
      <x:c r="C966" s="8" t="str">
        <x:v>Atlas finance lease</x:v>
      </x:c>
      <x:c r="D966" s="22" t="n">
        <x:v>3</x:v>
      </x:c>
      <x:c r="E966" s="8" t="n">
        <x:v>0</x:v>
      </x:c>
      <x:c r="F966" s="23" t="n">
        <x:v>0.05</x:v>
      </x:c>
      <x:c r="G966" s="8" t="n">
        <x:v>0</x:v>
      </x:c>
      <x:c r="H966" s="8" t="n">
        <x:v>0</x:v>
      </x:c>
      <x:c r="I966" s="8" t="n">
        <x:v>0</x:v>
      </x:c>
      <x:c r="J966" s="8" t="n">
        <x:v>0</x:v>
      </x:c>
      <x:c r="K966" s="8" t="n">
        <x:v>0</x:v>
      </x:c>
      <x:c r="L966" s="8" t="n">
        <x:v>0</x:v>
      </x:c>
      <x:c r="M966" s="21" t="n">
        <x:f>E966+K966-I966-J966-L966</x:f>
        <x:v>0</x:v>
      </x:c>
    </x:row>
    <x:row r="967" ht="36" customHeight="1">
      <x:c r="A967" s="8" t="str">
        <x:v>Mixed consideration</x:v>
      </x:c>
      <x:c r="B967" s="8" t="str">
        <x:v>Severe spread</x:v>
      </x:c>
      <x:c r="C967" s="8" t="str">
        <x:v>Beacon notes</x:v>
      </x:c>
      <x:c r="D967" s="22" t="n">
        <x:v>3</x:v>
      </x:c>
      <x:c r="E967" s="8" t="n">
        <x:v>0</x:v>
      </x:c>
      <x:c r="F967" s="23" t="n">
        <x:v>0.0475</x:v>
      </x:c>
      <x:c r="G967" s="8" t="n">
        <x:v>0</x:v>
      </x:c>
      <x:c r="H967" s="8" t="n">
        <x:v>0</x:v>
      </x:c>
      <x:c r="I967" s="8" t="n">
        <x:v>0</x:v>
      </x:c>
      <x:c r="J967" s="8" t="n">
        <x:v>0</x:v>
      </x:c>
      <x:c r="K967" s="8" t="n">
        <x:v>0</x:v>
      </x:c>
      <x:c r="L967" s="8" t="n">
        <x:v>0</x:v>
      </x:c>
      <x:c r="M967" s="21" t="n">
        <x:f>E967+K967-I967-J967-L967</x:f>
        <x:v>0</x:v>
      </x:c>
    </x:row>
    <x:row r="968" ht="36" customHeight="1">
      <x:c r="A968" s="8" t="str">
        <x:v>Mixed consideration</x:v>
      </x:c>
      <x:c r="B968" s="8" t="str">
        <x:v>Severe spread</x:v>
      </x:c>
      <x:c r="C968" s="8" t="str">
        <x:v>Acquisition term</x:v>
      </x:c>
      <x:c r="D968" s="22" t="n">
        <x:v>3</x:v>
      </x:c>
      <x:c r="E968" s="8" t="n">
        <x:v>0</x:v>
      </x:c>
      <x:c r="F968" s="23" t="n">
        <x:v>0.08</x:v>
      </x:c>
      <x:c r="G968" s="8" t="n">
        <x:v>0</x:v>
      </x:c>
      <x:c r="H968" s="8" t="n">
        <x:v>0</x:v>
      </x:c>
      <x:c r="I968" s="8" t="n">
        <x:v>0</x:v>
      </x:c>
      <x:c r="J968" s="8" t="n">
        <x:v>0</x:v>
      </x:c>
      <x:c r="K968" s="8" t="n">
        <x:v>0</x:v>
      </x:c>
      <x:c r="L968" s="8" t="n">
        <x:v>0</x:v>
      </x:c>
      <x:c r="M968" s="21" t="n">
        <x:f>E968+K968-I968-J968-L968</x:f>
        <x:v>0</x:v>
      </x:c>
    </x:row>
    <x:row r="969" ht="36" customHeight="1">
      <x:c r="A969" s="8" t="str">
        <x:v>Mixed consideration</x:v>
      </x:c>
      <x:c r="B969" s="8" t="str">
        <x:v>Severe spread</x:v>
      </x:c>
      <x:c r="C969" s="8" t="str">
        <x:v>Committed revolver</x:v>
      </x:c>
      <x:c r="D969" s="22" t="n">
        <x:v>3</x:v>
      </x:c>
      <x:c r="E969" s="8" t="n">
        <x:v>0</x:v>
      </x:c>
      <x:c r="F969" s="23" t="n">
        <x:v>0.0575</x:v>
      </x:c>
      <x:c r="G969" s="8" t="n">
        <x:v>0</x:v>
      </x:c>
      <x:c r="H969" s="8" t="n">
        <x:v>0</x:v>
      </x:c>
      <x:c r="I969" s="8" t="n">
        <x:v>0</x:v>
      </x:c>
      <x:c r="J969" s="8" t="n">
        <x:v>0</x:v>
      </x:c>
      <x:c r="K969" s="8" t="n">
        <x:v>0</x:v>
      </x:c>
      <x:c r="L969" s="8" t="n">
        <x:v>0</x:v>
      </x:c>
      <x:c r="M969" s="21" t="n">
        <x:f>E969+K969-I969-J969-L969</x:f>
        <x:v>0</x:v>
      </x:c>
    </x:row>
    <x:row r="970" ht="36" customHeight="1">
      <x:c r="A970" s="8" t="str">
        <x:v>Mixed consideration</x:v>
      </x:c>
      <x:c r="B970" s="8" t="str">
        <x:v>Severe spread</x:v>
      </x:c>
      <x:c r="C970" s="8" t="str">
        <x:v>Atlas notes</x:v>
      </x:c>
      <x:c r="D970" s="22" t="n">
        <x:v>4</x:v>
      </x:c>
      <x:c r="E970" s="8" t="n">
        <x:v>288.6772220242035</x:v>
      </x:c>
      <x:c r="F970" s="23" t="n">
        <x:v>0.038</x:v>
      </x:c>
      <x:c r="G970" s="8" t="n">
        <x:v>10.969734436919733</x:v>
      </x:c>
      <x:c r="H970" s="8" t="n">
        <x:v>288.6772220242035</x:v>
      </x:c>
      <x:c r="I970" s="8" t="n">
        <x:v>288.6772220242035</x:v>
      </x:c>
      <x:c r="J970" s="8" t="n">
        <x:v>0</x:v>
      </x:c>
      <x:c r="K970" s="8" t="n">
        <x:v>0</x:v>
      </x:c>
      <x:c r="L970" s="8" t="n">
        <x:v>0</x:v>
      </x:c>
      <x:c r="M970" s="21" t="n">
        <x:f>E970+K970-I970-J970-L970</x:f>
        <x:v>0</x:v>
      </x:c>
    </x:row>
    <x:row r="971" ht="36" customHeight="1">
      <x:c r="A971" s="8" t="str">
        <x:v>Mixed consideration</x:v>
      </x:c>
      <x:c r="B971" s="8" t="str">
        <x:v>Severe spread</x:v>
      </x:c>
      <x:c r="C971" s="8" t="str">
        <x:v>Atlas finance lease</x:v>
      </x:c>
      <x:c r="D971" s="22" t="n">
        <x:v>4</x:v>
      </x:c>
      <x:c r="E971" s="8" t="n">
        <x:v>0</x:v>
      </x:c>
      <x:c r="F971" s="23" t="n">
        <x:v>0.05</x:v>
      </x:c>
      <x:c r="G971" s="8" t="n">
        <x:v>0</x:v>
      </x:c>
      <x:c r="H971" s="8" t="n">
        <x:v>0</x:v>
      </x:c>
      <x:c r="I971" s="8" t="n">
        <x:v>0</x:v>
      </x:c>
      <x:c r="J971" s="8" t="n">
        <x:v>0</x:v>
      </x:c>
      <x:c r="K971" s="8" t="n">
        <x:v>0</x:v>
      </x:c>
      <x:c r="L971" s="8" t="n">
        <x:v>0</x:v>
      </x:c>
      <x:c r="M971" s="21" t="n">
        <x:f>E971+K971-I971-J971-L971</x:f>
        <x:v>0</x:v>
      </x:c>
    </x:row>
    <x:row r="972" ht="36" customHeight="1">
      <x:c r="A972" s="8" t="str">
        <x:v>Mixed consideration</x:v>
      </x:c>
      <x:c r="B972" s="8" t="str">
        <x:v>Severe spread</x:v>
      </x:c>
      <x:c r="C972" s="8" t="str">
        <x:v>Beacon notes</x:v>
      </x:c>
      <x:c r="D972" s="22" t="n">
        <x:v>4</x:v>
      </x:c>
      <x:c r="E972" s="8" t="n">
        <x:v>0</x:v>
      </x:c>
      <x:c r="F972" s="23" t="n">
        <x:v>0.0475</x:v>
      </x:c>
      <x:c r="G972" s="8" t="n">
        <x:v>0</x:v>
      </x:c>
      <x:c r="H972" s="8" t="n">
        <x:v>0</x:v>
      </x:c>
      <x:c r="I972" s="8" t="n">
        <x:v>0</x:v>
      </x:c>
      <x:c r="J972" s="8" t="n">
        <x:v>0</x:v>
      </x:c>
      <x:c r="K972" s="8" t="n">
        <x:v>0</x:v>
      </x:c>
      <x:c r="L972" s="8" t="n">
        <x:v>0</x:v>
      </x:c>
      <x:c r="M972" s="21" t="n">
        <x:f>E972+K972-I972-J972-L972</x:f>
        <x:v>0</x:v>
      </x:c>
    </x:row>
    <x:row r="973" ht="36" customHeight="1">
      <x:c r="A973" s="8" t="str">
        <x:v>Mixed consideration</x:v>
      </x:c>
      <x:c r="B973" s="8" t="str">
        <x:v>Severe spread</x:v>
      </x:c>
      <x:c r="C973" s="8" t="str">
        <x:v>Acquisition term</x:v>
      </x:c>
      <x:c r="D973" s="22" t="n">
        <x:v>4</x:v>
      </x:c>
      <x:c r="E973" s="8" t="n">
        <x:v>0</x:v>
      </x:c>
      <x:c r="F973" s="23" t="n">
        <x:v>0.08</x:v>
      </x:c>
      <x:c r="G973" s="8" t="n">
        <x:v>0</x:v>
      </x:c>
      <x:c r="H973" s="8" t="n">
        <x:v>0</x:v>
      </x:c>
      <x:c r="I973" s="8" t="n">
        <x:v>0</x:v>
      </x:c>
      <x:c r="J973" s="8" t="n">
        <x:v>0</x:v>
      </x:c>
      <x:c r="K973" s="8" t="n">
        <x:v>0</x:v>
      </x:c>
      <x:c r="L973" s="8" t="n">
        <x:v>0</x:v>
      </x:c>
      <x:c r="M973" s="21" t="n">
        <x:f>E973+K973-I973-J973-L973</x:f>
        <x:v>0</x:v>
      </x:c>
    </x:row>
    <x:row r="974" ht="36" customHeight="1">
      <x:c r="A974" s="8" t="str">
        <x:v>Mixed consideration</x:v>
      </x:c>
      <x:c r="B974" s="8" t="str">
        <x:v>Severe spread</x:v>
      </x:c>
      <x:c r="C974" s="8" t="str">
        <x:v>Committed revolver</x:v>
      </x:c>
      <x:c r="D974" s="22" t="n">
        <x:v>4</x:v>
      </x:c>
      <x:c r="E974" s="8" t="n">
        <x:v>0</x:v>
      </x:c>
      <x:c r="F974" s="23" t="n">
        <x:v>0.0575</x:v>
      </x:c>
      <x:c r="G974" s="8" t="n">
        <x:v>0</x:v>
      </x:c>
      <x:c r="H974" s="8" t="n">
        <x:v>0</x:v>
      </x:c>
      <x:c r="I974" s="8" t="n">
        <x:v>0</x:v>
      </x:c>
      <x:c r="J974" s="8" t="n">
        <x:v>0</x:v>
      </x:c>
      <x:c r="K974" s="8" t="n">
        <x:v>0</x:v>
      </x:c>
      <x:c r="L974" s="8" t="n">
        <x:v>0</x:v>
      </x:c>
      <x:c r="M974" s="21" t="n">
        <x:f>E974+K974-I974-J974-L974</x:f>
        <x:v>0</x:v>
      </x:c>
    </x:row>
    <x:row r="975" ht="36" customHeight="1">
      <x:c r="A975" s="8" t="str">
        <x:v>Mixed consideration</x:v>
      </x:c>
      <x:c r="B975" s="8" t="str">
        <x:v>Severe spread</x:v>
      </x:c>
      <x:c r="C975" s="8" t="str">
        <x:v>Atlas notes</x:v>
      </x:c>
      <x:c r="D975" s="22" t="n">
        <x:v>5</x:v>
      </x:c>
      <x:c r="E975" s="8" t="n">
        <x:v>0</x:v>
      </x:c>
      <x:c r="F975" s="23" t="n">
        <x:v>0.038</x:v>
      </x:c>
      <x:c r="G975" s="8" t="n">
        <x:v>0</x:v>
      </x:c>
      <x:c r="H975" s="8" t="n">
        <x:v>0</x:v>
      </x:c>
      <x:c r="I975" s="8" t="n">
        <x:v>0</x:v>
      </x:c>
      <x:c r="J975" s="8" t="n">
        <x:v>0</x:v>
      </x:c>
      <x:c r="K975" s="8" t="n">
        <x:v>0</x:v>
      </x:c>
      <x:c r="L975" s="8" t="n">
        <x:v>0</x:v>
      </x:c>
      <x:c r="M975" s="21" t="n">
        <x:f>E975+K975-I975-J975-L975</x:f>
        <x:v>0</x:v>
      </x:c>
    </x:row>
    <x:row r="976" ht="36" customHeight="1">
      <x:c r="A976" s="8" t="str">
        <x:v>Mixed consideration</x:v>
      </x:c>
      <x:c r="B976" s="8" t="str">
        <x:v>Severe spread</x:v>
      </x:c>
      <x:c r="C976" s="8" t="str">
        <x:v>Atlas finance lease</x:v>
      </x:c>
      <x:c r="D976" s="22" t="n">
        <x:v>5</x:v>
      </x:c>
      <x:c r="E976" s="8" t="n">
        <x:v>0</x:v>
      </x:c>
      <x:c r="F976" s="23" t="n">
        <x:v>0.05</x:v>
      </x:c>
      <x:c r="G976" s="8" t="n">
        <x:v>0</x:v>
      </x:c>
      <x:c r="H976" s="8" t="n">
        <x:v>0</x:v>
      </x:c>
      <x:c r="I976" s="8" t="n">
        <x:v>0</x:v>
      </x:c>
      <x:c r="J976" s="8" t="n">
        <x:v>0</x:v>
      </x:c>
      <x:c r="K976" s="8" t="n">
        <x:v>0</x:v>
      </x:c>
      <x:c r="L976" s="8" t="n">
        <x:v>0</x:v>
      </x:c>
      <x:c r="M976" s="21" t="n">
        <x:f>E976+K976-I976-J976-L976</x:f>
        <x:v>0</x:v>
      </x:c>
    </x:row>
    <x:row r="977" ht="36" customHeight="1">
      <x:c r="A977" s="8" t="str">
        <x:v>Mixed consideration</x:v>
      </x:c>
      <x:c r="B977" s="8" t="str">
        <x:v>Severe spread</x:v>
      </x:c>
      <x:c r="C977" s="8" t="str">
        <x:v>Beacon notes</x:v>
      </x:c>
      <x:c r="D977" s="22" t="n">
        <x:v>5</x:v>
      </x:c>
      <x:c r="E977" s="8" t="n">
        <x:v>0</x:v>
      </x:c>
      <x:c r="F977" s="23" t="n">
        <x:v>0.0475</x:v>
      </x:c>
      <x:c r="G977" s="8" t="n">
        <x:v>0</x:v>
      </x:c>
      <x:c r="H977" s="8" t="n">
        <x:v>0</x:v>
      </x:c>
      <x:c r="I977" s="8" t="n">
        <x:v>0</x:v>
      </x:c>
      <x:c r="J977" s="8" t="n">
        <x:v>0</x:v>
      </x:c>
      <x:c r="K977" s="8" t="n">
        <x:v>0</x:v>
      </x:c>
      <x:c r="L977" s="8" t="n">
        <x:v>0</x:v>
      </x:c>
      <x:c r="M977" s="21" t="n">
        <x:f>E977+K977-I977-J977-L977</x:f>
        <x:v>0</x:v>
      </x:c>
    </x:row>
    <x:row r="978" ht="36" customHeight="1">
      <x:c r="A978" s="8" t="str">
        <x:v>Mixed consideration</x:v>
      </x:c>
      <x:c r="B978" s="8" t="str">
        <x:v>Severe spread</x:v>
      </x:c>
      <x:c r="C978" s="8" t="str">
        <x:v>Acquisition term</x:v>
      </x:c>
      <x:c r="D978" s="22" t="n">
        <x:v>5</x:v>
      </x:c>
      <x:c r="E978" s="8" t="n">
        <x:v>0</x:v>
      </x:c>
      <x:c r="F978" s="23" t="n">
        <x:v>0.08</x:v>
      </x:c>
      <x:c r="G978" s="8" t="n">
        <x:v>0</x:v>
      </x:c>
      <x:c r="H978" s="8" t="n">
        <x:v>0</x:v>
      </x:c>
      <x:c r="I978" s="8" t="n">
        <x:v>0</x:v>
      </x:c>
      <x:c r="J978" s="8" t="n">
        <x:v>0</x:v>
      </x:c>
      <x:c r="K978" s="8" t="n">
        <x:v>0</x:v>
      </x:c>
      <x:c r="L978" s="8" t="n">
        <x:v>0</x:v>
      </x:c>
      <x:c r="M978" s="21" t="n">
        <x:f>E978+K978-I978-J978-L978</x:f>
        <x:v>0</x:v>
      </x:c>
    </x:row>
    <x:row r="979" ht="36" customHeight="1">
      <x:c r="A979" s="8" t="str">
        <x:v>Mixed consideration</x:v>
      </x:c>
      <x:c r="B979" s="8" t="str">
        <x:v>Severe spread</x:v>
      </x:c>
      <x:c r="C979" s="8" t="str">
        <x:v>Committed revolver</x:v>
      </x:c>
      <x:c r="D979" s="22" t="n">
        <x:v>5</x:v>
      </x:c>
      <x:c r="E979" s="8" t="n">
        <x:v>0</x:v>
      </x:c>
      <x:c r="F979" s="23" t="n">
        <x:v>0.0575</x:v>
      </x:c>
      <x:c r="G979" s="8" t="n">
        <x:v>0</x:v>
      </x:c>
      <x:c r="H979" s="8" t="n">
        <x:v>0</x:v>
      </x:c>
      <x:c r="I979" s="8" t="n">
        <x:v>0</x:v>
      </x:c>
      <x:c r="J979" s="8" t="n">
        <x:v>0</x:v>
      </x:c>
      <x:c r="K979" s="8" t="n">
        <x:v>0</x:v>
      </x:c>
      <x:c r="L979" s="8" t="n">
        <x:v>0</x:v>
      </x:c>
      <x:c r="M979" s="21" t="n">
        <x:f>E979+K979-I979-J979-L979</x:f>
        <x:v>0</x:v>
      </x:c>
    </x:row>
    <x:row r="980" ht="36" customHeight="1">
      <x:c r="A980" s="8" t="str">
        <x:v>Cash-first</x:v>
      </x:c>
      <x:c r="B980" s="8" t="str">
        <x:v>Severe synergies</x:v>
      </x:c>
      <x:c r="C980" s="8" t="str">
        <x:v>Atlas notes</x:v>
      </x:c>
      <x:c r="D980" s="22" t="n">
        <x:v>1</x:v>
      </x:c>
      <x:c r="E980" s="8" t="n">
        <x:v>900</x:v>
      </x:c>
      <x:c r="F980" s="23" t="n">
        <x:v>0.038</x:v>
      </x:c>
      <x:c r="G980" s="8" t="n">
        <x:v>34.199999999999996</x:v>
      </x:c>
      <x:c r="H980" s="8" t="n">
        <x:v>0</x:v>
      </x:c>
      <x:c r="I980" s="8" t="n">
        <x:v>0</x:v>
      </x:c>
      <x:c r="J980" s="8" t="n">
        <x:v>0</x:v>
      </x:c>
      <x:c r="K980" s="8" t="n">
        <x:v>0</x:v>
      </x:c>
      <x:c r="L980" s="8" t="n">
        <x:v>0</x:v>
      </x:c>
      <x:c r="M980" s="21" t="n">
        <x:f>E980+K980-I980-J980-L980</x:f>
        <x:v>900</x:v>
      </x:c>
    </x:row>
    <x:row r="981" ht="36" customHeight="1">
      <x:c r="A981" s="8" t="str">
        <x:v>Cash-first</x:v>
      </x:c>
      <x:c r="B981" s="8" t="str">
        <x:v>Severe synergies</x:v>
      </x:c>
      <x:c r="C981" s="8" t="str">
        <x:v>Atlas finance lease</x:v>
      </x:c>
      <x:c r="D981" s="22" t="n">
        <x:v>1</x:v>
      </x:c>
      <x:c r="E981" s="8" t="n">
        <x:v>80</x:v>
      </x:c>
      <x:c r="F981" s="23" t="n">
        <x:v>0.05</x:v>
      </x:c>
      <x:c r="G981" s="8" t="n">
        <x:v>4</x:v>
      </x:c>
      <x:c r="H981" s="8" t="n">
        <x:v>16</x:v>
      </x:c>
      <x:c r="I981" s="8" t="n">
        <x:v>16</x:v>
      </x:c>
      <x:c r="J981" s="8" t="n">
        <x:v>0</x:v>
      </x:c>
      <x:c r="K981" s="8" t="n">
        <x:v>0</x:v>
      </x:c>
      <x:c r="L981" s="8" t="n">
        <x:v>0</x:v>
      </x:c>
      <x:c r="M981" s="21" t="n">
        <x:f>E981+K981-I981-J981-L981</x:f>
        <x:v>64</x:v>
      </x:c>
    </x:row>
    <x:row r="982" ht="36" customHeight="1">
      <x:c r="A982" s="8" t="str">
        <x:v>Cash-first</x:v>
      </x:c>
      <x:c r="B982" s="8" t="str">
        <x:v>Severe synergies</x:v>
      </x:c>
      <x:c r="C982" s="8" t="str">
        <x:v>Beacon notes</x:v>
      </x:c>
      <x:c r="D982" s="22" t="n">
        <x:v>1</x:v>
      </x:c>
      <x:c r="E982" s="8" t="n">
        <x:v>350</x:v>
      </x:c>
      <x:c r="F982" s="23" t="n">
        <x:v>0.0475</x:v>
      </x:c>
      <x:c r="G982" s="8" t="n">
        <x:v>16.625</x:v>
      </x:c>
      <x:c r="H982" s="8" t="n">
        <x:v>0</x:v>
      </x:c>
      <x:c r="I982" s="8" t="n">
        <x:v>0</x:v>
      </x:c>
      <x:c r="J982" s="8" t="n">
        <x:v>0</x:v>
      </x:c>
      <x:c r="K982" s="8" t="n">
        <x:v>0</x:v>
      </x:c>
      <x:c r="L982" s="8" t="n">
        <x:v>0</x:v>
      </x:c>
      <x:c r="M982" s="21" t="n">
        <x:f>E982+K982-I982-J982-L982</x:f>
        <x:v>350</x:v>
      </x:c>
    </x:row>
    <x:row r="983" ht="36" customHeight="1">
      <x:c r="A983" s="8" t="str">
        <x:v>Cash-first</x:v>
      </x:c>
      <x:c r="B983" s="8" t="str">
        <x:v>Severe synergies</x:v>
      </x:c>
      <x:c r="C983" s="8" t="str">
        <x:v>Acquisition term</x:v>
      </x:c>
      <x:c r="D983" s="22" t="n">
        <x:v>1</x:v>
      </x:c>
      <x:c r="E983" s="8" t="n">
        <x:v>1340.1015228426397</x:v>
      </x:c>
      <x:c r="F983" s="23" t="n">
        <x:v>0.065</x:v>
      </x:c>
      <x:c r="G983" s="8" t="n">
        <x:v>87.10659898477158</x:v>
      </x:c>
      <x:c r="H983" s="8" t="n">
        <x:v>26.802030456852794</x:v>
      </x:c>
      <x:c r="I983" s="8" t="n">
        <x:v>26.802030456852794</x:v>
      </x:c>
      <x:c r="J983" s="8" t="n">
        <x:v>243.61348263333537</x:v>
      </x:c>
      <x:c r="K983" s="8" t="n">
        <x:v>0</x:v>
      </x:c>
      <x:c r="L983" s="8" t="n">
        <x:v>0</x:v>
      </x:c>
      <x:c r="M983" s="21" t="n">
        <x:f>E983+K983-I983-J983-L983</x:f>
        <x:v>1069.6860097524514</x:v>
      </x:c>
    </x:row>
    <x:row r="984" ht="36" customHeight="1">
      <x:c r="A984" s="8" t="str">
        <x:v>Cash-first</x:v>
      </x:c>
      <x:c r="B984" s="8" t="str">
        <x:v>Severe synergies</x:v>
      </x:c>
      <x:c r="C984" s="8" t="str">
        <x:v>Committed revolver</x:v>
      </x:c>
      <x:c r="D984" s="22" t="n">
        <x:v>1</x:v>
      </x:c>
      <x:c r="E984" s="8" t="n">
        <x:v>0</x:v>
      </x:c>
      <x:c r="F984" s="23" t="n">
        <x:v>0.0625</x:v>
      </x:c>
      <x:c r="G984" s="8" t="n">
        <x:v>0</x:v>
      </x:c>
      <x:c r="H984" s="8" t="n">
        <x:v>0</x:v>
      </x:c>
      <x:c r="I984" s="8" t="n">
        <x:v>0</x:v>
      </x:c>
      <x:c r="J984" s="8" t="n">
        <x:v>0</x:v>
      </x:c>
      <x:c r="K984" s="8" t="n">
        <x:v>0</x:v>
      </x:c>
      <x:c r="L984" s="8" t="n">
        <x:v>0</x:v>
      </x:c>
      <x:c r="M984" s="21" t="n">
        <x:f>E984+K984-I984-J984-L984</x:f>
        <x:v>0</x:v>
      </x:c>
    </x:row>
    <x:row r="985" ht="36" customHeight="1">
      <x:c r="A985" s="8" t="str">
        <x:v>Cash-first</x:v>
      </x:c>
      <x:c r="B985" s="8" t="str">
        <x:v>Severe synergies</x:v>
      </x:c>
      <x:c r="C985" s="8" t="str">
        <x:v>Atlas notes</x:v>
      </x:c>
      <x:c r="D985" s="22" t="n">
        <x:v>2</x:v>
      </x:c>
      <x:c r="E985" s="8" t="n">
        <x:v>900</x:v>
      </x:c>
      <x:c r="F985" s="23" t="n">
        <x:v>0.038</x:v>
      </x:c>
      <x:c r="G985" s="8" t="n">
        <x:v>34.199999999999996</x:v>
      </x:c>
      <x:c r="H985" s="8" t="n">
        <x:v>0</x:v>
      </x:c>
      <x:c r="I985" s="8" t="n">
        <x:v>0</x:v>
      </x:c>
      <x:c r="J985" s="8" t="n">
        <x:v>0</x:v>
      </x:c>
      <x:c r="K985" s="8" t="n">
        <x:v>0</x:v>
      </x:c>
      <x:c r="L985" s="8" t="n">
        <x:v>0</x:v>
      </x:c>
      <x:c r="M985" s="21" t="n">
        <x:f>E985+K985-I985-J985-L985</x:f>
        <x:v>900</x:v>
      </x:c>
    </x:row>
    <x:row r="986" ht="36" customHeight="1">
      <x:c r="A986" s="8" t="str">
        <x:v>Cash-first</x:v>
      </x:c>
      <x:c r="B986" s="8" t="str">
        <x:v>Severe synergies</x:v>
      </x:c>
      <x:c r="C986" s="8" t="str">
        <x:v>Atlas finance lease</x:v>
      </x:c>
      <x:c r="D986" s="22" t="n">
        <x:v>2</x:v>
      </x:c>
      <x:c r="E986" s="8" t="n">
        <x:v>64</x:v>
      </x:c>
      <x:c r="F986" s="23" t="n">
        <x:v>0.05</x:v>
      </x:c>
      <x:c r="G986" s="8" t="n">
        <x:v>3.2</x:v>
      </x:c>
      <x:c r="H986" s="8" t="n">
        <x:v>16</x:v>
      </x:c>
      <x:c r="I986" s="8" t="n">
        <x:v>16</x:v>
      </x:c>
      <x:c r="J986" s="8" t="n">
        <x:v>0</x:v>
      </x:c>
      <x:c r="K986" s="8" t="n">
        <x:v>0</x:v>
      </x:c>
      <x:c r="L986" s="8" t="n">
        <x:v>0</x:v>
      </x:c>
      <x:c r="M986" s="21" t="n">
        <x:f>E986+K986-I986-J986-L986</x:f>
        <x:v>48</x:v>
      </x:c>
    </x:row>
    <x:row r="987" ht="36" customHeight="1">
      <x:c r="A987" s="8" t="str">
        <x:v>Cash-first</x:v>
      </x:c>
      <x:c r="B987" s="8" t="str">
        <x:v>Severe synergies</x:v>
      </x:c>
      <x:c r="C987" s="8" t="str">
        <x:v>Beacon notes</x:v>
      </x:c>
      <x:c r="D987" s="22" t="n">
        <x:v>2</x:v>
      </x:c>
      <x:c r="E987" s="8" t="n">
        <x:v>350</x:v>
      </x:c>
      <x:c r="F987" s="23" t="n">
        <x:v>0.0475</x:v>
      </x:c>
      <x:c r="G987" s="8" t="n">
        <x:v>16.625</x:v>
      </x:c>
      <x:c r="H987" s="8" t="n">
        <x:v>0</x:v>
      </x:c>
      <x:c r="I987" s="8" t="n">
        <x:v>0</x:v>
      </x:c>
      <x:c r="J987" s="8" t="n">
        <x:v>0</x:v>
      </x:c>
      <x:c r="K987" s="8" t="n">
        <x:v>0</x:v>
      </x:c>
      <x:c r="L987" s="8" t="n">
        <x:v>0</x:v>
      </x:c>
      <x:c r="M987" s="21" t="n">
        <x:f>E987+K987-I987-J987-L987</x:f>
        <x:v>350</x:v>
      </x:c>
    </x:row>
    <x:row r="988" ht="36" customHeight="1">
      <x:c r="A988" s="8" t="str">
        <x:v>Cash-first</x:v>
      </x:c>
      <x:c r="B988" s="8" t="str">
        <x:v>Severe synergies</x:v>
      </x:c>
      <x:c r="C988" s="8" t="str">
        <x:v>Acquisition term</x:v>
      </x:c>
      <x:c r="D988" s="22" t="n">
        <x:v>2</x:v>
      </x:c>
      <x:c r="E988" s="8" t="n">
        <x:v>1069.6860097524514</x:v>
      </x:c>
      <x:c r="F988" s="23" t="n">
        <x:v>0.0625</x:v>
      </x:c>
      <x:c r="G988" s="8" t="n">
        <x:v>66.85537560952821</x:v>
      </x:c>
      <x:c r="H988" s="8" t="n">
        <x:v>26.802030456852794</x:v>
      </x:c>
      <x:c r="I988" s="8" t="n">
        <x:v>26.802030456852794</x:v>
      </x:c>
      <x:c r="J988" s="8" t="n">
        <x:v>304.5975054729854</x:v>
      </x:c>
      <x:c r="K988" s="8" t="n">
        <x:v>0</x:v>
      </x:c>
      <x:c r="L988" s="8" t="n">
        <x:v>0</x:v>
      </x:c>
      <x:c r="M988" s="21" t="n">
        <x:f>E988+K988-I988-J988-L988</x:f>
        <x:v>738.2864738226131</x:v>
      </x:c>
    </x:row>
    <x:row r="989" ht="36" customHeight="1">
      <x:c r="A989" s="8" t="str">
        <x:v>Cash-first</x:v>
      </x:c>
      <x:c r="B989" s="8" t="str">
        <x:v>Severe synergies</x:v>
      </x:c>
      <x:c r="C989" s="8" t="str">
        <x:v>Committed revolver</x:v>
      </x:c>
      <x:c r="D989" s="22" t="n">
        <x:v>2</x:v>
      </x:c>
      <x:c r="E989" s="8" t="n">
        <x:v>0</x:v>
      </x:c>
      <x:c r="F989" s="23" t="n">
        <x:v>0.06</x:v>
      </x:c>
      <x:c r="G989" s="8" t="n">
        <x:v>0</x:v>
      </x:c>
      <x:c r="H989" s="8" t="n">
        <x:v>0</x:v>
      </x:c>
      <x:c r="I989" s="8" t="n">
        <x:v>0</x:v>
      </x:c>
      <x:c r="J989" s="8" t="n">
        <x:v>0</x:v>
      </x:c>
      <x:c r="K989" s="8" t="n">
        <x:v>0</x:v>
      </x:c>
      <x:c r="L989" s="8" t="n">
        <x:v>0</x:v>
      </x:c>
      <x:c r="M989" s="21" t="n">
        <x:f>E989+K989-I989-J989-L989</x:f>
        <x:v>0</x:v>
      </x:c>
    </x:row>
    <x:row r="990" ht="36" customHeight="1">
      <x:c r="A990" s="8" t="str">
        <x:v>Cash-first</x:v>
      </x:c>
      <x:c r="B990" s="8" t="str">
        <x:v>Severe synergies</x:v>
      </x:c>
      <x:c r="C990" s="8" t="str">
        <x:v>Atlas notes</x:v>
      </x:c>
      <x:c r="D990" s="22" t="n">
        <x:v>3</x:v>
      </x:c>
      <x:c r="E990" s="8" t="n">
        <x:v>900</x:v>
      </x:c>
      <x:c r="F990" s="23" t="n">
        <x:v>0.038</x:v>
      </x:c>
      <x:c r="G990" s="8" t="n">
        <x:v>34.199999999999996</x:v>
      </x:c>
      <x:c r="H990" s="8" t="n">
        <x:v>0</x:v>
      </x:c>
      <x:c r="I990" s="8" t="n">
        <x:v>0</x:v>
      </x:c>
      <x:c r="J990" s="8" t="n">
        <x:v>0</x:v>
      </x:c>
      <x:c r="K990" s="8" t="n">
        <x:v>0</x:v>
      </x:c>
      <x:c r="L990" s="8" t="n">
        <x:v>0</x:v>
      </x:c>
      <x:c r="M990" s="21" t="n">
        <x:f>E990+K990-I990-J990-L990</x:f>
        <x:v>900</x:v>
      </x:c>
    </x:row>
    <x:row r="991" ht="36" customHeight="1">
      <x:c r="A991" s="8" t="str">
        <x:v>Cash-first</x:v>
      </x:c>
      <x:c r="B991" s="8" t="str">
        <x:v>Severe synergies</x:v>
      </x:c>
      <x:c r="C991" s="8" t="str">
        <x:v>Atlas finance lease</x:v>
      </x:c>
      <x:c r="D991" s="22" t="n">
        <x:v>3</x:v>
      </x:c>
      <x:c r="E991" s="8" t="n">
        <x:v>48</x:v>
      </x:c>
      <x:c r="F991" s="23" t="n">
        <x:v>0.05</x:v>
      </x:c>
      <x:c r="G991" s="8" t="n">
        <x:v>2.4000000000000004</x:v>
      </x:c>
      <x:c r="H991" s="8" t="n">
        <x:v>16</x:v>
      </x:c>
      <x:c r="I991" s="8" t="n">
        <x:v>16</x:v>
      </x:c>
      <x:c r="J991" s="8" t="n">
        <x:v>0</x:v>
      </x:c>
      <x:c r="K991" s="8" t="n">
        <x:v>0</x:v>
      </x:c>
      <x:c r="L991" s="8" t="n">
        <x:v>0</x:v>
      </x:c>
      <x:c r="M991" s="21" t="n">
        <x:f>E991+K991-I991-J991-L991</x:f>
        <x:v>32</x:v>
      </x:c>
    </x:row>
    <x:row r="992" ht="36" customHeight="1">
      <x:c r="A992" s="8" t="str">
        <x:v>Cash-first</x:v>
      </x:c>
      <x:c r="B992" s="8" t="str">
        <x:v>Severe synergies</x:v>
      </x:c>
      <x:c r="C992" s="8" t="str">
        <x:v>Beacon notes</x:v>
      </x:c>
      <x:c r="D992" s="22" t="n">
        <x:v>3</x:v>
      </x:c>
      <x:c r="E992" s="8" t="n">
        <x:v>350</x:v>
      </x:c>
      <x:c r="F992" s="23" t="n">
        <x:v>0.0475</x:v>
      </x:c>
      <x:c r="G992" s="8" t="n">
        <x:v>16.625</x:v>
      </x:c>
      <x:c r="H992" s="8" t="n">
        <x:v>350</x:v>
      </x:c>
      <x:c r="I992" s="8" t="n">
        <x:v>350</x:v>
      </x:c>
      <x:c r="J992" s="8" t="n">
        <x:v>0</x:v>
      </x:c>
      <x:c r="K992" s="8" t="n">
        <x:v>0</x:v>
      </x:c>
      <x:c r="L992" s="8" t="n">
        <x:v>0</x:v>
      </x:c>
      <x:c r="M992" s="21" t="n">
        <x:f>E992+K992-I992-J992-L992</x:f>
        <x:v>0</x:v>
      </x:c>
    </x:row>
    <x:row r="993" ht="36" customHeight="1">
      <x:c r="A993" s="8" t="str">
        <x:v>Cash-first</x:v>
      </x:c>
      <x:c r="B993" s="8" t="str">
        <x:v>Severe synergies</x:v>
      </x:c>
      <x:c r="C993" s="8" t="str">
        <x:v>Acquisition term</x:v>
      </x:c>
      <x:c r="D993" s="22" t="n">
        <x:v>3</x:v>
      </x:c>
      <x:c r="E993" s="8" t="n">
        <x:v>738.2864738226131</x:v>
      </x:c>
      <x:c r="F993" s="23" t="n">
        <x:v>0.060000000000000005</x:v>
      </x:c>
      <x:c r="G993" s="8" t="n">
        <x:v>44.29718842935679</x:v>
      </x:c>
      <x:c r="H993" s="8" t="n">
        <x:v>26.802030456852794</x:v>
      </x:c>
      <x:c r="I993" s="8" t="n">
        <x:v>26.802030456852794</x:v>
      </x:c>
      <x:c r="J993" s="8" t="n">
        <x:v>38.119121299039875</x:v>
      </x:c>
      <x:c r="K993" s="8" t="n">
        <x:v>0</x:v>
      </x:c>
      <x:c r="L993" s="8" t="n">
        <x:v>0</x:v>
      </x:c>
      <x:c r="M993" s="21" t="n">
        <x:f>E993+K993-I993-J993-L993</x:f>
        <x:v>673.3653220667204</x:v>
      </x:c>
    </x:row>
    <x:row r="994" ht="36" customHeight="1">
      <x:c r="A994" s="8" t="str">
        <x:v>Cash-first</x:v>
      </x:c>
      <x:c r="B994" s="8" t="str">
        <x:v>Severe synergies</x:v>
      </x:c>
      <x:c r="C994" s="8" t="str">
        <x:v>Committed revolver</x:v>
      </x:c>
      <x:c r="D994" s="22" t="n">
        <x:v>3</x:v>
      </x:c>
      <x:c r="E994" s="8" t="n">
        <x:v>0</x:v>
      </x:c>
      <x:c r="F994" s="23" t="n">
        <x:v>0.0575</x:v>
      </x:c>
      <x:c r="G994" s="8" t="n">
        <x:v>0</x:v>
      </x:c>
      <x:c r="H994" s="8" t="n">
        <x:v>0</x:v>
      </x:c>
      <x:c r="I994" s="8" t="n">
        <x:v>0</x:v>
      </x:c>
      <x:c r="J994" s="8" t="n">
        <x:v>0</x:v>
      </x:c>
      <x:c r="K994" s="8" t="n">
        <x:v>0</x:v>
      </x:c>
      <x:c r="L994" s="8" t="n">
        <x:v>0</x:v>
      </x:c>
      <x:c r="M994" s="21" t="n">
        <x:f>E994+K994-I994-J994-L994</x:f>
        <x:v>0</x:v>
      </x:c>
    </x:row>
    <x:row r="995" ht="36" customHeight="1">
      <x:c r="A995" s="8" t="str">
        <x:v>Cash-first</x:v>
      </x:c>
      <x:c r="B995" s="8" t="str">
        <x:v>Severe synergies</x:v>
      </x:c>
      <x:c r="C995" s="8" t="str">
        <x:v>Atlas notes</x:v>
      </x:c>
      <x:c r="D995" s="22" t="n">
        <x:v>4</x:v>
      </x:c>
      <x:c r="E995" s="8" t="n">
        <x:v>900</x:v>
      </x:c>
      <x:c r="F995" s="23" t="n">
        <x:v>0.038</x:v>
      </x:c>
      <x:c r="G995" s="8" t="n">
        <x:v>34.199999999999996</x:v>
      </x:c>
      <x:c r="H995" s="8" t="n">
        <x:v>900</x:v>
      </x:c>
      <x:c r="I995" s="8" t="n">
        <x:v>900</x:v>
      </x:c>
      <x:c r="J995" s="8" t="n">
        <x:v>0</x:v>
      </x:c>
      <x:c r="K995" s="8" t="n">
        <x:v>0</x:v>
      </x:c>
      <x:c r="L995" s="8" t="n">
        <x:v>0</x:v>
      </x:c>
      <x:c r="M995" s="21" t="n">
        <x:f>E995+K995-I995-J995-L995</x:f>
        <x:v>0</x:v>
      </x:c>
    </x:row>
    <x:row r="996" ht="36" customHeight="1">
      <x:c r="A996" s="8" t="str">
        <x:v>Cash-first</x:v>
      </x:c>
      <x:c r="B996" s="8" t="str">
        <x:v>Severe synergies</x:v>
      </x:c>
      <x:c r="C996" s="8" t="str">
        <x:v>Atlas finance lease</x:v>
      </x:c>
      <x:c r="D996" s="22" t="n">
        <x:v>4</x:v>
      </x:c>
      <x:c r="E996" s="8" t="n">
        <x:v>32</x:v>
      </x:c>
      <x:c r="F996" s="23" t="n">
        <x:v>0.05</x:v>
      </x:c>
      <x:c r="G996" s="8" t="n">
        <x:v>1.6</x:v>
      </x:c>
      <x:c r="H996" s="8" t="n">
        <x:v>16</x:v>
      </x:c>
      <x:c r="I996" s="8" t="n">
        <x:v>16</x:v>
      </x:c>
      <x:c r="J996" s="8" t="n">
        <x:v>0</x:v>
      </x:c>
      <x:c r="K996" s="8" t="n">
        <x:v>0</x:v>
      </x:c>
      <x:c r="L996" s="8" t="n">
        <x:v>0</x:v>
      </x:c>
      <x:c r="M996" s="21" t="n">
        <x:f>E996+K996-I996-J996-L996</x:f>
        <x:v>16</x:v>
      </x:c>
    </x:row>
    <x:row r="997" ht="36" customHeight="1">
      <x:c r="A997" s="8" t="str">
        <x:v>Cash-first</x:v>
      </x:c>
      <x:c r="B997" s="8" t="str">
        <x:v>Severe synergies</x:v>
      </x:c>
      <x:c r="C997" s="8" t="str">
        <x:v>Beacon notes</x:v>
      </x:c>
      <x:c r="D997" s="22" t="n">
        <x:v>4</x:v>
      </x:c>
      <x:c r="E997" s="8" t="n">
        <x:v>0</x:v>
      </x:c>
      <x:c r="F997" s="23" t="n">
        <x:v>0.0475</x:v>
      </x:c>
      <x:c r="G997" s="8" t="n">
        <x:v>0</x:v>
      </x:c>
      <x:c r="H997" s="8" t="n">
        <x:v>0</x:v>
      </x:c>
      <x:c r="I997" s="8" t="n">
        <x:v>0</x:v>
      </x:c>
      <x:c r="J997" s="8" t="n">
        <x:v>0</x:v>
      </x:c>
      <x:c r="K997" s="8" t="n">
        <x:v>0</x:v>
      </x:c>
      <x:c r="L997" s="8" t="n">
        <x:v>0</x:v>
      </x:c>
      <x:c r="M997" s="21" t="n">
        <x:f>E997+K997-I997-J997-L997</x:f>
        <x:v>0</x:v>
      </x:c>
    </x:row>
    <x:row r="998" ht="36" customHeight="1">
      <x:c r="A998" s="8" t="str">
        <x:v>Cash-first</x:v>
      </x:c>
      <x:c r="B998" s="8" t="str">
        <x:v>Severe synergies</x:v>
      </x:c>
      <x:c r="C998" s="8" t="str">
        <x:v>Acquisition term</x:v>
      </x:c>
      <x:c r="D998" s="22" t="n">
        <x:v>4</x:v>
      </x:c>
      <x:c r="E998" s="8" t="n">
        <x:v>673.3653220667204</x:v>
      </x:c>
      <x:c r="F998" s="23" t="n">
        <x:v>0.060000000000000005</x:v>
      </x:c>
      <x:c r="G998" s="8" t="n">
        <x:v>40.40191932400323</x:v>
      </x:c>
      <x:c r="H998" s="8" t="n">
        <x:v>26.802030456852794</x:v>
      </x:c>
      <x:c r="I998" s="8" t="n">
        <x:v>26.802030456852794</x:v>
      </x:c>
      <x:c r="J998" s="8" t="n">
        <x:v>0</x:v>
      </x:c>
      <x:c r="K998" s="8" t="n">
        <x:v>0</x:v>
      </x:c>
      <x:c r="L998" s="8" t="n">
        <x:v>0</x:v>
      </x:c>
      <x:c r="M998" s="21" t="n">
        <x:f>E998+K998-I998-J998-L998</x:f>
        <x:v>646.5632916098676</x:v>
      </x:c>
    </x:row>
    <x:row r="999" ht="36" customHeight="1">
      <x:c r="A999" s="8" t="str">
        <x:v>Cash-first</x:v>
      </x:c>
      <x:c r="B999" s="8" t="str">
        <x:v>Severe synergies</x:v>
      </x:c>
      <x:c r="C999" s="8" t="str">
        <x:v>Committed revolver</x:v>
      </x:c>
      <x:c r="D999" s="22" t="n">
        <x:v>4</x:v>
      </x:c>
      <x:c r="E999" s="8" t="n">
        <x:v>0</x:v>
      </x:c>
      <x:c r="F999" s="23" t="n">
        <x:v>0.0575</x:v>
      </x:c>
      <x:c r="G999" s="8" t="n">
        <x:v>0</x:v>
      </x:c>
      <x:c r="H999" s="8" t="n">
        <x:v>0</x:v>
      </x:c>
      <x:c r="I999" s="8" t="n">
        <x:v>0</x:v>
      </x:c>
      <x:c r="J999" s="8" t="n">
        <x:v>0</x:v>
      </x:c>
      <x:c r="K999" s="8" t="n">
        <x:v>449.05659744499826</x:v>
      </x:c>
      <x:c r="L999" s="8" t="n">
        <x:v>0</x:v>
      </x:c>
      <x:c r="M999" s="21" t="n">
        <x:f>E999+K999-I999-J999-L999</x:f>
        <x:v>449.05659744499826</x:v>
      </x:c>
    </x:row>
    <x:row r="1000" ht="36" customHeight="1">
      <x:c r="A1000" s="8" t="str">
        <x:v>Cash-first</x:v>
      </x:c>
      <x:c r="B1000" s="8" t="str">
        <x:v>Severe synergies</x:v>
      </x:c>
      <x:c r="C1000" s="8" t="str">
        <x:v>Atlas notes</x:v>
      </x:c>
      <x:c r="D1000" s="22" t="n">
        <x:v>5</x:v>
      </x:c>
      <x:c r="E1000" s="8" t="n">
        <x:v>0</x:v>
      </x:c>
      <x:c r="F1000" s="23" t="n">
        <x:v>0.038</x:v>
      </x:c>
      <x:c r="G1000" s="8" t="n">
        <x:v>0</x:v>
      </x:c>
      <x:c r="H1000" s="8" t="n">
        <x:v>0</x:v>
      </x:c>
      <x:c r="I1000" s="8" t="n">
        <x:v>0</x:v>
      </x:c>
      <x:c r="J1000" s="8" t="n">
        <x:v>0</x:v>
      </x:c>
      <x:c r="K1000" s="8" t="n">
        <x:v>0</x:v>
      </x:c>
      <x:c r="L1000" s="8" t="n">
        <x:v>0</x:v>
      </x:c>
      <x:c r="M1000" s="21" t="n">
        <x:f>E1000+K1000-I1000-J1000-L1000</x:f>
        <x:v>0</x:v>
      </x:c>
    </x:row>
    <x:row r="1001" ht="36" customHeight="1">
      <x:c r="A1001" s="8" t="str">
        <x:v>Cash-first</x:v>
      </x:c>
      <x:c r="B1001" s="8" t="str">
        <x:v>Severe synergies</x:v>
      </x:c>
      <x:c r="C1001" s="8" t="str">
        <x:v>Atlas finance lease</x:v>
      </x:c>
      <x:c r="D1001" s="22" t="n">
        <x:v>5</x:v>
      </x:c>
      <x:c r="E1001" s="8" t="n">
        <x:v>16</x:v>
      </x:c>
      <x:c r="F1001" s="23" t="n">
        <x:v>0.05</x:v>
      </x:c>
      <x:c r="G1001" s="8" t="n">
        <x:v>0.8</x:v>
      </x:c>
      <x:c r="H1001" s="8" t="n">
        <x:v>16</x:v>
      </x:c>
      <x:c r="I1001" s="8" t="n">
        <x:v>16</x:v>
      </x:c>
      <x:c r="J1001" s="8" t="n">
        <x:v>0</x:v>
      </x:c>
      <x:c r="K1001" s="8" t="n">
        <x:v>0</x:v>
      </x:c>
      <x:c r="L1001" s="8" t="n">
        <x:v>0</x:v>
      </x:c>
      <x:c r="M1001" s="21" t="n">
        <x:f>E1001+K1001-I1001-J1001-L1001</x:f>
        <x:v>0</x:v>
      </x:c>
    </x:row>
    <x:row r="1002" ht="36" customHeight="1">
      <x:c r="A1002" s="8" t="str">
        <x:v>Cash-first</x:v>
      </x:c>
      <x:c r="B1002" s="8" t="str">
        <x:v>Severe synergies</x:v>
      </x:c>
      <x:c r="C1002" s="8" t="str">
        <x:v>Beacon notes</x:v>
      </x:c>
      <x:c r="D1002" s="22" t="n">
        <x:v>5</x:v>
      </x:c>
      <x:c r="E1002" s="8" t="n">
        <x:v>0</x:v>
      </x:c>
      <x:c r="F1002" s="23" t="n">
        <x:v>0.0475</x:v>
      </x:c>
      <x:c r="G1002" s="8" t="n">
        <x:v>0</x:v>
      </x:c>
      <x:c r="H1002" s="8" t="n">
        <x:v>0</x:v>
      </x:c>
      <x:c r="I1002" s="8" t="n">
        <x:v>0</x:v>
      </x:c>
      <x:c r="J1002" s="8" t="n">
        <x:v>0</x:v>
      </x:c>
      <x:c r="K1002" s="8" t="n">
        <x:v>0</x:v>
      </x:c>
      <x:c r="L1002" s="8" t="n">
        <x:v>0</x:v>
      </x:c>
      <x:c r="M1002" s="21" t="n">
        <x:f>E1002+K1002-I1002-J1002-L1002</x:f>
        <x:v>0</x:v>
      </x:c>
    </x:row>
    <x:row r="1003" ht="36" customHeight="1">
      <x:c r="A1003" s="8" t="str">
        <x:v>Cash-first</x:v>
      </x:c>
      <x:c r="B1003" s="8" t="str">
        <x:v>Severe synergies</x:v>
      </x:c>
      <x:c r="C1003" s="8" t="str">
        <x:v>Acquisition term</x:v>
      </x:c>
      <x:c r="D1003" s="22" t="n">
        <x:v>5</x:v>
      </x:c>
      <x:c r="E1003" s="8" t="n">
        <x:v>646.5632916098676</x:v>
      </x:c>
      <x:c r="F1003" s="23" t="n">
        <x:v>0.060000000000000005</x:v>
      </x:c>
      <x:c r="G1003" s="8" t="n">
        <x:v>38.79379749659206</x:v>
      </x:c>
      <x:c r="H1003" s="8" t="n">
        <x:v>646.5632916098676</x:v>
      </x:c>
      <x:c r="I1003" s="8" t="n">
        <x:v>646.5632916098676</x:v>
      </x:c>
      <x:c r="J1003" s="8" t="n">
        <x:v>0</x:v>
      </x:c>
      <x:c r="K1003" s="8" t="n">
        <x:v>0</x:v>
      </x:c>
      <x:c r="L1003" s="8" t="n">
        <x:v>0</x:v>
      </x:c>
      <x:c r="M1003" s="21" t="n">
        <x:f>E1003+K1003-I1003-J1003-L1003</x:f>
        <x:v>0</x:v>
      </x:c>
    </x:row>
    <x:row r="1004" ht="36" customHeight="1">
      <x:c r="A1004" s="8" t="str">
        <x:v>Cash-first</x:v>
      </x:c>
      <x:c r="B1004" s="8" t="str">
        <x:v>Severe synergies</x:v>
      </x:c>
      <x:c r="C1004" s="8" t="str">
        <x:v>Committed revolver</x:v>
      </x:c>
      <x:c r="D1004" s="22" t="n">
        <x:v>5</x:v>
      </x:c>
      <x:c r="E1004" s="8" t="n">
        <x:v>449.05659744499826</x:v>
      </x:c>
      <x:c r="F1004" s="23" t="n">
        <x:v>0.0575</x:v>
      </x:c>
      <x:c r="G1004" s="8" t="n">
        <x:v>25.820754353087402</x:v>
      </x:c>
      <x:c r="H1004" s="8" t="n">
        <x:v>449.05659744499826</x:v>
      </x:c>
      <x:c r="I1004" s="8" t="n">
        <x:v>449.05659744499826</x:v>
      </x:c>
      <x:c r="J1004" s="8" t="n">
        <x:v>0</x:v>
      </x:c>
      <x:c r="K1004" s="8" t="n">
        <x:v>0</x:v>
      </x:c>
      <x:c r="L1004" s="8" t="n">
        <x:v>0</x:v>
      </x:c>
      <x:c r="M1004" s="21" t="n">
        <x:f>E1004+K1004-I1004-J1004-L1004</x:f>
        <x:v>0</x:v>
      </x:c>
    </x:row>
    <x:row r="1005" ht="36" customHeight="1">
      <x:c r="A1005" s="8" t="str">
        <x:v>Liquidity-first</x:v>
      </x:c>
      <x:c r="B1005" s="8" t="str">
        <x:v>Severe synergies</x:v>
      </x:c>
      <x:c r="C1005" s="8" t="str">
        <x:v>Atlas notes</x:v>
      </x:c>
      <x:c r="D1005" s="22" t="n">
        <x:v>1</x:v>
      </x:c>
      <x:c r="E1005" s="8" t="n">
        <x:v>900</x:v>
      </x:c>
      <x:c r="F1005" s="23" t="n">
        <x:v>0.038</x:v>
      </x:c>
      <x:c r="G1005" s="8" t="n">
        <x:v>34.199999999999996</x:v>
      </x:c>
      <x:c r="H1005" s="8" t="n">
        <x:v>0</x:v>
      </x:c>
      <x:c r="I1005" s="8" t="n">
        <x:v>0</x:v>
      </x:c>
      <x:c r="J1005" s="8" t="n">
        <x:v>0</x:v>
      </x:c>
      <x:c r="K1005" s="8" t="n">
        <x:v>0</x:v>
      </x:c>
      <x:c r="L1005" s="8" t="n">
        <x:v>0</x:v>
      </x:c>
      <x:c r="M1005" s="21" t="n">
        <x:f>E1005+K1005-I1005-J1005-L1005</x:f>
        <x:v>900</x:v>
      </x:c>
    </x:row>
    <x:row r="1006" ht="36" customHeight="1">
      <x:c r="A1006" s="8" t="str">
        <x:v>Liquidity-first</x:v>
      </x:c>
      <x:c r="B1006" s="8" t="str">
        <x:v>Severe synergies</x:v>
      </x:c>
      <x:c r="C1006" s="8" t="str">
        <x:v>Atlas finance lease</x:v>
      </x:c>
      <x:c r="D1006" s="22" t="n">
        <x:v>1</x:v>
      </x:c>
      <x:c r="E1006" s="8" t="n">
        <x:v>80</x:v>
      </x:c>
      <x:c r="F1006" s="23" t="n">
        <x:v>0.05</x:v>
      </x:c>
      <x:c r="G1006" s="8" t="n">
        <x:v>4</x:v>
      </x:c>
      <x:c r="H1006" s="8" t="n">
        <x:v>16</x:v>
      </x:c>
      <x:c r="I1006" s="8" t="n">
        <x:v>16</x:v>
      </x:c>
      <x:c r="J1006" s="8" t="n">
        <x:v>0</x:v>
      </x:c>
      <x:c r="K1006" s="8" t="n">
        <x:v>0</x:v>
      </x:c>
      <x:c r="L1006" s="8" t="n">
        <x:v>0</x:v>
      </x:c>
      <x:c r="M1006" s="21" t="n">
        <x:f>E1006+K1006-I1006-J1006-L1006</x:f>
        <x:v>64</x:v>
      </x:c>
    </x:row>
    <x:row r="1007" ht="36" customHeight="1">
      <x:c r="A1007" s="8" t="str">
        <x:v>Liquidity-first</x:v>
      </x:c>
      <x:c r="B1007" s="8" t="str">
        <x:v>Severe synergies</x:v>
      </x:c>
      <x:c r="C1007" s="8" t="str">
        <x:v>Beacon notes</x:v>
      </x:c>
      <x:c r="D1007" s="22" t="n">
        <x:v>1</x:v>
      </x:c>
      <x:c r="E1007" s="8" t="n">
        <x:v>350</x:v>
      </x:c>
      <x:c r="F1007" s="23" t="n">
        <x:v>0.0475</x:v>
      </x:c>
      <x:c r="G1007" s="8" t="n">
        <x:v>16.625</x:v>
      </x:c>
      <x:c r="H1007" s="8" t="n">
        <x:v>0</x:v>
      </x:c>
      <x:c r="I1007" s="8" t="n">
        <x:v>0</x:v>
      </x:c>
      <x:c r="J1007" s="8" t="n">
        <x:v>0</x:v>
      </x:c>
      <x:c r="K1007" s="8" t="n">
        <x:v>0</x:v>
      </x:c>
      <x:c r="L1007" s="8" t="n">
        <x:v>0</x:v>
      </x:c>
      <x:c r="M1007" s="21" t="n">
        <x:f>E1007+K1007-I1007-J1007-L1007</x:f>
        <x:v>350</x:v>
      </x:c>
    </x:row>
    <x:row r="1008" ht="36" customHeight="1">
      <x:c r="A1008" s="8" t="str">
        <x:v>Liquidity-first</x:v>
      </x:c>
      <x:c r="B1008" s="8" t="str">
        <x:v>Severe synergies</x:v>
      </x:c>
      <x:c r="C1008" s="8" t="str">
        <x:v>Acquisition term</x:v>
      </x:c>
      <x:c r="D1008" s="22" t="n">
        <x:v>1</x:v>
      </x:c>
      <x:c r="E1008" s="8" t="n">
        <x:v>2223.3502538071066</x:v>
      </x:c>
      <x:c r="F1008" s="23" t="n">
        <x:v>0.065</x:v>
      </x:c>
      <x:c r="G1008" s="8" t="n">
        <x:v>144.51776649746193</x:v>
      </x:c>
      <x:c r="H1008" s="8" t="n">
        <x:v>44.46700507614213</x:v>
      </x:c>
      <x:c r="I1008" s="8" t="n">
        <x:v>44.46700507614213</x:v>
      </x:c>
      <x:c r="J1008" s="8" t="n">
        <x:v>1052.8901323795283</x:v>
      </x:c>
      <x:c r="K1008" s="8" t="n">
        <x:v>0</x:v>
      </x:c>
      <x:c r="L1008" s="8" t="n">
        <x:v>0</x:v>
      </x:c>
      <x:c r="M1008" s="21" t="n">
        <x:f>E1008+K1008-I1008-J1008-L1008</x:f>
        <x:v>1125.9931163514364</x:v>
      </x:c>
    </x:row>
    <x:row r="1009" ht="36" customHeight="1">
      <x:c r="A1009" s="8" t="str">
        <x:v>Liquidity-first</x:v>
      </x:c>
      <x:c r="B1009" s="8" t="str">
        <x:v>Severe synergies</x:v>
      </x:c>
      <x:c r="C1009" s="8" t="str">
        <x:v>Committed revolver</x:v>
      </x:c>
      <x:c r="D1009" s="22" t="n">
        <x:v>1</x:v>
      </x:c>
      <x:c r="E1009" s="8" t="n">
        <x:v>0</x:v>
      </x:c>
      <x:c r="F1009" s="23" t="n">
        <x:v>0.0625</x:v>
      </x:c>
      <x:c r="G1009" s="8" t="n">
        <x:v>0</x:v>
      </x:c>
      <x:c r="H1009" s="8" t="n">
        <x:v>0</x:v>
      </x:c>
      <x:c r="I1009" s="8" t="n">
        <x:v>0</x:v>
      </x:c>
      <x:c r="J1009" s="8" t="n">
        <x:v>0</x:v>
      </x:c>
      <x:c r="K1009" s="8" t="n">
        <x:v>0</x:v>
      </x:c>
      <x:c r="L1009" s="8" t="n">
        <x:v>0</x:v>
      </x:c>
      <x:c r="M1009" s="21" t="n">
        <x:f>E1009+K1009-I1009-J1009-L1009</x:f>
        <x:v>0</x:v>
      </x:c>
    </x:row>
    <x:row r="1010" ht="36" customHeight="1">
      <x:c r="A1010" s="8" t="str">
        <x:v>Liquidity-first</x:v>
      </x:c>
      <x:c r="B1010" s="8" t="str">
        <x:v>Severe synergies</x:v>
      </x:c>
      <x:c r="C1010" s="8" t="str">
        <x:v>Atlas notes</x:v>
      </x:c>
      <x:c r="D1010" s="22" t="n">
        <x:v>2</x:v>
      </x:c>
      <x:c r="E1010" s="8" t="n">
        <x:v>900</x:v>
      </x:c>
      <x:c r="F1010" s="23" t="n">
        <x:v>0.038</x:v>
      </x:c>
      <x:c r="G1010" s="8" t="n">
        <x:v>34.199999999999996</x:v>
      </x:c>
      <x:c r="H1010" s="8" t="n">
        <x:v>0</x:v>
      </x:c>
      <x:c r="I1010" s="8" t="n">
        <x:v>0</x:v>
      </x:c>
      <x:c r="J1010" s="8" t="n">
        <x:v>0</x:v>
      </x:c>
      <x:c r="K1010" s="8" t="n">
        <x:v>0</x:v>
      </x:c>
      <x:c r="L1010" s="8" t="n">
        <x:v>0</x:v>
      </x:c>
      <x:c r="M1010" s="21" t="n">
        <x:f>E1010+K1010-I1010-J1010-L1010</x:f>
        <x:v>900</x:v>
      </x:c>
    </x:row>
    <x:row r="1011" ht="36" customHeight="1">
      <x:c r="A1011" s="8" t="str">
        <x:v>Liquidity-first</x:v>
      </x:c>
      <x:c r="B1011" s="8" t="str">
        <x:v>Severe synergies</x:v>
      </x:c>
      <x:c r="C1011" s="8" t="str">
        <x:v>Atlas finance lease</x:v>
      </x:c>
      <x:c r="D1011" s="22" t="n">
        <x:v>2</x:v>
      </x:c>
      <x:c r="E1011" s="8" t="n">
        <x:v>64</x:v>
      </x:c>
      <x:c r="F1011" s="23" t="n">
        <x:v>0.05</x:v>
      </x:c>
      <x:c r="G1011" s="8" t="n">
        <x:v>3.2</x:v>
      </x:c>
      <x:c r="H1011" s="8" t="n">
        <x:v>16</x:v>
      </x:c>
      <x:c r="I1011" s="8" t="n">
        <x:v>16</x:v>
      </x:c>
      <x:c r="J1011" s="8" t="n">
        <x:v>0</x:v>
      </x:c>
      <x:c r="K1011" s="8" t="n">
        <x:v>0</x:v>
      </x:c>
      <x:c r="L1011" s="8" t="n">
        <x:v>0</x:v>
      </x:c>
      <x:c r="M1011" s="21" t="n">
        <x:f>E1011+K1011-I1011-J1011-L1011</x:f>
        <x:v>48</x:v>
      </x:c>
    </x:row>
    <x:row r="1012" ht="36" customHeight="1">
      <x:c r="A1012" s="8" t="str">
        <x:v>Liquidity-first</x:v>
      </x:c>
      <x:c r="B1012" s="8" t="str">
        <x:v>Severe synergies</x:v>
      </x:c>
      <x:c r="C1012" s="8" t="str">
        <x:v>Beacon notes</x:v>
      </x:c>
      <x:c r="D1012" s="22" t="n">
        <x:v>2</x:v>
      </x:c>
      <x:c r="E1012" s="8" t="n">
        <x:v>350</x:v>
      </x:c>
      <x:c r="F1012" s="23" t="n">
        <x:v>0.0475</x:v>
      </x:c>
      <x:c r="G1012" s="8" t="n">
        <x:v>16.625</x:v>
      </x:c>
      <x:c r="H1012" s="8" t="n">
        <x:v>0</x:v>
      </x:c>
      <x:c r="I1012" s="8" t="n">
        <x:v>0</x:v>
      </x:c>
      <x:c r="J1012" s="8" t="n">
        <x:v>0</x:v>
      </x:c>
      <x:c r="K1012" s="8" t="n">
        <x:v>0</x:v>
      </x:c>
      <x:c r="L1012" s="8" t="n">
        <x:v>0</x:v>
      </x:c>
      <x:c r="M1012" s="21" t="n">
        <x:f>E1012+K1012-I1012-J1012-L1012</x:f>
        <x:v>350</x:v>
      </x:c>
    </x:row>
    <x:row r="1013" ht="36" customHeight="1">
      <x:c r="A1013" s="8" t="str">
        <x:v>Liquidity-first</x:v>
      </x:c>
      <x:c r="B1013" s="8" t="str">
        <x:v>Severe synergies</x:v>
      </x:c>
      <x:c r="C1013" s="8" t="str">
        <x:v>Acquisition term</x:v>
      </x:c>
      <x:c r="D1013" s="22" t="n">
        <x:v>2</x:v>
      </x:c>
      <x:c r="E1013" s="8" t="n">
        <x:v>1125.9931163514364</x:v>
      </x:c>
      <x:c r="F1013" s="23" t="n">
        <x:v>0.0625</x:v>
      </x:c>
      <x:c r="G1013" s="8" t="n">
        <x:v>70.37456977196477</x:v>
      </x:c>
      <x:c r="H1013" s="8" t="n">
        <x:v>44.46700507614213</x:v>
      </x:c>
      <x:c r="I1013" s="8" t="n">
        <x:v>44.46700507614213</x:v>
      </x:c>
      <x:c r="J1013" s="8" t="n">
        <x:v>284.29313523186875</x:v>
      </x:c>
      <x:c r="K1013" s="8" t="n">
        <x:v>0</x:v>
      </x:c>
      <x:c r="L1013" s="8" t="n">
        <x:v>0</x:v>
      </x:c>
      <x:c r="M1013" s="21" t="n">
        <x:f>E1013+K1013-I1013-J1013-L1013</x:f>
        <x:v>797.2329760434254</x:v>
      </x:c>
    </x:row>
    <x:row r="1014" ht="36" customHeight="1">
      <x:c r="A1014" s="8" t="str">
        <x:v>Liquidity-first</x:v>
      </x:c>
      <x:c r="B1014" s="8" t="str">
        <x:v>Severe synergies</x:v>
      </x:c>
      <x:c r="C1014" s="8" t="str">
        <x:v>Committed revolver</x:v>
      </x:c>
      <x:c r="D1014" s="22" t="n">
        <x:v>2</x:v>
      </x:c>
      <x:c r="E1014" s="8" t="n">
        <x:v>0</x:v>
      </x:c>
      <x:c r="F1014" s="23" t="n">
        <x:v>0.06</x:v>
      </x:c>
      <x:c r="G1014" s="8" t="n">
        <x:v>0</x:v>
      </x:c>
      <x:c r="H1014" s="8" t="n">
        <x:v>0</x:v>
      </x:c>
      <x:c r="I1014" s="8" t="n">
        <x:v>0</x:v>
      </x:c>
      <x:c r="J1014" s="8" t="n">
        <x:v>0</x:v>
      </x:c>
      <x:c r="K1014" s="8" t="n">
        <x:v>0</x:v>
      </x:c>
      <x:c r="L1014" s="8" t="n">
        <x:v>0</x:v>
      </x:c>
      <x:c r="M1014" s="21" t="n">
        <x:f>E1014+K1014-I1014-J1014-L1014</x:f>
        <x:v>0</x:v>
      </x:c>
    </x:row>
    <x:row r="1015" ht="36" customHeight="1">
      <x:c r="A1015" s="8" t="str">
        <x:v>Liquidity-first</x:v>
      </x:c>
      <x:c r="B1015" s="8" t="str">
        <x:v>Severe synergies</x:v>
      </x:c>
      <x:c r="C1015" s="8" t="str">
        <x:v>Atlas notes</x:v>
      </x:c>
      <x:c r="D1015" s="22" t="n">
        <x:v>3</x:v>
      </x:c>
      <x:c r="E1015" s="8" t="n">
        <x:v>900</x:v>
      </x:c>
      <x:c r="F1015" s="23" t="n">
        <x:v>0.038</x:v>
      </x:c>
      <x:c r="G1015" s="8" t="n">
        <x:v>34.199999999999996</x:v>
      </x:c>
      <x:c r="H1015" s="8" t="n">
        <x:v>0</x:v>
      </x:c>
      <x:c r="I1015" s="8" t="n">
        <x:v>0</x:v>
      </x:c>
      <x:c r="J1015" s="8" t="n">
        <x:v>0</x:v>
      </x:c>
      <x:c r="K1015" s="8" t="n">
        <x:v>0</x:v>
      </x:c>
      <x:c r="L1015" s="8" t="n">
        <x:v>0</x:v>
      </x:c>
      <x:c r="M1015" s="21" t="n">
        <x:f>E1015+K1015-I1015-J1015-L1015</x:f>
        <x:v>900</x:v>
      </x:c>
    </x:row>
    <x:row r="1016" ht="36" customHeight="1">
      <x:c r="A1016" s="8" t="str">
        <x:v>Liquidity-first</x:v>
      </x:c>
      <x:c r="B1016" s="8" t="str">
        <x:v>Severe synergies</x:v>
      </x:c>
      <x:c r="C1016" s="8" t="str">
        <x:v>Atlas finance lease</x:v>
      </x:c>
      <x:c r="D1016" s="22" t="n">
        <x:v>3</x:v>
      </x:c>
      <x:c r="E1016" s="8" t="n">
        <x:v>48</x:v>
      </x:c>
      <x:c r="F1016" s="23" t="n">
        <x:v>0.05</x:v>
      </x:c>
      <x:c r="G1016" s="8" t="n">
        <x:v>2.4000000000000004</x:v>
      </x:c>
      <x:c r="H1016" s="8" t="n">
        <x:v>16</x:v>
      </x:c>
      <x:c r="I1016" s="8" t="n">
        <x:v>16</x:v>
      </x:c>
      <x:c r="J1016" s="8" t="n">
        <x:v>0</x:v>
      </x:c>
      <x:c r="K1016" s="8" t="n">
        <x:v>0</x:v>
      </x:c>
      <x:c r="L1016" s="8" t="n">
        <x:v>0</x:v>
      </x:c>
      <x:c r="M1016" s="21" t="n">
        <x:f>E1016+K1016-I1016-J1016-L1016</x:f>
        <x:v>32</x:v>
      </x:c>
    </x:row>
    <x:row r="1017" ht="36" customHeight="1">
      <x:c r="A1017" s="8" t="str">
        <x:v>Liquidity-first</x:v>
      </x:c>
      <x:c r="B1017" s="8" t="str">
        <x:v>Severe synergies</x:v>
      </x:c>
      <x:c r="C1017" s="8" t="str">
        <x:v>Beacon notes</x:v>
      </x:c>
      <x:c r="D1017" s="22" t="n">
        <x:v>3</x:v>
      </x:c>
      <x:c r="E1017" s="8" t="n">
        <x:v>350</x:v>
      </x:c>
      <x:c r="F1017" s="23" t="n">
        <x:v>0.0475</x:v>
      </x:c>
      <x:c r="G1017" s="8" t="n">
        <x:v>16.625</x:v>
      </x:c>
      <x:c r="H1017" s="8" t="n">
        <x:v>350</x:v>
      </x:c>
      <x:c r="I1017" s="8" t="n">
        <x:v>350</x:v>
      </x:c>
      <x:c r="J1017" s="8" t="n">
        <x:v>0</x:v>
      </x:c>
      <x:c r="K1017" s="8" t="n">
        <x:v>0</x:v>
      </x:c>
      <x:c r="L1017" s="8" t="n">
        <x:v>0</x:v>
      </x:c>
      <x:c r="M1017" s="21" t="n">
        <x:f>E1017+K1017-I1017-J1017-L1017</x:f>
        <x:v>0</x:v>
      </x:c>
    </x:row>
    <x:row r="1018" ht="36" customHeight="1">
      <x:c r="A1018" s="8" t="str">
        <x:v>Liquidity-first</x:v>
      </x:c>
      <x:c r="B1018" s="8" t="str">
        <x:v>Severe synergies</x:v>
      </x:c>
      <x:c r="C1018" s="8" t="str">
        <x:v>Acquisition term</x:v>
      </x:c>
      <x:c r="D1018" s="22" t="n">
        <x:v>3</x:v>
      </x:c>
      <x:c r="E1018" s="8" t="n">
        <x:v>797.2329760434254</x:v>
      </x:c>
      <x:c r="F1018" s="23" t="n">
        <x:v>0.060000000000000005</x:v>
      </x:c>
      <x:c r="G1018" s="8" t="n">
        <x:v>47.83397856260553</x:v>
      </x:c>
      <x:c r="H1018" s="8" t="n">
        <x:v>44.46700507614213</x:v>
      </x:c>
      <x:c r="I1018" s="8" t="n">
        <x:v>44.46700507614213</x:v>
      </x:c>
      <x:c r="J1018" s="8" t="n">
        <x:v>17.801554079813968</x:v>
      </x:c>
      <x:c r="K1018" s="8" t="n">
        <x:v>0</x:v>
      </x:c>
      <x:c r="L1018" s="8" t="n">
        <x:v>0</x:v>
      </x:c>
      <x:c r="M1018" s="21" t="n">
        <x:f>E1018+K1018-I1018-J1018-L1018</x:f>
        <x:v>734.9644168874693</x:v>
      </x:c>
    </x:row>
    <x:row r="1019" ht="36" customHeight="1">
      <x:c r="A1019" s="8" t="str">
        <x:v>Liquidity-first</x:v>
      </x:c>
      <x:c r="B1019" s="8" t="str">
        <x:v>Severe synergies</x:v>
      </x:c>
      <x:c r="C1019" s="8" t="str">
        <x:v>Committed revolver</x:v>
      </x:c>
      <x:c r="D1019" s="22" t="n">
        <x:v>3</x:v>
      </x:c>
      <x:c r="E1019" s="8" t="n">
        <x:v>0</x:v>
      </x:c>
      <x:c r="F1019" s="23" t="n">
        <x:v>0.0575</x:v>
      </x:c>
      <x:c r="G1019" s="8" t="n">
        <x:v>0</x:v>
      </x:c>
      <x:c r="H1019" s="8" t="n">
        <x:v>0</x:v>
      </x:c>
      <x:c r="I1019" s="8" t="n">
        <x:v>0</x:v>
      </x:c>
      <x:c r="J1019" s="8" t="n">
        <x:v>0</x:v>
      </x:c>
      <x:c r="K1019" s="8" t="n">
        <x:v>0</x:v>
      </x:c>
      <x:c r="L1019" s="8" t="n">
        <x:v>0</x:v>
      </x:c>
      <x:c r="M1019" s="21" t="n">
        <x:f>E1019+K1019-I1019-J1019-L1019</x:f>
        <x:v>0</x:v>
      </x:c>
    </x:row>
    <x:row r="1020" ht="36" customHeight="1">
      <x:c r="A1020" s="8" t="str">
        <x:v>Liquidity-first</x:v>
      </x:c>
      <x:c r="B1020" s="8" t="str">
        <x:v>Severe synergies</x:v>
      </x:c>
      <x:c r="C1020" s="8" t="str">
        <x:v>Atlas notes</x:v>
      </x:c>
      <x:c r="D1020" s="22" t="n">
        <x:v>4</x:v>
      </x:c>
      <x:c r="E1020" s="8" t="n">
        <x:v>900</x:v>
      </x:c>
      <x:c r="F1020" s="23" t="n">
        <x:v>0.038</x:v>
      </x:c>
      <x:c r="G1020" s="8" t="n">
        <x:v>34.199999999999996</x:v>
      </x:c>
      <x:c r="H1020" s="8" t="n">
        <x:v>900</x:v>
      </x:c>
      <x:c r="I1020" s="8" t="n">
        <x:v>900</x:v>
      </x:c>
      <x:c r="J1020" s="8" t="n">
        <x:v>0</x:v>
      </x:c>
      <x:c r="K1020" s="8" t="n">
        <x:v>0</x:v>
      </x:c>
      <x:c r="L1020" s="8" t="n">
        <x:v>0</x:v>
      </x:c>
      <x:c r="M1020" s="21" t="n">
        <x:f>E1020+K1020-I1020-J1020-L1020</x:f>
        <x:v>0</x:v>
      </x:c>
    </x:row>
    <x:row r="1021" ht="36" customHeight="1">
      <x:c r="A1021" s="8" t="str">
        <x:v>Liquidity-first</x:v>
      </x:c>
      <x:c r="B1021" s="8" t="str">
        <x:v>Severe synergies</x:v>
      </x:c>
      <x:c r="C1021" s="8" t="str">
        <x:v>Atlas finance lease</x:v>
      </x:c>
      <x:c r="D1021" s="22" t="n">
        <x:v>4</x:v>
      </x:c>
      <x:c r="E1021" s="8" t="n">
        <x:v>32</x:v>
      </x:c>
      <x:c r="F1021" s="23" t="n">
        <x:v>0.05</x:v>
      </x:c>
      <x:c r="G1021" s="8" t="n">
        <x:v>1.6</x:v>
      </x:c>
      <x:c r="H1021" s="8" t="n">
        <x:v>16</x:v>
      </x:c>
      <x:c r="I1021" s="8" t="n">
        <x:v>16</x:v>
      </x:c>
      <x:c r="J1021" s="8" t="n">
        <x:v>0</x:v>
      </x:c>
      <x:c r="K1021" s="8" t="n">
        <x:v>0</x:v>
      </x:c>
      <x:c r="L1021" s="8" t="n">
        <x:v>0</x:v>
      </x:c>
      <x:c r="M1021" s="21" t="n">
        <x:f>E1021+K1021-I1021-J1021-L1021</x:f>
        <x:v>16</x:v>
      </x:c>
    </x:row>
    <x:row r="1022" ht="36" customHeight="1">
      <x:c r="A1022" s="8" t="str">
        <x:v>Liquidity-first</x:v>
      </x:c>
      <x:c r="B1022" s="8" t="str">
        <x:v>Severe synergies</x:v>
      </x:c>
      <x:c r="C1022" s="8" t="str">
        <x:v>Beacon notes</x:v>
      </x:c>
      <x:c r="D1022" s="22" t="n">
        <x:v>4</x:v>
      </x:c>
      <x:c r="E1022" s="8" t="n">
        <x:v>0</x:v>
      </x:c>
      <x:c r="F1022" s="23" t="n">
        <x:v>0.0475</x:v>
      </x:c>
      <x:c r="G1022" s="8" t="n">
        <x:v>0</x:v>
      </x:c>
      <x:c r="H1022" s="8" t="n">
        <x:v>0</x:v>
      </x:c>
      <x:c r="I1022" s="8" t="n">
        <x:v>0</x:v>
      </x:c>
      <x:c r="J1022" s="8" t="n">
        <x:v>0</x:v>
      </x:c>
      <x:c r="K1022" s="8" t="n">
        <x:v>0</x:v>
      </x:c>
      <x:c r="L1022" s="8" t="n">
        <x:v>0</x:v>
      </x:c>
      <x:c r="M1022" s="21" t="n">
        <x:f>E1022+K1022-I1022-J1022-L1022</x:f>
        <x:v>0</x:v>
      </x:c>
    </x:row>
    <x:row r="1023" ht="36" customHeight="1">
      <x:c r="A1023" s="8" t="str">
        <x:v>Liquidity-first</x:v>
      </x:c>
      <x:c r="B1023" s="8" t="str">
        <x:v>Severe synergies</x:v>
      </x:c>
      <x:c r="C1023" s="8" t="str">
        <x:v>Acquisition term</x:v>
      </x:c>
      <x:c r="D1023" s="22" t="n">
        <x:v>4</x:v>
      </x:c>
      <x:c r="E1023" s="8" t="n">
        <x:v>734.9644168874693</x:v>
      </x:c>
      <x:c r="F1023" s="23" t="n">
        <x:v>0.060000000000000005</x:v>
      </x:c>
      <x:c r="G1023" s="8" t="n">
        <x:v>44.09786501324816</x:v>
      </x:c>
      <x:c r="H1023" s="8" t="n">
        <x:v>44.46700507614213</x:v>
      </x:c>
      <x:c r="I1023" s="8" t="n">
        <x:v>44.46700507614213</x:v>
      </x:c>
      <x:c r="J1023" s="8" t="n">
        <x:v>0</x:v>
      </x:c>
      <x:c r="K1023" s="8" t="n">
        <x:v>0</x:v>
      </x:c>
      <x:c r="L1023" s="8" t="n">
        <x:v>0</x:v>
      </x:c>
      <x:c r="M1023" s="21" t="n">
        <x:f>E1023+K1023-I1023-J1023-L1023</x:f>
        <x:v>690.4974118113271</x:v>
      </x:c>
    </x:row>
    <x:row r="1024" ht="36" customHeight="1">
      <x:c r="A1024" s="8" t="str">
        <x:v>Liquidity-first</x:v>
      </x:c>
      <x:c r="B1024" s="8" t="str">
        <x:v>Severe synergies</x:v>
      </x:c>
      <x:c r="C1024" s="8" t="str">
        <x:v>Committed revolver</x:v>
      </x:c>
      <x:c r="D1024" s="22" t="n">
        <x:v>4</x:v>
      </x:c>
      <x:c r="E1024" s="8" t="n">
        <x:v>0</x:v>
      </x:c>
      <x:c r="F1024" s="23" t="n">
        <x:v>0.0575</x:v>
      </x:c>
      <x:c r="G1024" s="8" t="n">
        <x:v>0</x:v>
      </x:c>
      <x:c r="H1024" s="8" t="n">
        <x:v>0</x:v>
      </x:c>
      <x:c r="I1024" s="8" t="n">
        <x:v>0</x:v>
      </x:c>
      <x:c r="J1024" s="8" t="n">
        <x:v>0</x:v>
      </x:c>
      <x:c r="K1024" s="8" t="n">
        <x:v>469.49353133122145</x:v>
      </x:c>
      <x:c r="L1024" s="8" t="n">
        <x:v>0</x:v>
      </x:c>
      <x:c r="M1024" s="21" t="n">
        <x:f>E1024+K1024-I1024-J1024-L1024</x:f>
        <x:v>469.49353133122145</x:v>
      </x:c>
    </x:row>
    <x:row r="1025" ht="36" customHeight="1">
      <x:c r="A1025" s="8" t="str">
        <x:v>Liquidity-first</x:v>
      </x:c>
      <x:c r="B1025" s="8" t="str">
        <x:v>Severe synergies</x:v>
      </x:c>
      <x:c r="C1025" s="8" t="str">
        <x:v>Atlas notes</x:v>
      </x:c>
      <x:c r="D1025" s="22" t="n">
        <x:v>5</x:v>
      </x:c>
      <x:c r="E1025" s="8" t="n">
        <x:v>0</x:v>
      </x:c>
      <x:c r="F1025" s="23" t="n">
        <x:v>0.038</x:v>
      </x:c>
      <x:c r="G1025" s="8" t="n">
        <x:v>0</x:v>
      </x:c>
      <x:c r="H1025" s="8" t="n">
        <x:v>0</x:v>
      </x:c>
      <x:c r="I1025" s="8" t="n">
        <x:v>0</x:v>
      </x:c>
      <x:c r="J1025" s="8" t="n">
        <x:v>0</x:v>
      </x:c>
      <x:c r="K1025" s="8" t="n">
        <x:v>0</x:v>
      </x:c>
      <x:c r="L1025" s="8" t="n">
        <x:v>0</x:v>
      </x:c>
      <x:c r="M1025" s="21" t="n">
        <x:f>E1025+K1025-I1025-J1025-L1025</x:f>
        <x:v>0</x:v>
      </x:c>
    </x:row>
    <x:row r="1026" ht="36" customHeight="1">
      <x:c r="A1026" s="8" t="str">
        <x:v>Liquidity-first</x:v>
      </x:c>
      <x:c r="B1026" s="8" t="str">
        <x:v>Severe synergies</x:v>
      </x:c>
      <x:c r="C1026" s="8" t="str">
        <x:v>Atlas finance lease</x:v>
      </x:c>
      <x:c r="D1026" s="22" t="n">
        <x:v>5</x:v>
      </x:c>
      <x:c r="E1026" s="8" t="n">
        <x:v>16</x:v>
      </x:c>
      <x:c r="F1026" s="23" t="n">
        <x:v>0.05</x:v>
      </x:c>
      <x:c r="G1026" s="8" t="n">
        <x:v>0.8</x:v>
      </x:c>
      <x:c r="H1026" s="8" t="n">
        <x:v>16</x:v>
      </x:c>
      <x:c r="I1026" s="8" t="n">
        <x:v>16</x:v>
      </x:c>
      <x:c r="J1026" s="8" t="n">
        <x:v>0</x:v>
      </x:c>
      <x:c r="K1026" s="8" t="n">
        <x:v>0</x:v>
      </x:c>
      <x:c r="L1026" s="8" t="n">
        <x:v>0</x:v>
      </x:c>
      <x:c r="M1026" s="21" t="n">
        <x:f>E1026+K1026-I1026-J1026-L1026</x:f>
        <x:v>0</x:v>
      </x:c>
    </x:row>
    <x:row r="1027" ht="36" customHeight="1">
      <x:c r="A1027" s="8" t="str">
        <x:v>Liquidity-first</x:v>
      </x:c>
      <x:c r="B1027" s="8" t="str">
        <x:v>Severe synergies</x:v>
      </x:c>
      <x:c r="C1027" s="8" t="str">
        <x:v>Beacon notes</x:v>
      </x:c>
      <x:c r="D1027" s="22" t="n">
        <x:v>5</x:v>
      </x:c>
      <x:c r="E1027" s="8" t="n">
        <x:v>0</x:v>
      </x:c>
      <x:c r="F1027" s="23" t="n">
        <x:v>0.0475</x:v>
      </x:c>
      <x:c r="G1027" s="8" t="n">
        <x:v>0</x:v>
      </x:c>
      <x:c r="H1027" s="8" t="n">
        <x:v>0</x:v>
      </x:c>
      <x:c r="I1027" s="8" t="n">
        <x:v>0</x:v>
      </x:c>
      <x:c r="J1027" s="8" t="n">
        <x:v>0</x:v>
      </x:c>
      <x:c r="K1027" s="8" t="n">
        <x:v>0</x:v>
      </x:c>
      <x:c r="L1027" s="8" t="n">
        <x:v>0</x:v>
      </x:c>
      <x:c r="M1027" s="21" t="n">
        <x:f>E1027+K1027-I1027-J1027-L1027</x:f>
        <x:v>0</x:v>
      </x:c>
    </x:row>
    <x:row r="1028" ht="36" customHeight="1">
      <x:c r="A1028" s="8" t="str">
        <x:v>Liquidity-first</x:v>
      </x:c>
      <x:c r="B1028" s="8" t="str">
        <x:v>Severe synergies</x:v>
      </x:c>
      <x:c r="C1028" s="8" t="str">
        <x:v>Acquisition term</x:v>
      </x:c>
      <x:c r="D1028" s="22" t="n">
        <x:v>5</x:v>
      </x:c>
      <x:c r="E1028" s="8" t="n">
        <x:v>690.4974118113271</x:v>
      </x:c>
      <x:c r="F1028" s="23" t="n">
        <x:v>0.060000000000000005</x:v>
      </x:c>
      <x:c r="G1028" s="8" t="n">
        <x:v>41.42984470867963</x:v>
      </x:c>
      <x:c r="H1028" s="8" t="n">
        <x:v>690.4974118113271</x:v>
      </x:c>
      <x:c r="I1028" s="8" t="n">
        <x:v>690.4974118113271</x:v>
      </x:c>
      <x:c r="J1028" s="8" t="n">
        <x:v>0</x:v>
      </x:c>
      <x:c r="K1028" s="8" t="n">
        <x:v>0</x:v>
      </x:c>
      <x:c r="L1028" s="8" t="n">
        <x:v>0</x:v>
      </x:c>
      <x:c r="M1028" s="21" t="n">
        <x:f>E1028+K1028-I1028-J1028-L1028</x:f>
        <x:v>0</x:v>
      </x:c>
    </x:row>
    <x:row r="1029" ht="36" customHeight="1">
      <x:c r="A1029" s="8" t="str">
        <x:v>Liquidity-first</x:v>
      </x:c>
      <x:c r="B1029" s="8" t="str">
        <x:v>Severe synergies</x:v>
      </x:c>
      <x:c r="C1029" s="8" t="str">
        <x:v>Committed revolver</x:v>
      </x:c>
      <x:c r="D1029" s="22" t="n">
        <x:v>5</x:v>
      </x:c>
      <x:c r="E1029" s="8" t="n">
        <x:v>469.49353133122145</x:v>
      </x:c>
      <x:c r="F1029" s="23" t="n">
        <x:v>0.0575</x:v>
      </x:c>
      <x:c r="G1029" s="8" t="n">
        <x:v>26.995878051545233</x:v>
      </x:c>
      <x:c r="H1029" s="8" t="n">
        <x:v>469.49353133122145</x:v>
      </x:c>
      <x:c r="I1029" s="8" t="n">
        <x:v>469.49353133122145</x:v>
      </x:c>
      <x:c r="J1029" s="8" t="n">
        <x:v>0</x:v>
      </x:c>
      <x:c r="K1029" s="8" t="n">
        <x:v>0</x:v>
      </x:c>
      <x:c r="L1029" s="8" t="n">
        <x:v>0</x:v>
      </x:c>
      <x:c r="M1029" s="21" t="n">
        <x:f>E1029+K1029-I1029-J1029-L1029</x:f>
        <x:v>0</x:v>
      </x:c>
    </x:row>
    <x:row r="1030" ht="36" customHeight="1">
      <x:c r="A1030" s="8" t="str">
        <x:v>Mixed consideration</x:v>
      </x:c>
      <x:c r="B1030" s="8" t="str">
        <x:v>Severe synergies</x:v>
      </x:c>
      <x:c r="C1030" s="8" t="str">
        <x:v>Atlas notes</x:v>
      </x:c>
      <x:c r="D1030" s="22" t="n">
        <x:v>1</x:v>
      </x:c>
      <x:c r="E1030" s="8" t="n">
        <x:v>900</x:v>
      </x:c>
      <x:c r="F1030" s="23" t="n">
        <x:v>0.038</x:v>
      </x:c>
      <x:c r="G1030" s="8" t="n">
        <x:v>34.199999999999996</x:v>
      </x:c>
      <x:c r="H1030" s="8" t="n">
        <x:v>0</x:v>
      </x:c>
      <x:c r="I1030" s="8" t="n">
        <x:v>0</x:v>
      </x:c>
      <x:c r="J1030" s="8" t="n">
        <x:v>0</x:v>
      </x:c>
      <x:c r="K1030" s="8" t="n">
        <x:v>0</x:v>
      </x:c>
      <x:c r="L1030" s="8" t="n">
        <x:v>0</x:v>
      </x:c>
      <x:c r="M1030" s="21" t="n">
        <x:f>E1030+K1030-I1030-J1030-L1030</x:f>
        <x:v>900</x:v>
      </x:c>
    </x:row>
    <x:row r="1031" ht="36" customHeight="1">
      <x:c r="A1031" s="8" t="str">
        <x:v>Mixed consideration</x:v>
      </x:c>
      <x:c r="B1031" s="8" t="str">
        <x:v>Severe synergies</x:v>
      </x:c>
      <x:c r="C1031" s="8" t="str">
        <x:v>Atlas finance lease</x:v>
      </x:c>
      <x:c r="D1031" s="22" t="n">
        <x:v>1</x:v>
      </x:c>
      <x:c r="E1031" s="8" t="n">
        <x:v>80</x:v>
      </x:c>
      <x:c r="F1031" s="23" t="n">
        <x:v>0.05</x:v>
      </x:c>
      <x:c r="G1031" s="8" t="n">
        <x:v>4</x:v>
      </x:c>
      <x:c r="H1031" s="8" t="n">
        <x:v>16</x:v>
      </x:c>
      <x:c r="I1031" s="8" t="n">
        <x:v>16</x:v>
      </x:c>
      <x:c r="J1031" s="8" t="n">
        <x:v>16.329218673944126</x:v>
      </x:c>
      <x:c r="K1031" s="8" t="n">
        <x:v>0</x:v>
      </x:c>
      <x:c r="L1031" s="8" t="n">
        <x:v>0</x:v>
      </x:c>
      <x:c r="M1031" s="21" t="n">
        <x:f>E1031+K1031-I1031-J1031-L1031</x:f>
        <x:v>47.670781326055874</x:v>
      </x:c>
    </x:row>
    <x:row r="1032" ht="36" customHeight="1">
      <x:c r="A1032" s="8" t="str">
        <x:v>Mixed consideration</x:v>
      </x:c>
      <x:c r="B1032" s="8" t="str">
        <x:v>Severe synergies</x:v>
      </x:c>
      <x:c r="C1032" s="8" t="str">
        <x:v>Beacon notes</x:v>
      </x:c>
      <x:c r="D1032" s="22" t="n">
        <x:v>1</x:v>
      </x:c>
      <x:c r="E1032" s="8" t="n">
        <x:v>350</x:v>
      </x:c>
      <x:c r="F1032" s="23" t="n">
        <x:v>0.0475</x:v>
      </x:c>
      <x:c r="G1032" s="8" t="n">
        <x:v>16.625</x:v>
      </x:c>
      <x:c r="H1032" s="8" t="n">
        <x:v>0</x:v>
      </x:c>
      <x:c r="I1032" s="8" t="n">
        <x:v>0</x:v>
      </x:c>
      <x:c r="J1032" s="8" t="n">
        <x:v>0</x:v>
      </x:c>
      <x:c r="K1032" s="8" t="n">
        <x:v>0</x:v>
      </x:c>
      <x:c r="L1032" s="8" t="n">
        <x:v>0</x:v>
      </x:c>
      <x:c r="M1032" s="21" t="n">
        <x:f>E1032+K1032-I1032-J1032-L1032</x:f>
        <x:v>350</x:v>
      </x:c>
    </x:row>
    <x:row r="1033" ht="36" customHeight="1">
      <x:c r="A1033" s="8" t="str">
        <x:v>Mixed consideration</x:v>
      </x:c>
      <x:c r="B1033" s="8" t="str">
        <x:v>Severe synergies</x:v>
      </x:c>
      <x:c r="C1033" s="8" t="str">
        <x:v>Acquisition term</x:v>
      </x:c>
      <x:c r="D1033" s="22" t="n">
        <x:v>1</x:v>
      </x:c>
      <x:c r="E1033" s="8" t="n">
        <x:v>304.56852791878174</x:v>
      </x:c>
      <x:c r="F1033" s="23" t="n">
        <x:v>0.065</x:v>
      </x:c>
      <x:c r="G1033" s="8" t="n">
        <x:v>19.796954314720814</x:v>
      </x:c>
      <x:c r="H1033" s="8" t="n">
        <x:v>6.091370558375635</x:v>
      </x:c>
      <x:c r="I1033" s="8" t="n">
        <x:v>6.091370558375635</x:v>
      </x:c>
      <x:c r="J1033" s="8" t="n">
        <x:v>298.4771573604061</x:v>
      </x:c>
      <x:c r="K1033" s="8" t="n">
        <x:v>0</x:v>
      </x:c>
      <x:c r="L1033" s="8" t="n">
        <x:v>0</x:v>
      </x:c>
      <x:c r="M1033" s="21" t="n">
        <x:f>E1033+K1033-I1033-J1033-L1033</x:f>
        <x:v>0</x:v>
      </x:c>
    </x:row>
    <x:row r="1034" ht="36" customHeight="1">
      <x:c r="A1034" s="8" t="str">
        <x:v>Mixed consideration</x:v>
      </x:c>
      <x:c r="B1034" s="8" t="str">
        <x:v>Severe synergies</x:v>
      </x:c>
      <x:c r="C1034" s="8" t="str">
        <x:v>Committed revolver</x:v>
      </x:c>
      <x:c r="D1034" s="22" t="n">
        <x:v>1</x:v>
      </x:c>
      <x:c r="E1034" s="8" t="n">
        <x:v>0</x:v>
      </x:c>
      <x:c r="F1034" s="23" t="n">
        <x:v>0.0625</x:v>
      </x:c>
      <x:c r="G1034" s="8" t="n">
        <x:v>0</x:v>
      </x:c>
      <x:c r="H1034" s="8" t="n">
        <x:v>0</x:v>
      </x:c>
      <x:c r="I1034" s="8" t="n">
        <x:v>0</x:v>
      </x:c>
      <x:c r="J1034" s="8" t="n">
        <x:v>0</x:v>
      </x:c>
      <x:c r="K1034" s="8" t="n">
        <x:v>0</x:v>
      </x:c>
      <x:c r="L1034" s="8" t="n">
        <x:v>0</x:v>
      </x:c>
      <x:c r="M1034" s="21" t="n">
        <x:f>E1034+K1034-I1034-J1034-L1034</x:f>
        <x:v>0</x:v>
      </x:c>
    </x:row>
    <x:row r="1035" ht="36" customHeight="1">
      <x:c r="A1035" s="8" t="str">
        <x:v>Mixed consideration</x:v>
      </x:c>
      <x:c r="B1035" s="8" t="str">
        <x:v>Severe synergies</x:v>
      </x:c>
      <x:c r="C1035" s="8" t="str">
        <x:v>Atlas notes</x:v>
      </x:c>
      <x:c r="D1035" s="22" t="n">
        <x:v>2</x:v>
      </x:c>
      <x:c r="E1035" s="8" t="n">
        <x:v>900</x:v>
      </x:c>
      <x:c r="F1035" s="23" t="n">
        <x:v>0.038</x:v>
      </x:c>
      <x:c r="G1035" s="8" t="n">
        <x:v>34.199999999999996</x:v>
      </x:c>
      <x:c r="H1035" s="8" t="n">
        <x:v>0</x:v>
      </x:c>
      <x:c r="I1035" s="8" t="n">
        <x:v>0</x:v>
      </x:c>
      <x:c r="J1035" s="8" t="n">
        <x:v>0.48263201120136046</x:v>
      </x:c>
      <x:c r="K1035" s="8" t="n">
        <x:v>0</x:v>
      </x:c>
      <x:c r="L1035" s="8" t="n">
        <x:v>0</x:v>
      </x:c>
      <x:c r="M1035" s="21" t="n">
        <x:f>E1035+K1035-I1035-J1035-L1035</x:f>
        <x:v>899.5173679887987</x:v>
      </x:c>
    </x:row>
    <x:row r="1036" ht="36" customHeight="1">
      <x:c r="A1036" s="8" t="str">
        <x:v>Mixed consideration</x:v>
      </x:c>
      <x:c r="B1036" s="8" t="str">
        <x:v>Severe synergies</x:v>
      </x:c>
      <x:c r="C1036" s="8" t="str">
        <x:v>Atlas finance lease</x:v>
      </x:c>
      <x:c r="D1036" s="22" t="n">
        <x:v>2</x:v>
      </x:c>
      <x:c r="E1036" s="8" t="n">
        <x:v>47.670781326055874</x:v>
      </x:c>
      <x:c r="F1036" s="23" t="n">
        <x:v>0.05</x:v>
      </x:c>
      <x:c r="G1036" s="8" t="n">
        <x:v>2.3835390663027938</x:v>
      </x:c>
      <x:c r="H1036" s="8" t="n">
        <x:v>16</x:v>
      </x:c>
      <x:c r="I1036" s="8" t="n">
        <x:v>16</x:v>
      </x:c>
      <x:c r="J1036" s="8" t="n">
        <x:v>31.670781326055874</x:v>
      </x:c>
      <x:c r="K1036" s="8" t="n">
        <x:v>0</x:v>
      </x:c>
      <x:c r="L1036" s="8" t="n">
        <x:v>0</x:v>
      </x:c>
      <x:c r="M1036" s="21" t="n">
        <x:f>E1036+K1036-I1036-J1036-L1036</x:f>
        <x:v>0</x:v>
      </x:c>
    </x:row>
    <x:row r="1037" ht="36" customHeight="1">
      <x:c r="A1037" s="8" t="str">
        <x:v>Mixed consideration</x:v>
      </x:c>
      <x:c r="B1037" s="8" t="str">
        <x:v>Severe synergies</x:v>
      </x:c>
      <x:c r="C1037" s="8" t="str">
        <x:v>Beacon notes</x:v>
      </x:c>
      <x:c r="D1037" s="22" t="n">
        <x:v>2</x:v>
      </x:c>
      <x:c r="E1037" s="8" t="n">
        <x:v>350</x:v>
      </x:c>
      <x:c r="F1037" s="23" t="n">
        <x:v>0.0475</x:v>
      </x:c>
      <x:c r="G1037" s="8" t="n">
        <x:v>16.625</x:v>
      </x:c>
      <x:c r="H1037" s="8" t="n">
        <x:v>0</x:v>
      </x:c>
      <x:c r="I1037" s="8" t="n">
        <x:v>0</x:v>
      </x:c>
      <x:c r="J1037" s="8" t="n">
        <x:v>350</x:v>
      </x:c>
      <x:c r="K1037" s="8" t="n">
        <x:v>0</x:v>
      </x:c>
      <x:c r="L1037" s="8" t="n">
        <x:v>0</x:v>
      </x:c>
      <x:c r="M1037" s="21" t="n">
        <x:f>E1037+K1037-I1037-J1037-L1037</x:f>
        <x:v>0</x:v>
      </x:c>
    </x:row>
    <x:row r="1038" ht="36" customHeight="1">
      <x:c r="A1038" s="8" t="str">
        <x:v>Mixed consideration</x:v>
      </x:c>
      <x:c r="B1038" s="8" t="str">
        <x:v>Severe synergies</x:v>
      </x:c>
      <x:c r="C1038" s="8" t="str">
        <x:v>Acquisition term</x:v>
      </x:c>
      <x:c r="D1038" s="22" t="n">
        <x:v>2</x:v>
      </x:c>
      <x:c r="E1038" s="8" t="n">
        <x:v>0</x:v>
      </x:c>
      <x:c r="F1038" s="23" t="n">
        <x:v>0.0625</x:v>
      </x:c>
      <x:c r="G1038" s="8" t="n">
        <x:v>0</x:v>
      </x:c>
      <x:c r="H1038" s="8" t="n">
        <x:v>0</x:v>
      </x:c>
      <x:c r="I1038" s="8" t="n">
        <x:v>0</x:v>
      </x:c>
      <x:c r="J1038" s="8" t="n">
        <x:v>0</x:v>
      </x:c>
      <x:c r="K1038" s="8" t="n">
        <x:v>0</x:v>
      </x:c>
      <x:c r="L1038" s="8" t="n">
        <x:v>0</x:v>
      </x:c>
      <x:c r="M1038" s="21" t="n">
        <x:f>E1038+K1038-I1038-J1038-L1038</x:f>
        <x:v>0</x:v>
      </x:c>
    </x:row>
    <x:row r="1039" ht="36" customHeight="1">
      <x:c r="A1039" s="8" t="str">
        <x:v>Mixed consideration</x:v>
      </x:c>
      <x:c r="B1039" s="8" t="str">
        <x:v>Severe synergies</x:v>
      </x:c>
      <x:c r="C1039" s="8" t="str">
        <x:v>Committed revolver</x:v>
      </x:c>
      <x:c r="D1039" s="22" t="n">
        <x:v>2</x:v>
      </x:c>
      <x:c r="E1039" s="8" t="n">
        <x:v>0</x:v>
      </x:c>
      <x:c r="F1039" s="23" t="n">
        <x:v>0.06</x:v>
      </x:c>
      <x:c r="G1039" s="8" t="n">
        <x:v>0</x:v>
      </x:c>
      <x:c r="H1039" s="8" t="n">
        <x:v>0</x:v>
      </x:c>
      <x:c r="I1039" s="8" t="n">
        <x:v>0</x:v>
      </x:c>
      <x:c r="J1039" s="8" t="n">
        <x:v>0</x:v>
      </x:c>
      <x:c r="K1039" s="8" t="n">
        <x:v>0</x:v>
      </x:c>
      <x:c r="L1039" s="8" t="n">
        <x:v>0</x:v>
      </x:c>
      <x:c r="M1039" s="21" t="n">
        <x:f>E1039+K1039-I1039-J1039-L1039</x:f>
        <x:v>0</x:v>
      </x:c>
    </x:row>
    <x:row r="1040" ht="36" customHeight="1">
      <x:c r="A1040" s="8" t="str">
        <x:v>Mixed consideration</x:v>
      </x:c>
      <x:c r="B1040" s="8" t="str">
        <x:v>Severe synergies</x:v>
      </x:c>
      <x:c r="C1040" s="8" t="str">
        <x:v>Atlas notes</x:v>
      </x:c>
      <x:c r="D1040" s="22" t="n">
        <x:v>3</x:v>
      </x:c>
      <x:c r="E1040" s="8" t="n">
        <x:v>899.5173679887987</x:v>
      </x:c>
      <x:c r="F1040" s="23" t="n">
        <x:v>0.038</x:v>
      </x:c>
      <x:c r="G1040" s="8" t="n">
        <x:v>34.18165998357435</x:v>
      </x:c>
      <x:c r="H1040" s="8" t="n">
        <x:v>0</x:v>
      </x:c>
      <x:c r="I1040" s="8" t="n">
        <x:v>0</x:v>
      </x:c>
      <x:c r="J1040" s="8" t="n">
        <x:v>478.4265480902295</x:v>
      </x:c>
      <x:c r="K1040" s="8" t="n">
        <x:v>0</x:v>
      </x:c>
      <x:c r="L1040" s="8" t="n">
        <x:v>0</x:v>
      </x:c>
      <x:c r="M1040" s="21" t="n">
        <x:f>E1040+K1040-I1040-J1040-L1040</x:f>
        <x:v>421.0908198985692</x:v>
      </x:c>
    </x:row>
    <x:row r="1041" ht="36" customHeight="1">
      <x:c r="A1041" s="8" t="str">
        <x:v>Mixed consideration</x:v>
      </x:c>
      <x:c r="B1041" s="8" t="str">
        <x:v>Severe synergies</x:v>
      </x:c>
      <x:c r="C1041" s="8" t="str">
        <x:v>Atlas finance lease</x:v>
      </x:c>
      <x:c r="D1041" s="22" t="n">
        <x:v>3</x:v>
      </x:c>
      <x:c r="E1041" s="8" t="n">
        <x:v>0</x:v>
      </x:c>
      <x:c r="F1041" s="23" t="n">
        <x:v>0.05</x:v>
      </x:c>
      <x:c r="G1041" s="8" t="n">
        <x:v>0</x:v>
      </x:c>
      <x:c r="H1041" s="8" t="n">
        <x:v>0</x:v>
      </x:c>
      <x:c r="I1041" s="8" t="n">
        <x:v>0</x:v>
      </x:c>
      <x:c r="J1041" s="8" t="n">
        <x:v>0</x:v>
      </x:c>
      <x:c r="K1041" s="8" t="n">
        <x:v>0</x:v>
      </x:c>
      <x:c r="L1041" s="8" t="n">
        <x:v>0</x:v>
      </x:c>
      <x:c r="M1041" s="21" t="n">
        <x:f>E1041+K1041-I1041-J1041-L1041</x:f>
        <x:v>0</x:v>
      </x:c>
    </x:row>
    <x:row r="1042" ht="36" customHeight="1">
      <x:c r="A1042" s="8" t="str">
        <x:v>Mixed consideration</x:v>
      </x:c>
      <x:c r="B1042" s="8" t="str">
        <x:v>Severe synergies</x:v>
      </x:c>
      <x:c r="C1042" s="8" t="str">
        <x:v>Beacon notes</x:v>
      </x:c>
      <x:c r="D1042" s="22" t="n">
        <x:v>3</x:v>
      </x:c>
      <x:c r="E1042" s="8" t="n">
        <x:v>0</x:v>
      </x:c>
      <x:c r="F1042" s="23" t="n">
        <x:v>0.0475</x:v>
      </x:c>
      <x:c r="G1042" s="8" t="n">
        <x:v>0</x:v>
      </x:c>
      <x:c r="H1042" s="8" t="n">
        <x:v>0</x:v>
      </x:c>
      <x:c r="I1042" s="8" t="n">
        <x:v>0</x:v>
      </x:c>
      <x:c r="J1042" s="8" t="n">
        <x:v>0</x:v>
      </x:c>
      <x:c r="K1042" s="8" t="n">
        <x:v>0</x:v>
      </x:c>
      <x:c r="L1042" s="8" t="n">
        <x:v>0</x:v>
      </x:c>
      <x:c r="M1042" s="21" t="n">
        <x:f>E1042+K1042-I1042-J1042-L1042</x:f>
        <x:v>0</x:v>
      </x:c>
    </x:row>
    <x:row r="1043" ht="36" customHeight="1">
      <x:c r="A1043" s="8" t="str">
        <x:v>Mixed consideration</x:v>
      </x:c>
      <x:c r="B1043" s="8" t="str">
        <x:v>Severe synergies</x:v>
      </x:c>
      <x:c r="C1043" s="8" t="str">
        <x:v>Acquisition term</x:v>
      </x:c>
      <x:c r="D1043" s="22" t="n">
        <x:v>3</x:v>
      </x:c>
      <x:c r="E1043" s="8" t="n">
        <x:v>0</x:v>
      </x:c>
      <x:c r="F1043" s="23" t="n">
        <x:v>0.060000000000000005</x:v>
      </x:c>
      <x:c r="G1043" s="8" t="n">
        <x:v>0</x:v>
      </x:c>
      <x:c r="H1043" s="8" t="n">
        <x:v>0</x:v>
      </x:c>
      <x:c r="I1043" s="8" t="n">
        <x:v>0</x:v>
      </x:c>
      <x:c r="J1043" s="8" t="n">
        <x:v>0</x:v>
      </x:c>
      <x:c r="K1043" s="8" t="n">
        <x:v>0</x:v>
      </x:c>
      <x:c r="L1043" s="8" t="n">
        <x:v>0</x:v>
      </x:c>
      <x:c r="M1043" s="21" t="n">
        <x:f>E1043+K1043-I1043-J1043-L1043</x:f>
        <x:v>0</x:v>
      </x:c>
    </x:row>
    <x:row r="1044" ht="36" customHeight="1">
      <x:c r="A1044" s="8" t="str">
        <x:v>Mixed consideration</x:v>
      </x:c>
      <x:c r="B1044" s="8" t="str">
        <x:v>Severe synergies</x:v>
      </x:c>
      <x:c r="C1044" s="8" t="str">
        <x:v>Committed revolver</x:v>
      </x:c>
      <x:c r="D1044" s="22" t="n">
        <x:v>3</x:v>
      </x:c>
      <x:c r="E1044" s="8" t="n">
        <x:v>0</x:v>
      </x:c>
      <x:c r="F1044" s="23" t="n">
        <x:v>0.0575</x:v>
      </x:c>
      <x:c r="G1044" s="8" t="n">
        <x:v>0</x:v>
      </x:c>
      <x:c r="H1044" s="8" t="n">
        <x:v>0</x:v>
      </x:c>
      <x:c r="I1044" s="8" t="n">
        <x:v>0</x:v>
      </x:c>
      <x:c r="J1044" s="8" t="n">
        <x:v>0</x:v>
      </x:c>
      <x:c r="K1044" s="8" t="n">
        <x:v>0</x:v>
      </x:c>
      <x:c r="L1044" s="8" t="n">
        <x:v>0</x:v>
      </x:c>
      <x:c r="M1044" s="21" t="n">
        <x:f>E1044+K1044-I1044-J1044-L1044</x:f>
        <x:v>0</x:v>
      </x:c>
    </x:row>
    <x:row r="1045" ht="36" customHeight="1">
      <x:c r="A1045" s="8" t="str">
        <x:v>Mixed consideration</x:v>
      </x:c>
      <x:c r="B1045" s="8" t="str">
        <x:v>Severe synergies</x:v>
      </x:c>
      <x:c r="C1045" s="8" t="str">
        <x:v>Atlas notes</x:v>
      </x:c>
      <x:c r="D1045" s="22" t="n">
        <x:v>4</x:v>
      </x:c>
      <x:c r="E1045" s="8" t="n">
        <x:v>421.0908198985692</x:v>
      </x:c>
      <x:c r="F1045" s="23" t="n">
        <x:v>0.038</x:v>
      </x:c>
      <x:c r="G1045" s="8" t="n">
        <x:v>16.001451156145627</x:v>
      </x:c>
      <x:c r="H1045" s="8" t="n">
        <x:v>421.0908198985692</x:v>
      </x:c>
      <x:c r="I1045" s="8" t="n">
        <x:v>421.0908198985692</x:v>
      </x:c>
      <x:c r="J1045" s="8" t="n">
        <x:v>0</x:v>
      </x:c>
      <x:c r="K1045" s="8" t="n">
        <x:v>0</x:v>
      </x:c>
      <x:c r="L1045" s="8" t="n">
        <x:v>0</x:v>
      </x:c>
      <x:c r="M1045" s="21" t="n">
        <x:f>E1045+K1045-I1045-J1045-L1045</x:f>
        <x:v>0</x:v>
      </x:c>
    </x:row>
    <x:row r="1046" ht="36" customHeight="1">
      <x:c r="A1046" s="8" t="str">
        <x:v>Mixed consideration</x:v>
      </x:c>
      <x:c r="B1046" s="8" t="str">
        <x:v>Severe synergies</x:v>
      </x:c>
      <x:c r="C1046" s="8" t="str">
        <x:v>Atlas finance lease</x:v>
      </x:c>
      <x:c r="D1046" s="22" t="n">
        <x:v>4</x:v>
      </x:c>
      <x:c r="E1046" s="8" t="n">
        <x:v>0</x:v>
      </x:c>
      <x:c r="F1046" s="23" t="n">
        <x:v>0.05</x:v>
      </x:c>
      <x:c r="G1046" s="8" t="n">
        <x:v>0</x:v>
      </x:c>
      <x:c r="H1046" s="8" t="n">
        <x:v>0</x:v>
      </x:c>
      <x:c r="I1046" s="8" t="n">
        <x:v>0</x:v>
      </x:c>
      <x:c r="J1046" s="8" t="n">
        <x:v>0</x:v>
      </x:c>
      <x:c r="K1046" s="8" t="n">
        <x:v>0</x:v>
      </x:c>
      <x:c r="L1046" s="8" t="n">
        <x:v>0</x:v>
      </x:c>
      <x:c r="M1046" s="21" t="n">
        <x:f>E1046+K1046-I1046-J1046-L1046</x:f>
        <x:v>0</x:v>
      </x:c>
    </x:row>
    <x:row r="1047" ht="36" customHeight="1">
      <x:c r="A1047" s="8" t="str">
        <x:v>Mixed consideration</x:v>
      </x:c>
      <x:c r="B1047" s="8" t="str">
        <x:v>Severe synergies</x:v>
      </x:c>
      <x:c r="C1047" s="8" t="str">
        <x:v>Beacon notes</x:v>
      </x:c>
      <x:c r="D1047" s="22" t="n">
        <x:v>4</x:v>
      </x:c>
      <x:c r="E1047" s="8" t="n">
        <x:v>0</x:v>
      </x:c>
      <x:c r="F1047" s="23" t="n">
        <x:v>0.0475</x:v>
      </x:c>
      <x:c r="G1047" s="8" t="n">
        <x:v>0</x:v>
      </x:c>
      <x:c r="H1047" s="8" t="n">
        <x:v>0</x:v>
      </x:c>
      <x:c r="I1047" s="8" t="n">
        <x:v>0</x:v>
      </x:c>
      <x:c r="J1047" s="8" t="n">
        <x:v>0</x:v>
      </x:c>
      <x:c r="K1047" s="8" t="n">
        <x:v>0</x:v>
      </x:c>
      <x:c r="L1047" s="8" t="n">
        <x:v>0</x:v>
      </x:c>
      <x:c r="M1047" s="21" t="n">
        <x:f>E1047+K1047-I1047-J1047-L1047</x:f>
        <x:v>0</x:v>
      </x:c>
    </x:row>
    <x:row r="1048" ht="36" customHeight="1">
      <x:c r="A1048" s="8" t="str">
        <x:v>Mixed consideration</x:v>
      </x:c>
      <x:c r="B1048" s="8" t="str">
        <x:v>Severe synergies</x:v>
      </x:c>
      <x:c r="C1048" s="8" t="str">
        <x:v>Acquisition term</x:v>
      </x:c>
      <x:c r="D1048" s="22" t="n">
        <x:v>4</x:v>
      </x:c>
      <x:c r="E1048" s="8" t="n">
        <x:v>0</x:v>
      </x:c>
      <x:c r="F1048" s="23" t="n">
        <x:v>0.060000000000000005</x:v>
      </x:c>
      <x:c r="G1048" s="8" t="n">
        <x:v>0</x:v>
      </x:c>
      <x:c r="H1048" s="8" t="n">
        <x:v>0</x:v>
      </x:c>
      <x:c r="I1048" s="8" t="n">
        <x:v>0</x:v>
      </x:c>
      <x:c r="J1048" s="8" t="n">
        <x:v>0</x:v>
      </x:c>
      <x:c r="K1048" s="8" t="n">
        <x:v>0</x:v>
      </x:c>
      <x:c r="L1048" s="8" t="n">
        <x:v>0</x:v>
      </x:c>
      <x:c r="M1048" s="21" t="n">
        <x:f>E1048+K1048-I1048-J1048-L1048</x:f>
        <x:v>0</x:v>
      </x:c>
    </x:row>
    <x:row r="1049" ht="36" customHeight="1">
      <x:c r="A1049" s="8" t="str">
        <x:v>Mixed consideration</x:v>
      </x:c>
      <x:c r="B1049" s="8" t="str">
        <x:v>Severe synergies</x:v>
      </x:c>
      <x:c r="C1049" s="8" t="str">
        <x:v>Committed revolver</x:v>
      </x:c>
      <x:c r="D1049" s="22" t="n">
        <x:v>4</x:v>
      </x:c>
      <x:c r="E1049" s="8" t="n">
        <x:v>0</x:v>
      </x:c>
      <x:c r="F1049" s="23" t="n">
        <x:v>0.0575</x:v>
      </x:c>
      <x:c r="G1049" s="8" t="n">
        <x:v>0</x:v>
      </x:c>
      <x:c r="H1049" s="8" t="n">
        <x:v>0</x:v>
      </x:c>
      <x:c r="I1049" s="8" t="n">
        <x:v>0</x:v>
      </x:c>
      <x:c r="J1049" s="8" t="n">
        <x:v>0</x:v>
      </x:c>
      <x:c r="K1049" s="8" t="n">
        <x:v>0</x:v>
      </x:c>
      <x:c r="L1049" s="8" t="n">
        <x:v>0</x:v>
      </x:c>
      <x:c r="M1049" s="21" t="n">
        <x:f>E1049+K1049-I1049-J1049-L1049</x:f>
        <x:v>0</x:v>
      </x:c>
    </x:row>
    <x:row r="1050" ht="36" customHeight="1">
      <x:c r="A1050" s="8" t="str">
        <x:v>Mixed consideration</x:v>
      </x:c>
      <x:c r="B1050" s="8" t="str">
        <x:v>Severe synergies</x:v>
      </x:c>
      <x:c r="C1050" s="8" t="str">
        <x:v>Atlas notes</x:v>
      </x:c>
      <x:c r="D1050" s="22" t="n">
        <x:v>5</x:v>
      </x:c>
      <x:c r="E1050" s="8" t="n">
        <x:v>0</x:v>
      </x:c>
      <x:c r="F1050" s="23" t="n">
        <x:v>0.038</x:v>
      </x:c>
      <x:c r="G1050" s="8" t="n">
        <x:v>0</x:v>
      </x:c>
      <x:c r="H1050" s="8" t="n">
        <x:v>0</x:v>
      </x:c>
      <x:c r="I1050" s="8" t="n">
        <x:v>0</x:v>
      </x:c>
      <x:c r="J1050" s="8" t="n">
        <x:v>0</x:v>
      </x:c>
      <x:c r="K1050" s="8" t="n">
        <x:v>0</x:v>
      </x:c>
      <x:c r="L1050" s="8" t="n">
        <x:v>0</x:v>
      </x:c>
      <x:c r="M1050" s="21" t="n">
        <x:f>E1050+K1050-I1050-J1050-L1050</x:f>
        <x:v>0</x:v>
      </x:c>
    </x:row>
    <x:row r="1051" ht="36" customHeight="1">
      <x:c r="A1051" s="8" t="str">
        <x:v>Mixed consideration</x:v>
      </x:c>
      <x:c r="B1051" s="8" t="str">
        <x:v>Severe synergies</x:v>
      </x:c>
      <x:c r="C1051" s="8" t="str">
        <x:v>Atlas finance lease</x:v>
      </x:c>
      <x:c r="D1051" s="22" t="n">
        <x:v>5</x:v>
      </x:c>
      <x:c r="E1051" s="8" t="n">
        <x:v>0</x:v>
      </x:c>
      <x:c r="F1051" s="23" t="n">
        <x:v>0.05</x:v>
      </x:c>
      <x:c r="G1051" s="8" t="n">
        <x:v>0</x:v>
      </x:c>
      <x:c r="H1051" s="8" t="n">
        <x:v>0</x:v>
      </x:c>
      <x:c r="I1051" s="8" t="n">
        <x:v>0</x:v>
      </x:c>
      <x:c r="J1051" s="8" t="n">
        <x:v>0</x:v>
      </x:c>
      <x:c r="K1051" s="8" t="n">
        <x:v>0</x:v>
      </x:c>
      <x:c r="L1051" s="8" t="n">
        <x:v>0</x:v>
      </x:c>
      <x:c r="M1051" s="21" t="n">
        <x:f>E1051+K1051-I1051-J1051-L1051</x:f>
        <x:v>0</x:v>
      </x:c>
    </x:row>
    <x:row r="1052" ht="36" customHeight="1">
      <x:c r="A1052" s="8" t="str">
        <x:v>Mixed consideration</x:v>
      </x:c>
      <x:c r="B1052" s="8" t="str">
        <x:v>Severe synergies</x:v>
      </x:c>
      <x:c r="C1052" s="8" t="str">
        <x:v>Beacon notes</x:v>
      </x:c>
      <x:c r="D1052" s="22" t="n">
        <x:v>5</x:v>
      </x:c>
      <x:c r="E1052" s="8" t="n">
        <x:v>0</x:v>
      </x:c>
      <x:c r="F1052" s="23" t="n">
        <x:v>0.0475</x:v>
      </x:c>
      <x:c r="G1052" s="8" t="n">
        <x:v>0</x:v>
      </x:c>
      <x:c r="H1052" s="8" t="n">
        <x:v>0</x:v>
      </x:c>
      <x:c r="I1052" s="8" t="n">
        <x:v>0</x:v>
      </x:c>
      <x:c r="J1052" s="8" t="n">
        <x:v>0</x:v>
      </x:c>
      <x:c r="K1052" s="8" t="n">
        <x:v>0</x:v>
      </x:c>
      <x:c r="L1052" s="8" t="n">
        <x:v>0</x:v>
      </x:c>
      <x:c r="M1052" s="21" t="n">
        <x:f>E1052+K1052-I1052-J1052-L1052</x:f>
        <x:v>0</x:v>
      </x:c>
    </x:row>
    <x:row r="1053" ht="36" customHeight="1">
      <x:c r="A1053" s="8" t="str">
        <x:v>Mixed consideration</x:v>
      </x:c>
      <x:c r="B1053" s="8" t="str">
        <x:v>Severe synergies</x:v>
      </x:c>
      <x:c r="C1053" s="8" t="str">
        <x:v>Acquisition term</x:v>
      </x:c>
      <x:c r="D1053" s="22" t="n">
        <x:v>5</x:v>
      </x:c>
      <x:c r="E1053" s="8" t="n">
        <x:v>0</x:v>
      </x:c>
      <x:c r="F1053" s="23" t="n">
        <x:v>0.060000000000000005</x:v>
      </x:c>
      <x:c r="G1053" s="8" t="n">
        <x:v>0</x:v>
      </x:c>
      <x:c r="H1053" s="8" t="n">
        <x:v>0</x:v>
      </x:c>
      <x:c r="I1053" s="8" t="n">
        <x:v>0</x:v>
      </x:c>
      <x:c r="J1053" s="8" t="n">
        <x:v>0</x:v>
      </x:c>
      <x:c r="K1053" s="8" t="n">
        <x:v>0</x:v>
      </x:c>
      <x:c r="L1053" s="8" t="n">
        <x:v>0</x:v>
      </x:c>
      <x:c r="M1053" s="21" t="n">
        <x:f>E1053+K1053-I1053-J1053-L1053</x:f>
        <x:v>0</x:v>
      </x:c>
    </x:row>
    <x:row r="1054" ht="36" customHeight="1">
      <x:c r="A1054" s="8" t="str">
        <x:v>Mixed consideration</x:v>
      </x:c>
      <x:c r="B1054" s="8" t="str">
        <x:v>Severe synergies</x:v>
      </x:c>
      <x:c r="C1054" s="8" t="str">
        <x:v>Committed revolver</x:v>
      </x:c>
      <x:c r="D1054" s="22" t="n">
        <x:v>5</x:v>
      </x:c>
      <x:c r="E1054" s="8" t="n">
        <x:v>0</x:v>
      </x:c>
      <x:c r="F1054" s="23" t="n">
        <x:v>0.0575</x:v>
      </x:c>
      <x:c r="G1054" s="8" t="n">
        <x:v>0</x:v>
      </x:c>
      <x:c r="H1054" s="8" t="n">
        <x:v>0</x:v>
      </x:c>
      <x:c r="I1054" s="8" t="n">
        <x:v>0</x:v>
      </x:c>
      <x:c r="J1054" s="8" t="n">
        <x:v>0</x:v>
      </x:c>
      <x:c r="K1054" s="8" t="n">
        <x:v>0</x:v>
      </x:c>
      <x:c r="L1054" s="8" t="n">
        <x:v>0</x:v>
      </x:c>
      <x:c r="M1054" s="21" t="n">
        <x:f>E1054+K1054-I1054-J1054-L1054</x:f>
        <x:v>0</x:v>
      </x:c>
    </x:row>
    <x:row r="1055" ht="36" customHeight="1">
      <x:c r="A1055" s="8" t="str">
        <x:v>Cash-first</x:v>
      </x:c>
      <x:c r="B1055" s="8" t="str">
        <x:v>Severe combined</x:v>
      </x:c>
      <x:c r="C1055" s="8" t="str">
        <x:v>Atlas notes</x:v>
      </x:c>
      <x:c r="D1055" s="22" t="n">
        <x:v>1</x:v>
      </x:c>
      <x:c r="E1055" s="8" t="n">
        <x:v>900</x:v>
      </x:c>
      <x:c r="F1055" s="23" t="n">
        <x:v>0.038</x:v>
      </x:c>
      <x:c r="G1055" s="8" t="n">
        <x:v>34.199999999999996</x:v>
      </x:c>
      <x:c r="H1055" s="8" t="n">
        <x:v>0</x:v>
      </x:c>
      <x:c r="I1055" s="8" t="n">
        <x:v>0</x:v>
      </x:c>
      <x:c r="J1055" s="8" t="n">
        <x:v>0</x:v>
      </x:c>
      <x:c r="K1055" s="8" t="n">
        <x:v>0</x:v>
      </x:c>
      <x:c r="L1055" s="8" t="n">
        <x:v>0</x:v>
      </x:c>
      <x:c r="M1055" s="21" t="n">
        <x:f>E1055+K1055-I1055-J1055-L1055</x:f>
        <x:v>900</x:v>
      </x:c>
    </x:row>
    <x:row r="1056" ht="36" customHeight="1">
      <x:c r="A1056" s="8" t="str">
        <x:v>Cash-first</x:v>
      </x:c>
      <x:c r="B1056" s="8" t="str">
        <x:v>Severe combined</x:v>
      </x:c>
      <x:c r="C1056" s="8" t="str">
        <x:v>Atlas finance lease</x:v>
      </x:c>
      <x:c r="D1056" s="22" t="n">
        <x:v>1</x:v>
      </x:c>
      <x:c r="E1056" s="8" t="n">
        <x:v>80</x:v>
      </x:c>
      <x:c r="F1056" s="23" t="n">
        <x:v>0.05</x:v>
      </x:c>
      <x:c r="G1056" s="8" t="n">
        <x:v>4</x:v>
      </x:c>
      <x:c r="H1056" s="8" t="n">
        <x:v>16</x:v>
      </x:c>
      <x:c r="I1056" s="8" t="n">
        <x:v>16</x:v>
      </x:c>
      <x:c r="J1056" s="8" t="n">
        <x:v>0</x:v>
      </x:c>
      <x:c r="K1056" s="8" t="n">
        <x:v>0</x:v>
      </x:c>
      <x:c r="L1056" s="8" t="n">
        <x:v>0</x:v>
      </x:c>
      <x:c r="M1056" s="21" t="n">
        <x:f>E1056+K1056-I1056-J1056-L1056</x:f>
        <x:v>64</x:v>
      </x:c>
    </x:row>
    <x:row r="1057" ht="36" customHeight="1">
      <x:c r="A1057" s="8" t="str">
        <x:v>Cash-first</x:v>
      </x:c>
      <x:c r="B1057" s="8" t="str">
        <x:v>Severe combined</x:v>
      </x:c>
      <x:c r="C1057" s="8" t="str">
        <x:v>Beacon notes</x:v>
      </x:c>
      <x:c r="D1057" s="22" t="n">
        <x:v>1</x:v>
      </x:c>
      <x:c r="E1057" s="8" t="n">
        <x:v>350</x:v>
      </x:c>
      <x:c r="F1057" s="23" t="n">
        <x:v>0.0475</x:v>
      </x:c>
      <x:c r="G1057" s="8" t="n">
        <x:v>16.625</x:v>
      </x:c>
      <x:c r="H1057" s="8" t="n">
        <x:v>0</x:v>
      </x:c>
      <x:c r="I1057" s="8" t="n">
        <x:v>0</x:v>
      </x:c>
      <x:c r="J1057" s="8" t="n">
        <x:v>0</x:v>
      </x:c>
      <x:c r="K1057" s="8" t="n">
        <x:v>0</x:v>
      </x:c>
      <x:c r="L1057" s="8" t="n">
        <x:v>0</x:v>
      </x:c>
      <x:c r="M1057" s="21" t="n">
        <x:f>E1057+K1057-I1057-J1057-L1057</x:f>
        <x:v>350</x:v>
      </x:c>
    </x:row>
    <x:row r="1058" ht="36" customHeight="1">
      <x:c r="A1058" s="8" t="str">
        <x:v>Cash-first</x:v>
      </x:c>
      <x:c r="B1058" s="8" t="str">
        <x:v>Severe combined</x:v>
      </x:c>
      <x:c r="C1058" s="8" t="str">
        <x:v>Acquisition term</x:v>
      </x:c>
      <x:c r="D1058" s="22" t="n">
        <x:v>1</x:v>
      </x:c>
      <x:c r="E1058" s="8" t="n">
        <x:v>1340.1015228426397</x:v>
      </x:c>
      <x:c r="F1058" s="23" t="n">
        <x:v>0.105</x:v>
      </x:c>
      <x:c r="G1058" s="8" t="n">
        <x:v>140.71065989847716</x:v>
      </x:c>
      <x:c r="H1058" s="8" t="n">
        <x:v>26.802030456852794</x:v>
      </x:c>
      <x:c r="I1058" s="8" t="n">
        <x:v>26.802030456852794</x:v>
      </x:c>
      <x:c r="J1058" s="8" t="n">
        <x:v>0</x:v>
      </x:c>
      <x:c r="K1058" s="8" t="n">
        <x:v>0</x:v>
      </x:c>
      <x:c r="L1058" s="8" t="n">
        <x:v>0</x:v>
      </x:c>
      <x:c r="M1058" s="21" t="n">
        <x:f>E1058+K1058-I1058-J1058-L1058</x:f>
        <x:v>1313.2994923857868</x:v>
      </x:c>
    </x:row>
    <x:row r="1059" ht="36" customHeight="1">
      <x:c r="A1059" s="8" t="str">
        <x:v>Cash-first</x:v>
      </x:c>
      <x:c r="B1059" s="8" t="str">
        <x:v>Severe combined</x:v>
      </x:c>
      <x:c r="C1059" s="8" t="str">
        <x:v>Committed revolver</x:v>
      </x:c>
      <x:c r="D1059" s="22" t="n">
        <x:v>1</x:v>
      </x:c>
      <x:c r="E1059" s="8" t="n">
        <x:v>0</x:v>
      </x:c>
      <x:c r="F1059" s="23" t="n">
        <x:v>0.08249999999999999</x:v>
      </x:c>
      <x:c r="G1059" s="8" t="n">
        <x:v>0</x:v>
      </x:c>
      <x:c r="H1059" s="8" t="n">
        <x:v>0</x:v>
      </x:c>
      <x:c r="I1059" s="8" t="n">
        <x:v>0</x:v>
      </x:c>
      <x:c r="J1059" s="8" t="n">
        <x:v>0</x:v>
      </x:c>
      <x:c r="K1059" s="8" t="n">
        <x:v>630</x:v>
      </x:c>
      <x:c r="L1059" s="8" t="n">
        <x:v>0</x:v>
      </x:c>
      <x:c r="M1059" s="21" t="n">
        <x:f>E1059+K1059-I1059-J1059-L1059</x:f>
        <x:v>630</x:v>
      </x:c>
    </x:row>
    <x:row r="1060" ht="36" customHeight="1">
      <x:c r="A1060" s="8" t="str">
        <x:v>Cash-first</x:v>
      </x:c>
      <x:c r="B1060" s="8" t="str">
        <x:v>Severe combined</x:v>
      </x:c>
      <x:c r="C1060" s="8" t="str">
        <x:v>Atlas notes</x:v>
      </x:c>
      <x:c r="D1060" s="22" t="n">
        <x:v>2</x:v>
      </x:c>
      <x:c r="E1060" s="8" t="n">
        <x:v>900</x:v>
      </x:c>
      <x:c r="F1060" s="23" t="n">
        <x:v>0.038</x:v>
      </x:c>
      <x:c r="G1060" s="8" t="n">
        <x:v>34.199999999999996</x:v>
      </x:c>
      <x:c r="H1060" s="8" t="n">
        <x:v>0</x:v>
      </x:c>
      <x:c r="I1060" s="8" t="n">
        <x:v>0</x:v>
      </x:c>
      <x:c r="J1060" s="8" t="n">
        <x:v>0</x:v>
      </x:c>
      <x:c r="K1060" s="8" t="n">
        <x:v>0</x:v>
      </x:c>
      <x:c r="L1060" s="8" t="n">
        <x:v>0</x:v>
      </x:c>
      <x:c r="M1060" s="21" t="n">
        <x:f>E1060+K1060-I1060-J1060-L1060</x:f>
        <x:v>900</x:v>
      </x:c>
    </x:row>
    <x:row r="1061" ht="36" customHeight="1">
      <x:c r="A1061" s="8" t="str">
        <x:v>Cash-first</x:v>
      </x:c>
      <x:c r="B1061" s="8" t="str">
        <x:v>Severe combined</x:v>
      </x:c>
      <x:c r="C1061" s="8" t="str">
        <x:v>Atlas finance lease</x:v>
      </x:c>
      <x:c r="D1061" s="22" t="n">
        <x:v>2</x:v>
      </x:c>
      <x:c r="E1061" s="8" t="n">
        <x:v>64</x:v>
      </x:c>
      <x:c r="F1061" s="23" t="n">
        <x:v>0.05</x:v>
      </x:c>
      <x:c r="G1061" s="8" t="n">
        <x:v>3.2</x:v>
      </x:c>
      <x:c r="H1061" s="8" t="n">
        <x:v>16</x:v>
      </x:c>
      <x:c r="I1061" s="8" t="n">
        <x:v>16</x:v>
      </x:c>
      <x:c r="J1061" s="8" t="n">
        <x:v>0</x:v>
      </x:c>
      <x:c r="K1061" s="8" t="n">
        <x:v>0</x:v>
      </x:c>
      <x:c r="L1061" s="8" t="n">
        <x:v>0</x:v>
      </x:c>
      <x:c r="M1061" s="21" t="n">
        <x:f>E1061+K1061-I1061-J1061-L1061</x:f>
        <x:v>48</x:v>
      </x:c>
    </x:row>
    <x:row r="1062" ht="36" customHeight="1">
      <x:c r="A1062" s="8" t="str">
        <x:v>Cash-first</x:v>
      </x:c>
      <x:c r="B1062" s="8" t="str">
        <x:v>Severe combined</x:v>
      </x:c>
      <x:c r="C1062" s="8" t="str">
        <x:v>Beacon notes</x:v>
      </x:c>
      <x:c r="D1062" s="22" t="n">
        <x:v>2</x:v>
      </x:c>
      <x:c r="E1062" s="8" t="n">
        <x:v>350</x:v>
      </x:c>
      <x:c r="F1062" s="23" t="n">
        <x:v>0.0475</x:v>
      </x:c>
      <x:c r="G1062" s="8" t="n">
        <x:v>16.625</x:v>
      </x:c>
      <x:c r="H1062" s="8" t="n">
        <x:v>0</x:v>
      </x:c>
      <x:c r="I1062" s="8" t="n">
        <x:v>0</x:v>
      </x:c>
      <x:c r="J1062" s="8" t="n">
        <x:v>0</x:v>
      </x:c>
      <x:c r="K1062" s="8" t="n">
        <x:v>0</x:v>
      </x:c>
      <x:c r="L1062" s="8" t="n">
        <x:v>0</x:v>
      </x:c>
      <x:c r="M1062" s="21" t="n">
        <x:f>E1062+K1062-I1062-J1062-L1062</x:f>
        <x:v>350</x:v>
      </x:c>
    </x:row>
    <x:row r="1063" ht="36" customHeight="1">
      <x:c r="A1063" s="8" t="str">
        <x:v>Cash-first</x:v>
      </x:c>
      <x:c r="B1063" s="8" t="str">
        <x:v>Severe combined</x:v>
      </x:c>
      <x:c r="C1063" s="8" t="str">
        <x:v>Acquisition term</x:v>
      </x:c>
      <x:c r="D1063" s="22" t="n">
        <x:v>2</x:v>
      </x:c>
      <x:c r="E1063" s="8" t="n">
        <x:v>1313.2994923857868</x:v>
      </x:c>
      <x:c r="F1063" s="23" t="n">
        <x:v>0.1025</x:v>
      </x:c>
      <x:c r="G1063" s="8" t="n">
        <x:v>134.61319796954314</x:v>
      </x:c>
      <x:c r="H1063" s="8" t="n">
        <x:v>26.802030456852794</x:v>
      </x:c>
      <x:c r="I1063" s="8" t="n">
        <x:v>26.802030456852794</x:v>
      </x:c>
      <x:c r="J1063" s="8" t="n">
        <x:v>0</x:v>
      </x:c>
      <x:c r="K1063" s="8" t="n">
        <x:v>0</x:v>
      </x:c>
      <x:c r="L1063" s="8" t="n">
        <x:v>0</x:v>
      </x:c>
      <x:c r="M1063" s="21" t="n">
        <x:f>E1063+K1063-I1063-J1063-L1063</x:f>
        <x:v>1286.497461928934</x:v>
      </x:c>
    </x:row>
    <x:row r="1064" ht="36" customHeight="1">
      <x:c r="A1064" s="8" t="str">
        <x:v>Cash-first</x:v>
      </x:c>
      <x:c r="B1064" s="8" t="str">
        <x:v>Severe combined</x:v>
      </x:c>
      <x:c r="C1064" s="8" t="str">
        <x:v>Committed revolver</x:v>
      </x:c>
      <x:c r="D1064" s="22" t="n">
        <x:v>2</x:v>
      </x:c>
      <x:c r="E1064" s="8" t="n">
        <x:v>630</x:v>
      </x:c>
      <x:c r="F1064" s="23" t="n">
        <x:v>0.07999999999999999</x:v>
      </x:c>
      <x:c r="G1064" s="8" t="n">
        <x:v>50.39999999999999</x:v>
      </x:c>
      <x:c r="H1064" s="8" t="n">
        <x:v>0</x:v>
      </x:c>
      <x:c r="I1064" s="8" t="n">
        <x:v>0</x:v>
      </x:c>
      <x:c r="J1064" s="8" t="n">
        <x:v>0</x:v>
      </x:c>
      <x:c r="K1064" s="8" t="n">
        <x:v>0</x:v>
      </x:c>
      <x:c r="L1064" s="8" t="n">
        <x:v>0</x:v>
      </x:c>
      <x:c r="M1064" s="21" t="n">
        <x:f>E1064+K1064-I1064-J1064-L1064</x:f>
        <x:v>630</x:v>
      </x:c>
    </x:row>
    <x:row r="1065" ht="36" customHeight="1">
      <x:c r="A1065" s="8" t="str">
        <x:v>Cash-first</x:v>
      </x:c>
      <x:c r="B1065" s="8" t="str">
        <x:v>Severe combined</x:v>
      </x:c>
      <x:c r="C1065" s="8" t="str">
        <x:v>Atlas notes</x:v>
      </x:c>
      <x:c r="D1065" s="22" t="n">
        <x:v>3</x:v>
      </x:c>
      <x:c r="E1065" s="8" t="n">
        <x:v>900</x:v>
      </x:c>
      <x:c r="F1065" s="23" t="n">
        <x:v>0.038</x:v>
      </x:c>
      <x:c r="G1065" s="8" t="n">
        <x:v>34.199999999999996</x:v>
      </x:c>
      <x:c r="H1065" s="8" t="n">
        <x:v>0</x:v>
      </x:c>
      <x:c r="I1065" s="8" t="n">
        <x:v>0</x:v>
      </x:c>
      <x:c r="J1065" s="8" t="n">
        <x:v>0</x:v>
      </x:c>
      <x:c r="K1065" s="8" t="n">
        <x:v>0</x:v>
      </x:c>
      <x:c r="L1065" s="8" t="n">
        <x:v>0</x:v>
      </x:c>
      <x:c r="M1065" s="21" t="n">
        <x:f>E1065+K1065-I1065-J1065-L1065</x:f>
        <x:v>900</x:v>
      </x:c>
    </x:row>
    <x:row r="1066" ht="36" customHeight="1">
      <x:c r="A1066" s="8" t="str">
        <x:v>Cash-first</x:v>
      </x:c>
      <x:c r="B1066" s="8" t="str">
        <x:v>Severe combined</x:v>
      </x:c>
      <x:c r="C1066" s="8" t="str">
        <x:v>Atlas finance lease</x:v>
      </x:c>
      <x:c r="D1066" s="22" t="n">
        <x:v>3</x:v>
      </x:c>
      <x:c r="E1066" s="8" t="n">
        <x:v>48</x:v>
      </x:c>
      <x:c r="F1066" s="23" t="n">
        <x:v>0.05</x:v>
      </x:c>
      <x:c r="G1066" s="8" t="n">
        <x:v>2.4000000000000004</x:v>
      </x:c>
      <x:c r="H1066" s="8" t="n">
        <x:v>16</x:v>
      </x:c>
      <x:c r="I1066" s="8" t="n">
        <x:v>16</x:v>
      </x:c>
      <x:c r="J1066" s="8" t="n">
        <x:v>0</x:v>
      </x:c>
      <x:c r="K1066" s="8" t="n">
        <x:v>0</x:v>
      </x:c>
      <x:c r="L1066" s="8" t="n">
        <x:v>0</x:v>
      </x:c>
      <x:c r="M1066" s="21" t="n">
        <x:f>E1066+K1066-I1066-J1066-L1066</x:f>
        <x:v>32</x:v>
      </x:c>
    </x:row>
    <x:row r="1067" ht="36" customHeight="1">
      <x:c r="A1067" s="8" t="str">
        <x:v>Cash-first</x:v>
      </x:c>
      <x:c r="B1067" s="8" t="str">
        <x:v>Severe combined</x:v>
      </x:c>
      <x:c r="C1067" s="8" t="str">
        <x:v>Beacon notes</x:v>
      </x:c>
      <x:c r="D1067" s="22" t="n">
        <x:v>3</x:v>
      </x:c>
      <x:c r="E1067" s="8" t="n">
        <x:v>350</x:v>
      </x:c>
      <x:c r="F1067" s="23" t="n">
        <x:v>0.0475</x:v>
      </x:c>
      <x:c r="G1067" s="8" t="n">
        <x:v>16.625</x:v>
      </x:c>
      <x:c r="H1067" s="8" t="n">
        <x:v>350</x:v>
      </x:c>
      <x:c r="I1067" s="8" t="n">
        <x:v>168.6278081103854</x:v>
      </x:c>
      <x:c r="J1067" s="8" t="n">
        <x:v>0</x:v>
      </x:c>
      <x:c r="K1067" s="8" t="n">
        <x:v>0</x:v>
      </x:c>
      <x:c r="L1067" s="8" t="n">
        <x:v>0</x:v>
      </x:c>
      <x:c r="M1067" s="21" t="n">
        <x:f>E1067+K1067-I1067-J1067-L1067</x:f>
        <x:v>181.3721918896146</x:v>
      </x:c>
    </x:row>
    <x:row r="1068" ht="36" customHeight="1">
      <x:c r="A1068" s="8" t="str">
        <x:v>Cash-first</x:v>
      </x:c>
      <x:c r="B1068" s="8" t="str">
        <x:v>Severe combined</x:v>
      </x:c>
      <x:c r="C1068" s="8" t="str">
        <x:v>Acquisition term</x:v>
      </x:c>
      <x:c r="D1068" s="22" t="n">
        <x:v>3</x:v>
      </x:c>
      <x:c r="E1068" s="8" t="n">
        <x:v>1286.497461928934</x:v>
      </x:c>
      <x:c r="F1068" s="23" t="n">
        <x:v>0.10000000000000002</x:v>
      </x:c>
      <x:c r="G1068" s="8" t="n">
        <x:v>128.64974619289342</x:v>
      </x:c>
      <x:c r="H1068" s="8" t="n">
        <x:v>26.802030456852794</x:v>
      </x:c>
      <x:c r="I1068" s="8" t="n">
        <x:v>0</x:v>
      </x:c>
      <x:c r="J1068" s="8" t="n">
        <x:v>0</x:v>
      </x:c>
      <x:c r="K1068" s="8" t="n">
        <x:v>0</x:v>
      </x:c>
      <x:c r="L1068" s="8" t="n">
        <x:v>0</x:v>
      </x:c>
      <x:c r="M1068" s="21" t="n">
        <x:f>E1068+K1068-I1068-J1068-L1068</x:f>
        <x:v>1286.497461928934</x:v>
      </x:c>
    </x:row>
    <x:row r="1069" ht="36" customHeight="1">
      <x:c r="A1069" s="8" t="str">
        <x:v>Cash-first</x:v>
      </x:c>
      <x:c r="B1069" s="8" t="str">
        <x:v>Severe combined</x:v>
      </x:c>
      <x:c r="C1069" s="8" t="str">
        <x:v>Committed revolver</x:v>
      </x:c>
      <x:c r="D1069" s="22" t="n">
        <x:v>3</x:v>
      </x:c>
      <x:c r="E1069" s="8" t="n">
        <x:v>630</x:v>
      </x:c>
      <x:c r="F1069" s="23" t="n">
        <x:v>0.07750000000000001</x:v>
      </x:c>
      <x:c r="G1069" s="8" t="n">
        <x:v>48.82500000000001</x:v>
      </x:c>
      <x:c r="H1069" s="8" t="n">
        <x:v>0</x:v>
      </x:c>
      <x:c r="I1069" s="8" t="n">
        <x:v>0</x:v>
      </x:c>
      <x:c r="J1069" s="8" t="n">
        <x:v>0</x:v>
      </x:c>
      <x:c r="K1069" s="8" t="n">
        <x:v>0</x:v>
      </x:c>
      <x:c r="L1069" s="8" t="n">
        <x:v>0</x:v>
      </x:c>
      <x:c r="M1069" s="21" t="n">
        <x:f>E1069+K1069-I1069-J1069-L1069</x:f>
        <x:v>630</x:v>
      </x:c>
    </x:row>
    <x:row r="1070" ht="36" customHeight="1">
      <x:c r="A1070" s="8" t="str">
        <x:v>Cash-first</x:v>
      </x:c>
      <x:c r="B1070" s="8" t="str">
        <x:v>Severe combined</x:v>
      </x:c>
      <x:c r="C1070" s="8" t="str">
        <x:v>Atlas notes</x:v>
      </x:c>
      <x:c r="D1070" s="22" t="n">
        <x:v>4</x:v>
      </x:c>
      <x:c r="E1070" s="8" t="n">
        <x:v>900</x:v>
      </x:c>
      <x:c r="F1070" s="23" t="n">
        <x:v>0.038</x:v>
      </x:c>
      <x:c r="G1070" s="8" t="n">
        <x:v>34.199999999999996</x:v>
      </x:c>
      <x:c r="H1070" s="8" t="n">
        <x:v>900</x:v>
      </x:c>
      <x:c r="I1070" s="8" t="n">
        <x:v>0</x:v>
      </x:c>
      <x:c r="J1070" s="8" t="n">
        <x:v>0</x:v>
      </x:c>
      <x:c r="K1070" s="8" t="n">
        <x:v>0</x:v>
      </x:c>
      <x:c r="L1070" s="8" t="n">
        <x:v>0</x:v>
      </x:c>
      <x:c r="M1070" s="21" t="n">
        <x:f>E1070+K1070-I1070-J1070-L1070</x:f>
        <x:v>900</x:v>
      </x:c>
    </x:row>
    <x:row r="1071" ht="36" customHeight="1">
      <x:c r="A1071" s="8" t="str">
        <x:v>Cash-first</x:v>
      </x:c>
      <x:c r="B1071" s="8" t="str">
        <x:v>Severe combined</x:v>
      </x:c>
      <x:c r="C1071" s="8" t="str">
        <x:v>Atlas finance lease</x:v>
      </x:c>
      <x:c r="D1071" s="22" t="n">
        <x:v>4</x:v>
      </x:c>
      <x:c r="E1071" s="8" t="n">
        <x:v>32</x:v>
      </x:c>
      <x:c r="F1071" s="23" t="n">
        <x:v>0.05</x:v>
      </x:c>
      <x:c r="G1071" s="8" t="n">
        <x:v>1.6</x:v>
      </x:c>
      <x:c r="H1071" s="8" t="n">
        <x:v>16</x:v>
      </x:c>
      <x:c r="I1071" s="8" t="n">
        <x:v>0</x:v>
      </x:c>
      <x:c r="J1071" s="8" t="n">
        <x:v>0</x:v>
      </x:c>
      <x:c r="K1071" s="8" t="n">
        <x:v>0</x:v>
      </x:c>
      <x:c r="L1071" s="8" t="n">
        <x:v>0</x:v>
      </x:c>
      <x:c r="M1071" s="21" t="n">
        <x:f>E1071+K1071-I1071-J1071-L1071</x:f>
        <x:v>32</x:v>
      </x:c>
    </x:row>
    <x:row r="1072" ht="36" customHeight="1">
      <x:c r="A1072" s="8" t="str">
        <x:v>Cash-first</x:v>
      </x:c>
      <x:c r="B1072" s="8" t="str">
        <x:v>Severe combined</x:v>
      </x:c>
      <x:c r="C1072" s="8" t="str">
        <x:v>Beacon notes</x:v>
      </x:c>
      <x:c r="D1072" s="22" t="n">
        <x:v>4</x:v>
      </x:c>
      <x:c r="E1072" s="8" t="n">
        <x:v>181.3721918896146</x:v>
      </x:c>
      <x:c r="F1072" s="23" t="n">
        <x:v>0.0475</x:v>
      </x:c>
      <x:c r="G1072" s="8" t="n">
        <x:v>8.615179114756694</x:v>
      </x:c>
      <x:c r="H1072" s="8" t="n">
        <x:v>181.3721918896146</x:v>
      </x:c>
      <x:c r="I1072" s="8" t="n">
        <x:v>0</x:v>
      </x:c>
      <x:c r="J1072" s="8" t="n">
        <x:v>0</x:v>
      </x:c>
      <x:c r="K1072" s="8" t="n">
        <x:v>0</x:v>
      </x:c>
      <x:c r="L1072" s="8" t="n">
        <x:v>0</x:v>
      </x:c>
      <x:c r="M1072" s="21" t="n">
        <x:f>E1072+K1072-I1072-J1072-L1072</x:f>
        <x:v>181.3721918896146</x:v>
      </x:c>
    </x:row>
    <x:row r="1073" ht="36" customHeight="1">
      <x:c r="A1073" s="8" t="str">
        <x:v>Cash-first</x:v>
      </x:c>
      <x:c r="B1073" s="8" t="str">
        <x:v>Severe combined</x:v>
      </x:c>
      <x:c r="C1073" s="8" t="str">
        <x:v>Acquisition term</x:v>
      </x:c>
      <x:c r="D1073" s="22" t="n">
        <x:v>4</x:v>
      </x:c>
      <x:c r="E1073" s="8" t="n">
        <x:v>1286.497461928934</x:v>
      </x:c>
      <x:c r="F1073" s="23" t="n">
        <x:v>0.10000000000000002</x:v>
      </x:c>
      <x:c r="G1073" s="8" t="n">
        <x:v>128.64974619289342</x:v>
      </x:c>
      <x:c r="H1073" s="8" t="n">
        <x:v>26.802030456852794</x:v>
      </x:c>
      <x:c r="I1073" s="8" t="n">
        <x:v>0</x:v>
      </x:c>
      <x:c r="J1073" s="8" t="n">
        <x:v>0</x:v>
      </x:c>
      <x:c r="K1073" s="8" t="n">
        <x:v>0</x:v>
      </x:c>
      <x:c r="L1073" s="8" t="n">
        <x:v>0</x:v>
      </x:c>
      <x:c r="M1073" s="21" t="n">
        <x:f>E1073+K1073-I1073-J1073-L1073</x:f>
        <x:v>1286.497461928934</x:v>
      </x:c>
    </x:row>
    <x:row r="1074" ht="36" customHeight="1">
      <x:c r="A1074" s="8" t="str">
        <x:v>Cash-first</x:v>
      </x:c>
      <x:c r="B1074" s="8" t="str">
        <x:v>Severe combined</x:v>
      </x:c>
      <x:c r="C1074" s="8" t="str">
        <x:v>Committed revolver</x:v>
      </x:c>
      <x:c r="D1074" s="22" t="n">
        <x:v>4</x:v>
      </x:c>
      <x:c r="E1074" s="8" t="n">
        <x:v>630</x:v>
      </x:c>
      <x:c r="F1074" s="23" t="n">
        <x:v>0.07750000000000001</x:v>
      </x:c>
      <x:c r="G1074" s="8" t="n">
        <x:v>48.82500000000001</x:v>
      </x:c>
      <x:c r="H1074" s="8" t="n">
        <x:v>0</x:v>
      </x:c>
      <x:c r="I1074" s="8" t="n">
        <x:v>0</x:v>
      </x:c>
      <x:c r="J1074" s="8" t="n">
        <x:v>0</x:v>
      </x:c>
      <x:c r="K1074" s="8" t="n">
        <x:v>0</x:v>
      </x:c>
      <x:c r="L1074" s="8" t="n">
        <x:v>0</x:v>
      </x:c>
      <x:c r="M1074" s="21" t="n">
        <x:f>E1074+K1074-I1074-J1074-L1074</x:f>
        <x:v>630</x:v>
      </x:c>
    </x:row>
    <x:row r="1075" ht="36" customHeight="1">
      <x:c r="A1075" s="8" t="str">
        <x:v>Cash-first</x:v>
      </x:c>
      <x:c r="B1075" s="8" t="str">
        <x:v>Severe combined</x:v>
      </x:c>
      <x:c r="C1075" s="8" t="str">
        <x:v>Atlas notes</x:v>
      </x:c>
      <x:c r="D1075" s="22" t="n">
        <x:v>5</x:v>
      </x:c>
      <x:c r="E1075" s="8" t="n">
        <x:v>900</x:v>
      </x:c>
      <x:c r="F1075" s="23" t="n">
        <x:v>0.038</x:v>
      </x:c>
      <x:c r="G1075" s="8" t="n">
        <x:v>34.199999999999996</x:v>
      </x:c>
      <x:c r="H1075" s="8" t="n">
        <x:v>900</x:v>
      </x:c>
      <x:c r="I1075" s="8" t="n">
        <x:v>0</x:v>
      </x:c>
      <x:c r="J1075" s="8" t="n">
        <x:v>0</x:v>
      </x:c>
      <x:c r="K1075" s="8" t="n">
        <x:v>0</x:v>
      </x:c>
      <x:c r="L1075" s="8" t="n">
        <x:v>0</x:v>
      </x:c>
      <x:c r="M1075" s="21" t="n">
        <x:f>E1075+K1075-I1075-J1075-L1075</x:f>
        <x:v>900</x:v>
      </x:c>
    </x:row>
    <x:row r="1076" ht="36" customHeight="1">
      <x:c r="A1076" s="8" t="str">
        <x:v>Cash-first</x:v>
      </x:c>
      <x:c r="B1076" s="8" t="str">
        <x:v>Severe combined</x:v>
      </x:c>
      <x:c r="C1076" s="8" t="str">
        <x:v>Atlas finance lease</x:v>
      </x:c>
      <x:c r="D1076" s="22" t="n">
        <x:v>5</x:v>
      </x:c>
      <x:c r="E1076" s="8" t="n">
        <x:v>32</x:v>
      </x:c>
      <x:c r="F1076" s="23" t="n">
        <x:v>0.05</x:v>
      </x:c>
      <x:c r="G1076" s="8" t="n">
        <x:v>1.6</x:v>
      </x:c>
      <x:c r="H1076" s="8" t="n">
        <x:v>32</x:v>
      </x:c>
      <x:c r="I1076" s="8" t="n">
        <x:v>0</x:v>
      </x:c>
      <x:c r="J1076" s="8" t="n">
        <x:v>0</x:v>
      </x:c>
      <x:c r="K1076" s="8" t="n">
        <x:v>0</x:v>
      </x:c>
      <x:c r="L1076" s="8" t="n">
        <x:v>0</x:v>
      </x:c>
      <x:c r="M1076" s="21" t="n">
        <x:f>E1076+K1076-I1076-J1076-L1076</x:f>
        <x:v>32</x:v>
      </x:c>
    </x:row>
    <x:row r="1077" ht="36" customHeight="1">
      <x:c r="A1077" s="8" t="str">
        <x:v>Cash-first</x:v>
      </x:c>
      <x:c r="B1077" s="8" t="str">
        <x:v>Severe combined</x:v>
      </x:c>
      <x:c r="C1077" s="8" t="str">
        <x:v>Beacon notes</x:v>
      </x:c>
      <x:c r="D1077" s="22" t="n">
        <x:v>5</x:v>
      </x:c>
      <x:c r="E1077" s="8" t="n">
        <x:v>181.3721918896146</x:v>
      </x:c>
      <x:c r="F1077" s="23" t="n">
        <x:v>0.0475</x:v>
      </x:c>
      <x:c r="G1077" s="8" t="n">
        <x:v>8.615179114756694</x:v>
      </x:c>
      <x:c r="H1077" s="8" t="n">
        <x:v>181.3721918896146</x:v>
      </x:c>
      <x:c r="I1077" s="8" t="n">
        <x:v>0</x:v>
      </x:c>
      <x:c r="J1077" s="8" t="n">
        <x:v>0</x:v>
      </x:c>
      <x:c r="K1077" s="8" t="n">
        <x:v>0</x:v>
      </x:c>
      <x:c r="L1077" s="8" t="n">
        <x:v>0</x:v>
      </x:c>
      <x:c r="M1077" s="21" t="n">
        <x:f>E1077+K1077-I1077-J1077-L1077</x:f>
        <x:v>181.3721918896146</x:v>
      </x:c>
    </x:row>
    <x:row r="1078" ht="36" customHeight="1">
      <x:c r="A1078" s="8" t="str">
        <x:v>Cash-first</x:v>
      </x:c>
      <x:c r="B1078" s="8" t="str">
        <x:v>Severe combined</x:v>
      </x:c>
      <x:c r="C1078" s="8" t="str">
        <x:v>Acquisition term</x:v>
      </x:c>
      <x:c r="D1078" s="22" t="n">
        <x:v>5</x:v>
      </x:c>
      <x:c r="E1078" s="8" t="n">
        <x:v>1286.497461928934</x:v>
      </x:c>
      <x:c r="F1078" s="23" t="n">
        <x:v>0.10000000000000002</x:v>
      </x:c>
      <x:c r="G1078" s="8" t="n">
        <x:v>128.64974619289342</x:v>
      </x:c>
      <x:c r="H1078" s="8" t="n">
        <x:v>1286.497461928934</x:v>
      </x:c>
      <x:c r="I1078" s="8" t="n">
        <x:v>0</x:v>
      </x:c>
      <x:c r="J1078" s="8" t="n">
        <x:v>0</x:v>
      </x:c>
      <x:c r="K1078" s="8" t="n">
        <x:v>0</x:v>
      </x:c>
      <x:c r="L1078" s="8" t="n">
        <x:v>0</x:v>
      </x:c>
      <x:c r="M1078" s="21" t="n">
        <x:f>E1078+K1078-I1078-J1078-L1078</x:f>
        <x:v>1286.497461928934</x:v>
      </x:c>
    </x:row>
    <x:row r="1079" ht="36" customHeight="1">
      <x:c r="A1079" s="8" t="str">
        <x:v>Cash-first</x:v>
      </x:c>
      <x:c r="B1079" s="8" t="str">
        <x:v>Severe combined</x:v>
      </x:c>
      <x:c r="C1079" s="8" t="str">
        <x:v>Committed revolver</x:v>
      </x:c>
      <x:c r="D1079" s="22" t="n">
        <x:v>5</x:v>
      </x:c>
      <x:c r="E1079" s="8" t="n">
        <x:v>630</x:v>
      </x:c>
      <x:c r="F1079" s="23" t="n">
        <x:v>0.07750000000000001</x:v>
      </x:c>
      <x:c r="G1079" s="8" t="n">
        <x:v>48.82500000000001</x:v>
      </x:c>
      <x:c r="H1079" s="8" t="n">
        <x:v>630</x:v>
      </x:c>
      <x:c r="I1079" s="8" t="n">
        <x:v>0</x:v>
      </x:c>
      <x:c r="J1079" s="8" t="n">
        <x:v>0</x:v>
      </x:c>
      <x:c r="K1079" s="8" t="n">
        <x:v>0</x:v>
      </x:c>
      <x:c r="L1079" s="8" t="n">
        <x:v>0</x:v>
      </x:c>
      <x:c r="M1079" s="21" t="n">
        <x:f>E1079+K1079-I1079-J1079-L1079</x:f>
        <x:v>630</x:v>
      </x:c>
    </x:row>
    <x:row r="1080" ht="36" customHeight="1">
      <x:c r="A1080" s="8" t="str">
        <x:v>Liquidity-first</x:v>
      </x:c>
      <x:c r="B1080" s="8" t="str">
        <x:v>Severe combined</x:v>
      </x:c>
      <x:c r="C1080" s="8" t="str">
        <x:v>Atlas notes</x:v>
      </x:c>
      <x:c r="D1080" s="22" t="n">
        <x:v>1</x:v>
      </x:c>
      <x:c r="E1080" s="8" t="n">
        <x:v>900</x:v>
      </x:c>
      <x:c r="F1080" s="23" t="n">
        <x:v>0.038</x:v>
      </x:c>
      <x:c r="G1080" s="8" t="n">
        <x:v>34.199999999999996</x:v>
      </x:c>
      <x:c r="H1080" s="8" t="n">
        <x:v>0</x:v>
      </x:c>
      <x:c r="I1080" s="8" t="n">
        <x:v>0</x:v>
      </x:c>
      <x:c r="J1080" s="8" t="n">
        <x:v>0</x:v>
      </x:c>
      <x:c r="K1080" s="8" t="n">
        <x:v>0</x:v>
      </x:c>
      <x:c r="L1080" s="8" t="n">
        <x:v>0</x:v>
      </x:c>
      <x:c r="M1080" s="21" t="n">
        <x:f>E1080+K1080-I1080-J1080-L1080</x:f>
        <x:v>900</x:v>
      </x:c>
    </x:row>
    <x:row r="1081" ht="36" customHeight="1">
      <x:c r="A1081" s="8" t="str">
        <x:v>Liquidity-first</x:v>
      </x:c>
      <x:c r="B1081" s="8" t="str">
        <x:v>Severe combined</x:v>
      </x:c>
      <x:c r="C1081" s="8" t="str">
        <x:v>Atlas finance lease</x:v>
      </x:c>
      <x:c r="D1081" s="22" t="n">
        <x:v>1</x:v>
      </x:c>
      <x:c r="E1081" s="8" t="n">
        <x:v>80</x:v>
      </x:c>
      <x:c r="F1081" s="23" t="n">
        <x:v>0.05</x:v>
      </x:c>
      <x:c r="G1081" s="8" t="n">
        <x:v>4</x:v>
      </x:c>
      <x:c r="H1081" s="8" t="n">
        <x:v>16</x:v>
      </x:c>
      <x:c r="I1081" s="8" t="n">
        <x:v>16</x:v>
      </x:c>
      <x:c r="J1081" s="8" t="n">
        <x:v>0</x:v>
      </x:c>
      <x:c r="K1081" s="8" t="n">
        <x:v>0</x:v>
      </x:c>
      <x:c r="L1081" s="8" t="n">
        <x:v>0</x:v>
      </x:c>
      <x:c r="M1081" s="21" t="n">
        <x:f>E1081+K1081-I1081-J1081-L1081</x:f>
        <x:v>64</x:v>
      </x:c>
    </x:row>
    <x:row r="1082" ht="36" customHeight="1">
      <x:c r="A1082" s="8" t="str">
        <x:v>Liquidity-first</x:v>
      </x:c>
      <x:c r="B1082" s="8" t="str">
        <x:v>Severe combined</x:v>
      </x:c>
      <x:c r="C1082" s="8" t="str">
        <x:v>Beacon notes</x:v>
      </x:c>
      <x:c r="D1082" s="22" t="n">
        <x:v>1</x:v>
      </x:c>
      <x:c r="E1082" s="8" t="n">
        <x:v>350</x:v>
      </x:c>
      <x:c r="F1082" s="23" t="n">
        <x:v>0.0475</x:v>
      </x:c>
      <x:c r="G1082" s="8" t="n">
        <x:v>16.625</x:v>
      </x:c>
      <x:c r="H1082" s="8" t="n">
        <x:v>0</x:v>
      </x:c>
      <x:c r="I1082" s="8" t="n">
        <x:v>0</x:v>
      </x:c>
      <x:c r="J1082" s="8" t="n">
        <x:v>0</x:v>
      </x:c>
      <x:c r="K1082" s="8" t="n">
        <x:v>0</x:v>
      </x:c>
      <x:c r="L1082" s="8" t="n">
        <x:v>0</x:v>
      </x:c>
      <x:c r="M1082" s="21" t="n">
        <x:f>E1082+K1082-I1082-J1082-L1082</x:f>
        <x:v>350</x:v>
      </x:c>
    </x:row>
    <x:row r="1083" ht="36" customHeight="1">
      <x:c r="A1083" s="8" t="str">
        <x:v>Liquidity-first</x:v>
      </x:c>
      <x:c r="B1083" s="8" t="str">
        <x:v>Severe combined</x:v>
      </x:c>
      <x:c r="C1083" s="8" t="str">
        <x:v>Acquisition term</x:v>
      </x:c>
      <x:c r="D1083" s="22" t="n">
        <x:v>1</x:v>
      </x:c>
      <x:c r="E1083" s="8" t="n">
        <x:v>2223.3502538071066</x:v>
      </x:c>
      <x:c r="F1083" s="23" t="n">
        <x:v>0.105</x:v>
      </x:c>
      <x:c r="G1083" s="8" t="n">
        <x:v>233.4517766497462</x:v>
      </x:c>
      <x:c r="H1083" s="8" t="n">
        <x:v>44.46700507614213</x:v>
      </x:c>
      <x:c r="I1083" s="8" t="n">
        <x:v>44.46700507614213</x:v>
      </x:c>
      <x:c r="J1083" s="8" t="n">
        <x:v>45.59697065572482</x:v>
      </x:c>
      <x:c r="K1083" s="8" t="n">
        <x:v>0</x:v>
      </x:c>
      <x:c r="L1083" s="8" t="n">
        <x:v>0</x:v>
      </x:c>
      <x:c r="M1083" s="21" t="n">
        <x:f>E1083+K1083-I1083-J1083-L1083</x:f>
        <x:v>2133.28627807524</x:v>
      </x:c>
    </x:row>
    <x:row r="1084" ht="36" customHeight="1">
      <x:c r="A1084" s="8" t="str">
        <x:v>Liquidity-first</x:v>
      </x:c>
      <x:c r="B1084" s="8" t="str">
        <x:v>Severe combined</x:v>
      </x:c>
      <x:c r="C1084" s="8" t="str">
        <x:v>Committed revolver</x:v>
      </x:c>
      <x:c r="D1084" s="22" t="n">
        <x:v>1</x:v>
      </x:c>
      <x:c r="E1084" s="8" t="n">
        <x:v>0</x:v>
      </x:c>
      <x:c r="F1084" s="23" t="n">
        <x:v>0.08249999999999999</x:v>
      </x:c>
      <x:c r="G1084" s="8" t="n">
        <x:v>0</x:v>
      </x:c>
      <x:c r="H1084" s="8" t="n">
        <x:v>0</x:v>
      </x:c>
      <x:c r="I1084" s="8" t="n">
        <x:v>0</x:v>
      </x:c>
      <x:c r="J1084" s="8" t="n">
        <x:v>0</x:v>
      </x:c>
      <x:c r="K1084" s="8" t="n">
        <x:v>0</x:v>
      </x:c>
      <x:c r="L1084" s="8" t="n">
        <x:v>0</x:v>
      </x:c>
      <x:c r="M1084" s="21" t="n">
        <x:f>E1084+K1084-I1084-J1084-L1084</x:f>
        <x:v>0</x:v>
      </x:c>
    </x:row>
    <x:row r="1085" ht="36" customHeight="1">
      <x:c r="A1085" s="8" t="str">
        <x:v>Liquidity-first</x:v>
      </x:c>
      <x:c r="B1085" s="8" t="str">
        <x:v>Severe combined</x:v>
      </x:c>
      <x:c r="C1085" s="8" t="str">
        <x:v>Atlas notes</x:v>
      </x:c>
      <x:c r="D1085" s="22" t="n">
        <x:v>2</x:v>
      </x:c>
      <x:c r="E1085" s="8" t="n">
        <x:v>900</x:v>
      </x:c>
      <x:c r="F1085" s="23" t="n">
        <x:v>0.038</x:v>
      </x:c>
      <x:c r="G1085" s="8" t="n">
        <x:v>34.199999999999996</x:v>
      </x:c>
      <x:c r="H1085" s="8" t="n">
        <x:v>0</x:v>
      </x:c>
      <x:c r="I1085" s="8" t="n">
        <x:v>0</x:v>
      </x:c>
      <x:c r="J1085" s="8" t="n">
        <x:v>0</x:v>
      </x:c>
      <x:c r="K1085" s="8" t="n">
        <x:v>0</x:v>
      </x:c>
      <x:c r="L1085" s="8" t="n">
        <x:v>0</x:v>
      </x:c>
      <x:c r="M1085" s="21" t="n">
        <x:f>E1085+K1085-I1085-J1085-L1085</x:f>
        <x:v>900</x:v>
      </x:c>
    </x:row>
    <x:row r="1086" ht="36" customHeight="1">
      <x:c r="A1086" s="8" t="str">
        <x:v>Liquidity-first</x:v>
      </x:c>
      <x:c r="B1086" s="8" t="str">
        <x:v>Severe combined</x:v>
      </x:c>
      <x:c r="C1086" s="8" t="str">
        <x:v>Atlas finance lease</x:v>
      </x:c>
      <x:c r="D1086" s="22" t="n">
        <x:v>2</x:v>
      </x:c>
      <x:c r="E1086" s="8" t="n">
        <x:v>64</x:v>
      </x:c>
      <x:c r="F1086" s="23" t="n">
        <x:v>0.05</x:v>
      </x:c>
      <x:c r="G1086" s="8" t="n">
        <x:v>3.2</x:v>
      </x:c>
      <x:c r="H1086" s="8" t="n">
        <x:v>16</x:v>
      </x:c>
      <x:c r="I1086" s="8" t="n">
        <x:v>16</x:v>
      </x:c>
      <x:c r="J1086" s="8" t="n">
        <x:v>0</x:v>
      </x:c>
      <x:c r="K1086" s="8" t="n">
        <x:v>0</x:v>
      </x:c>
      <x:c r="L1086" s="8" t="n">
        <x:v>0</x:v>
      </x:c>
      <x:c r="M1086" s="21" t="n">
        <x:f>E1086+K1086-I1086-J1086-L1086</x:f>
        <x:v>48</x:v>
      </x:c>
    </x:row>
    <x:row r="1087" ht="36" customHeight="1">
      <x:c r="A1087" s="8" t="str">
        <x:v>Liquidity-first</x:v>
      </x:c>
      <x:c r="B1087" s="8" t="str">
        <x:v>Severe combined</x:v>
      </x:c>
      <x:c r="C1087" s="8" t="str">
        <x:v>Beacon notes</x:v>
      </x:c>
      <x:c r="D1087" s="22" t="n">
        <x:v>2</x:v>
      </x:c>
      <x:c r="E1087" s="8" t="n">
        <x:v>350</x:v>
      </x:c>
      <x:c r="F1087" s="23" t="n">
        <x:v>0.0475</x:v>
      </x:c>
      <x:c r="G1087" s="8" t="n">
        <x:v>16.625</x:v>
      </x:c>
      <x:c r="H1087" s="8" t="n">
        <x:v>0</x:v>
      </x:c>
      <x:c r="I1087" s="8" t="n">
        <x:v>0</x:v>
      </x:c>
      <x:c r="J1087" s="8" t="n">
        <x:v>0</x:v>
      </x:c>
      <x:c r="K1087" s="8" t="n">
        <x:v>0</x:v>
      </x:c>
      <x:c r="L1087" s="8" t="n">
        <x:v>0</x:v>
      </x:c>
      <x:c r="M1087" s="21" t="n">
        <x:f>E1087+K1087-I1087-J1087-L1087</x:f>
        <x:v>350</x:v>
      </x:c>
    </x:row>
    <x:row r="1088" ht="36" customHeight="1">
      <x:c r="A1088" s="8" t="str">
        <x:v>Liquidity-first</x:v>
      </x:c>
      <x:c r="B1088" s="8" t="str">
        <x:v>Severe combined</x:v>
      </x:c>
      <x:c r="C1088" s="8" t="str">
        <x:v>Acquisition term</x:v>
      </x:c>
      <x:c r="D1088" s="22" t="n">
        <x:v>2</x:v>
      </x:c>
      <x:c r="E1088" s="8" t="n">
        <x:v>2133.28627807524</x:v>
      </x:c>
      <x:c r="F1088" s="23" t="n">
        <x:v>0.1025</x:v>
      </x:c>
      <x:c r="G1088" s="8" t="n">
        <x:v>218.66184350271206</x:v>
      </x:c>
      <x:c r="H1088" s="8" t="n">
        <x:v>44.46700507614213</x:v>
      </x:c>
      <x:c r="I1088" s="8" t="n">
        <x:v>44.46700507614213</x:v>
      </x:c>
      <x:c r="J1088" s="8" t="n">
        <x:v>0</x:v>
      </x:c>
      <x:c r="K1088" s="8" t="n">
        <x:v>0</x:v>
      </x:c>
      <x:c r="L1088" s="8" t="n">
        <x:v>0</x:v>
      </x:c>
      <x:c r="M1088" s="21" t="n">
        <x:f>E1088+K1088-I1088-J1088-L1088</x:f>
        <x:v>2088.819272999098</x:v>
      </x:c>
    </x:row>
    <x:row r="1089" ht="36" customHeight="1">
      <x:c r="A1089" s="8" t="str">
        <x:v>Liquidity-first</x:v>
      </x:c>
      <x:c r="B1089" s="8" t="str">
        <x:v>Severe combined</x:v>
      </x:c>
      <x:c r="C1089" s="8" t="str">
        <x:v>Committed revolver</x:v>
      </x:c>
      <x:c r="D1089" s="22" t="n">
        <x:v>2</x:v>
      </x:c>
      <x:c r="E1089" s="8" t="n">
        <x:v>0</x:v>
      </x:c>
      <x:c r="F1089" s="23" t="n">
        <x:v>0.07999999999999999</x:v>
      </x:c>
      <x:c r="G1089" s="8" t="n">
        <x:v>0</x:v>
      </x:c>
      <x:c r="H1089" s="8" t="n">
        <x:v>0</x:v>
      </x:c>
      <x:c r="I1089" s="8" t="n">
        <x:v>0</x:v>
      </x:c>
      <x:c r="J1089" s="8" t="n">
        <x:v>0</x:v>
      </x:c>
      <x:c r="K1089" s="8" t="n">
        <x:v>323.3208864189291</x:v>
      </x:c>
      <x:c r="L1089" s="8" t="n">
        <x:v>0</x:v>
      </x:c>
      <x:c r="M1089" s="21" t="n">
        <x:f>E1089+K1089-I1089-J1089-L1089</x:f>
        <x:v>323.3208864189291</x:v>
      </x:c>
    </x:row>
    <x:row r="1090" ht="36" customHeight="1">
      <x:c r="A1090" s="8" t="str">
        <x:v>Liquidity-first</x:v>
      </x:c>
      <x:c r="B1090" s="8" t="str">
        <x:v>Severe combined</x:v>
      </x:c>
      <x:c r="C1090" s="8" t="str">
        <x:v>Atlas notes</x:v>
      </x:c>
      <x:c r="D1090" s="22" t="n">
        <x:v>3</x:v>
      </x:c>
      <x:c r="E1090" s="8" t="n">
        <x:v>900</x:v>
      </x:c>
      <x:c r="F1090" s="23" t="n">
        <x:v>0.038</x:v>
      </x:c>
      <x:c r="G1090" s="8" t="n">
        <x:v>34.199999999999996</x:v>
      </x:c>
      <x:c r="H1090" s="8" t="n">
        <x:v>0</x:v>
      </x:c>
      <x:c r="I1090" s="8" t="n">
        <x:v>0</x:v>
      </x:c>
      <x:c r="J1090" s="8" t="n">
        <x:v>0</x:v>
      </x:c>
      <x:c r="K1090" s="8" t="n">
        <x:v>0</x:v>
      </x:c>
      <x:c r="L1090" s="8" t="n">
        <x:v>0</x:v>
      </x:c>
      <x:c r="M1090" s="21" t="n">
        <x:f>E1090+K1090-I1090-J1090-L1090</x:f>
        <x:v>900</x:v>
      </x:c>
    </x:row>
    <x:row r="1091" ht="36" customHeight="1">
      <x:c r="A1091" s="8" t="str">
        <x:v>Liquidity-first</x:v>
      </x:c>
      <x:c r="B1091" s="8" t="str">
        <x:v>Severe combined</x:v>
      </x:c>
      <x:c r="C1091" s="8" t="str">
        <x:v>Atlas finance lease</x:v>
      </x:c>
      <x:c r="D1091" s="22" t="n">
        <x:v>3</x:v>
      </x:c>
      <x:c r="E1091" s="8" t="n">
        <x:v>48</x:v>
      </x:c>
      <x:c r="F1091" s="23" t="n">
        <x:v>0.05</x:v>
      </x:c>
      <x:c r="G1091" s="8" t="n">
        <x:v>2.4000000000000004</x:v>
      </x:c>
      <x:c r="H1091" s="8" t="n">
        <x:v>16</x:v>
      </x:c>
      <x:c r="I1091" s="8" t="n">
        <x:v>16</x:v>
      </x:c>
      <x:c r="J1091" s="8" t="n">
        <x:v>0</x:v>
      </x:c>
      <x:c r="K1091" s="8" t="n">
        <x:v>0</x:v>
      </x:c>
      <x:c r="L1091" s="8" t="n">
        <x:v>0</x:v>
      </x:c>
      <x:c r="M1091" s="21" t="n">
        <x:f>E1091+K1091-I1091-J1091-L1091</x:f>
        <x:v>32</x:v>
      </x:c>
    </x:row>
    <x:row r="1092" ht="36" customHeight="1">
      <x:c r="A1092" s="8" t="str">
        <x:v>Liquidity-first</x:v>
      </x:c>
      <x:c r="B1092" s="8" t="str">
        <x:v>Severe combined</x:v>
      </x:c>
      <x:c r="C1092" s="8" t="str">
        <x:v>Beacon notes</x:v>
      </x:c>
      <x:c r="D1092" s="22" t="n">
        <x:v>3</x:v>
      </x:c>
      <x:c r="E1092" s="8" t="n">
        <x:v>350</x:v>
      </x:c>
      <x:c r="F1092" s="23" t="n">
        <x:v>0.0475</x:v>
      </x:c>
      <x:c r="G1092" s="8" t="n">
        <x:v>16.625</x:v>
      </x:c>
      <x:c r="H1092" s="8" t="n">
        <x:v>350</x:v>
      </x:c>
      <x:c r="I1092" s="8" t="n">
        <x:v>350</x:v>
      </x:c>
      <x:c r="J1092" s="8" t="n">
        <x:v>0</x:v>
      </x:c>
      <x:c r="K1092" s="8" t="n">
        <x:v>0</x:v>
      </x:c>
      <x:c r="L1092" s="8" t="n">
        <x:v>0</x:v>
      </x:c>
      <x:c r="M1092" s="21" t="n">
        <x:f>E1092+K1092-I1092-J1092-L1092</x:f>
        <x:v>0</x:v>
      </x:c>
    </x:row>
    <x:row r="1093" ht="36" customHeight="1">
      <x:c r="A1093" s="8" t="str">
        <x:v>Liquidity-first</x:v>
      </x:c>
      <x:c r="B1093" s="8" t="str">
        <x:v>Severe combined</x:v>
      </x:c>
      <x:c r="C1093" s="8" t="str">
        <x:v>Acquisition term</x:v>
      </x:c>
      <x:c r="D1093" s="22" t="n">
        <x:v>3</x:v>
      </x:c>
      <x:c r="E1093" s="8" t="n">
        <x:v>2088.819272999098</x:v>
      </x:c>
      <x:c r="F1093" s="23" t="n">
        <x:v>0.10000000000000002</x:v>
      </x:c>
      <x:c r="G1093" s="8" t="n">
        <x:v>208.88192729990982</x:v>
      </x:c>
      <x:c r="H1093" s="8" t="n">
        <x:v>44.46700507614213</x:v>
      </x:c>
      <x:c r="I1093" s="8" t="n">
        <x:v>44.46700507614213</x:v>
      </x:c>
      <x:c r="J1093" s="8" t="n">
        <x:v>0</x:v>
      </x:c>
      <x:c r="K1093" s="8" t="n">
        <x:v>0</x:v>
      </x:c>
      <x:c r="L1093" s="8" t="n">
        <x:v>0</x:v>
      </x:c>
      <x:c r="M1093" s="21" t="n">
        <x:f>E1093+K1093-I1093-J1093-L1093</x:f>
        <x:v>2044.3522679229557</x:v>
      </x:c>
    </x:row>
    <x:row r="1094" ht="36" customHeight="1">
      <x:c r="A1094" s="8" t="str">
        <x:v>Liquidity-first</x:v>
      </x:c>
      <x:c r="B1094" s="8" t="str">
        <x:v>Severe combined</x:v>
      </x:c>
      <x:c r="C1094" s="8" t="str">
        <x:v>Committed revolver</x:v>
      </x:c>
      <x:c r="D1094" s="22" t="n">
        <x:v>3</x:v>
      </x:c>
      <x:c r="E1094" s="8" t="n">
        <x:v>323.3208864189291</x:v>
      </x:c>
      <x:c r="F1094" s="23" t="n">
        <x:v>0.07750000000000001</x:v>
      </x:c>
      <x:c r="G1094" s="8" t="n">
        <x:v>25.05736869746701</x:v>
      </x:c>
      <x:c r="H1094" s="8" t="n">
        <x:v>0</x:v>
      </x:c>
      <x:c r="I1094" s="8" t="n">
        <x:v>0</x:v>
      </x:c>
      <x:c r="J1094" s="8" t="n">
        <x:v>0</x:v>
      </x:c>
      <x:c r="K1094" s="8" t="n">
        <x:v>306.6791135810709</x:v>
      </x:c>
      <x:c r="L1094" s="8" t="n">
        <x:v>0</x:v>
      </x:c>
      <x:c r="M1094" s="21" t="n">
        <x:f>E1094+K1094-I1094-J1094-L1094</x:f>
        <x:v>630</x:v>
      </x:c>
    </x:row>
    <x:row r="1095" ht="36" customHeight="1">
      <x:c r="A1095" s="8" t="str">
        <x:v>Liquidity-first</x:v>
      </x:c>
      <x:c r="B1095" s="8" t="str">
        <x:v>Severe combined</x:v>
      </x:c>
      <x:c r="C1095" s="8" t="str">
        <x:v>Atlas notes</x:v>
      </x:c>
      <x:c r="D1095" s="22" t="n">
        <x:v>4</x:v>
      </x:c>
      <x:c r="E1095" s="8" t="n">
        <x:v>900</x:v>
      </x:c>
      <x:c r="F1095" s="23" t="n">
        <x:v>0.038</x:v>
      </x:c>
      <x:c r="G1095" s="8" t="n">
        <x:v>34.199999999999996</x:v>
      </x:c>
      <x:c r="H1095" s="8" t="n">
        <x:v>900</x:v>
      </x:c>
      <x:c r="I1095" s="8" t="n">
        <x:v>238.66610770953804</x:v>
      </x:c>
      <x:c r="J1095" s="8" t="n">
        <x:v>0</x:v>
      </x:c>
      <x:c r="K1095" s="8" t="n">
        <x:v>0</x:v>
      </x:c>
      <x:c r="L1095" s="8" t="n">
        <x:v>0</x:v>
      </x:c>
      <x:c r="M1095" s="21" t="n">
        <x:f>E1095+K1095-I1095-J1095-L1095</x:f>
        <x:v>661.333892290462</x:v>
      </x:c>
    </x:row>
    <x:row r="1096" ht="36" customHeight="1">
      <x:c r="A1096" s="8" t="str">
        <x:v>Liquidity-first</x:v>
      </x:c>
      <x:c r="B1096" s="8" t="str">
        <x:v>Severe combined</x:v>
      </x:c>
      <x:c r="C1096" s="8" t="str">
        <x:v>Atlas finance lease</x:v>
      </x:c>
      <x:c r="D1096" s="22" t="n">
        <x:v>4</x:v>
      </x:c>
      <x:c r="E1096" s="8" t="n">
        <x:v>32</x:v>
      </x:c>
      <x:c r="F1096" s="23" t="n">
        <x:v>0.05</x:v>
      </x:c>
      <x:c r="G1096" s="8" t="n">
        <x:v>1.6</x:v>
      </x:c>
      <x:c r="H1096" s="8" t="n">
        <x:v>16</x:v>
      </x:c>
      <x:c r="I1096" s="8" t="n">
        <x:v>0</x:v>
      </x:c>
      <x:c r="J1096" s="8" t="n">
        <x:v>0</x:v>
      </x:c>
      <x:c r="K1096" s="8" t="n">
        <x:v>0</x:v>
      </x:c>
      <x:c r="L1096" s="8" t="n">
        <x:v>0</x:v>
      </x:c>
      <x:c r="M1096" s="21" t="n">
        <x:f>E1096+K1096-I1096-J1096-L1096</x:f>
        <x:v>32</x:v>
      </x:c>
    </x:row>
    <x:row r="1097" ht="36" customHeight="1">
      <x:c r="A1097" s="8" t="str">
        <x:v>Liquidity-first</x:v>
      </x:c>
      <x:c r="B1097" s="8" t="str">
        <x:v>Severe combined</x:v>
      </x:c>
      <x:c r="C1097" s="8" t="str">
        <x:v>Beacon notes</x:v>
      </x:c>
      <x:c r="D1097" s="22" t="n">
        <x:v>4</x:v>
      </x:c>
      <x:c r="E1097" s="8" t="n">
        <x:v>0</x:v>
      </x:c>
      <x:c r="F1097" s="23" t="n">
        <x:v>0.0475</x:v>
      </x:c>
      <x:c r="G1097" s="8" t="n">
        <x:v>0</x:v>
      </x:c>
      <x:c r="H1097" s="8" t="n">
        <x:v>0</x:v>
      </x:c>
      <x:c r="I1097" s="8" t="n">
        <x:v>0</x:v>
      </x:c>
      <x:c r="J1097" s="8" t="n">
        <x:v>0</x:v>
      </x:c>
      <x:c r="K1097" s="8" t="n">
        <x:v>0</x:v>
      </x:c>
      <x:c r="L1097" s="8" t="n">
        <x:v>0</x:v>
      </x:c>
      <x:c r="M1097" s="21" t="n">
        <x:f>E1097+K1097-I1097-J1097-L1097</x:f>
        <x:v>0</x:v>
      </x:c>
    </x:row>
    <x:row r="1098" ht="36" customHeight="1">
      <x:c r="A1098" s="8" t="str">
        <x:v>Liquidity-first</x:v>
      </x:c>
      <x:c r="B1098" s="8" t="str">
        <x:v>Severe combined</x:v>
      </x:c>
      <x:c r="C1098" s="8" t="str">
        <x:v>Acquisition term</x:v>
      </x:c>
      <x:c r="D1098" s="22" t="n">
        <x:v>4</x:v>
      </x:c>
      <x:c r="E1098" s="8" t="n">
        <x:v>2044.3522679229557</x:v>
      </x:c>
      <x:c r="F1098" s="23" t="n">
        <x:v>0.10000000000000002</x:v>
      </x:c>
      <x:c r="G1098" s="8" t="n">
        <x:v>204.4352267922956</x:v>
      </x:c>
      <x:c r="H1098" s="8" t="n">
        <x:v>44.46700507614213</x:v>
      </x:c>
      <x:c r="I1098" s="8" t="n">
        <x:v>0</x:v>
      </x:c>
      <x:c r="J1098" s="8" t="n">
        <x:v>0</x:v>
      </x:c>
      <x:c r="K1098" s="8" t="n">
        <x:v>0</x:v>
      </x:c>
      <x:c r="L1098" s="8" t="n">
        <x:v>0</x:v>
      </x:c>
      <x:c r="M1098" s="21" t="n">
        <x:f>E1098+K1098-I1098-J1098-L1098</x:f>
        <x:v>2044.3522679229557</x:v>
      </x:c>
    </x:row>
    <x:row r="1099" ht="36" customHeight="1">
      <x:c r="A1099" s="8" t="str">
        <x:v>Liquidity-first</x:v>
      </x:c>
      <x:c r="B1099" s="8" t="str">
        <x:v>Severe combined</x:v>
      </x:c>
      <x:c r="C1099" s="8" t="str">
        <x:v>Committed revolver</x:v>
      </x:c>
      <x:c r="D1099" s="22" t="n">
        <x:v>4</x:v>
      </x:c>
      <x:c r="E1099" s="8" t="n">
        <x:v>630</x:v>
      </x:c>
      <x:c r="F1099" s="23" t="n">
        <x:v>0.07750000000000001</x:v>
      </x:c>
      <x:c r="G1099" s="8" t="n">
        <x:v>48.82500000000001</x:v>
      </x:c>
      <x:c r="H1099" s="8" t="n">
        <x:v>0</x:v>
      </x:c>
      <x:c r="I1099" s="8" t="n">
        <x:v>0</x:v>
      </x:c>
      <x:c r="J1099" s="8" t="n">
        <x:v>0</x:v>
      </x:c>
      <x:c r="K1099" s="8" t="n">
        <x:v>0</x:v>
      </x:c>
      <x:c r="L1099" s="8" t="n">
        <x:v>0</x:v>
      </x:c>
      <x:c r="M1099" s="21" t="n">
        <x:f>E1099+K1099-I1099-J1099-L1099</x:f>
        <x:v>630</x:v>
      </x:c>
    </x:row>
    <x:row r="1100" ht="36" customHeight="1">
      <x:c r="A1100" s="8" t="str">
        <x:v>Liquidity-first</x:v>
      </x:c>
      <x:c r="B1100" s="8" t="str">
        <x:v>Severe combined</x:v>
      </x:c>
      <x:c r="C1100" s="8" t="str">
        <x:v>Atlas notes</x:v>
      </x:c>
      <x:c r="D1100" s="22" t="n">
        <x:v>5</x:v>
      </x:c>
      <x:c r="E1100" s="8" t="n">
        <x:v>661.333892290462</x:v>
      </x:c>
      <x:c r="F1100" s="23" t="n">
        <x:v>0.038</x:v>
      </x:c>
      <x:c r="G1100" s="8" t="n">
        <x:v>25.130687907037554</x:v>
      </x:c>
      <x:c r="H1100" s="8" t="n">
        <x:v>661.333892290462</x:v>
      </x:c>
      <x:c r="I1100" s="8" t="n">
        <x:v>0</x:v>
      </x:c>
      <x:c r="J1100" s="8" t="n">
        <x:v>0</x:v>
      </x:c>
      <x:c r="K1100" s="8" t="n">
        <x:v>0</x:v>
      </x:c>
      <x:c r="L1100" s="8" t="n">
        <x:v>0</x:v>
      </x:c>
      <x:c r="M1100" s="21" t="n">
        <x:f>E1100+K1100-I1100-J1100-L1100</x:f>
        <x:v>661.333892290462</x:v>
      </x:c>
    </x:row>
    <x:row r="1101" ht="36" customHeight="1">
      <x:c r="A1101" s="8" t="str">
        <x:v>Liquidity-first</x:v>
      </x:c>
      <x:c r="B1101" s="8" t="str">
        <x:v>Severe combined</x:v>
      </x:c>
      <x:c r="C1101" s="8" t="str">
        <x:v>Atlas finance lease</x:v>
      </x:c>
      <x:c r="D1101" s="22" t="n">
        <x:v>5</x:v>
      </x:c>
      <x:c r="E1101" s="8" t="n">
        <x:v>32</x:v>
      </x:c>
      <x:c r="F1101" s="23" t="n">
        <x:v>0.05</x:v>
      </x:c>
      <x:c r="G1101" s="8" t="n">
        <x:v>1.6</x:v>
      </x:c>
      <x:c r="H1101" s="8" t="n">
        <x:v>32</x:v>
      </x:c>
      <x:c r="I1101" s="8" t="n">
        <x:v>0</x:v>
      </x:c>
      <x:c r="J1101" s="8" t="n">
        <x:v>0</x:v>
      </x:c>
      <x:c r="K1101" s="8" t="n">
        <x:v>0</x:v>
      </x:c>
      <x:c r="L1101" s="8" t="n">
        <x:v>0</x:v>
      </x:c>
      <x:c r="M1101" s="21" t="n">
        <x:f>E1101+K1101-I1101-J1101-L1101</x:f>
        <x:v>32</x:v>
      </x:c>
    </x:row>
    <x:row r="1102" ht="36" customHeight="1">
      <x:c r="A1102" s="8" t="str">
        <x:v>Liquidity-first</x:v>
      </x:c>
      <x:c r="B1102" s="8" t="str">
        <x:v>Severe combined</x:v>
      </x:c>
      <x:c r="C1102" s="8" t="str">
        <x:v>Beacon notes</x:v>
      </x:c>
      <x:c r="D1102" s="22" t="n">
        <x:v>5</x:v>
      </x:c>
      <x:c r="E1102" s="8" t="n">
        <x:v>0</x:v>
      </x:c>
      <x:c r="F1102" s="23" t="n">
        <x:v>0.0475</x:v>
      </x:c>
      <x:c r="G1102" s="8" t="n">
        <x:v>0</x:v>
      </x:c>
      <x:c r="H1102" s="8" t="n">
        <x:v>0</x:v>
      </x:c>
      <x:c r="I1102" s="8" t="n">
        <x:v>0</x:v>
      </x:c>
      <x:c r="J1102" s="8" t="n">
        <x:v>0</x:v>
      </x:c>
      <x:c r="K1102" s="8" t="n">
        <x:v>0</x:v>
      </x:c>
      <x:c r="L1102" s="8" t="n">
        <x:v>0</x:v>
      </x:c>
      <x:c r="M1102" s="21" t="n">
        <x:f>E1102+K1102-I1102-J1102-L1102</x:f>
        <x:v>0</x:v>
      </x:c>
    </x:row>
    <x:row r="1103" ht="36" customHeight="1">
      <x:c r="A1103" s="8" t="str">
        <x:v>Liquidity-first</x:v>
      </x:c>
      <x:c r="B1103" s="8" t="str">
        <x:v>Severe combined</x:v>
      </x:c>
      <x:c r="C1103" s="8" t="str">
        <x:v>Acquisition term</x:v>
      </x:c>
      <x:c r="D1103" s="22" t="n">
        <x:v>5</x:v>
      </x:c>
      <x:c r="E1103" s="8" t="n">
        <x:v>2044.3522679229557</x:v>
      </x:c>
      <x:c r="F1103" s="23" t="n">
        <x:v>0.10000000000000002</x:v>
      </x:c>
      <x:c r="G1103" s="8" t="n">
        <x:v>204.4352267922956</x:v>
      </x:c>
      <x:c r="H1103" s="8" t="n">
        <x:v>2044.3522679229557</x:v>
      </x:c>
      <x:c r="I1103" s="8" t="n">
        <x:v>0</x:v>
      </x:c>
      <x:c r="J1103" s="8" t="n">
        <x:v>0</x:v>
      </x:c>
      <x:c r="K1103" s="8" t="n">
        <x:v>0</x:v>
      </x:c>
      <x:c r="L1103" s="8" t="n">
        <x:v>0</x:v>
      </x:c>
      <x:c r="M1103" s="21" t="n">
        <x:f>E1103+K1103-I1103-J1103-L1103</x:f>
        <x:v>2044.3522679229557</x:v>
      </x:c>
    </x:row>
    <x:row r="1104" ht="36" customHeight="1">
      <x:c r="A1104" s="8" t="str">
        <x:v>Liquidity-first</x:v>
      </x:c>
      <x:c r="B1104" s="8" t="str">
        <x:v>Severe combined</x:v>
      </x:c>
      <x:c r="C1104" s="8" t="str">
        <x:v>Committed revolver</x:v>
      </x:c>
      <x:c r="D1104" s="22" t="n">
        <x:v>5</x:v>
      </x:c>
      <x:c r="E1104" s="8" t="n">
        <x:v>630</x:v>
      </x:c>
      <x:c r="F1104" s="23" t="n">
        <x:v>0.07750000000000001</x:v>
      </x:c>
      <x:c r="G1104" s="8" t="n">
        <x:v>48.82500000000001</x:v>
      </x:c>
      <x:c r="H1104" s="8" t="n">
        <x:v>630</x:v>
      </x:c>
      <x:c r="I1104" s="8" t="n">
        <x:v>0</x:v>
      </x:c>
      <x:c r="J1104" s="8" t="n">
        <x:v>0</x:v>
      </x:c>
      <x:c r="K1104" s="8" t="n">
        <x:v>0</x:v>
      </x:c>
      <x:c r="L1104" s="8" t="n">
        <x:v>0</x:v>
      </x:c>
      <x:c r="M1104" s="21" t="n">
        <x:f>E1104+K1104-I1104-J1104-L1104</x:f>
        <x:v>630</x:v>
      </x:c>
    </x:row>
    <x:row r="1105" ht="36" customHeight="1">
      <x:c r="A1105" s="8" t="str">
        <x:v>Mixed consideration</x:v>
      </x:c>
      <x:c r="B1105" s="8" t="str">
        <x:v>Severe combined</x:v>
      </x:c>
      <x:c r="C1105" s="8" t="str">
        <x:v>Atlas notes</x:v>
      </x:c>
      <x:c r="D1105" s="22" t="n">
        <x:v>1</x:v>
      </x:c>
      <x:c r="E1105" s="8" t="n">
        <x:v>900</x:v>
      </x:c>
      <x:c r="F1105" s="23" t="n">
        <x:v>0.038</x:v>
      </x:c>
      <x:c r="G1105" s="8" t="n">
        <x:v>34.199999999999996</x:v>
      </x:c>
      <x:c r="H1105" s="8" t="n">
        <x:v>0</x:v>
      </x:c>
      <x:c r="I1105" s="8" t="n">
        <x:v>0</x:v>
      </x:c>
      <x:c r="J1105" s="8" t="n">
        <x:v>0</x:v>
      </x:c>
      <x:c r="K1105" s="8" t="n">
        <x:v>0</x:v>
      </x:c>
      <x:c r="L1105" s="8" t="n">
        <x:v>0</x:v>
      </x:c>
      <x:c r="M1105" s="21" t="n">
        <x:f>E1105+K1105-I1105-J1105-L1105</x:f>
        <x:v>900</x:v>
      </x:c>
    </x:row>
    <x:row r="1106" ht="36" customHeight="1">
      <x:c r="A1106" s="8" t="str">
        <x:v>Mixed consideration</x:v>
      </x:c>
      <x:c r="B1106" s="8" t="str">
        <x:v>Severe combined</x:v>
      </x:c>
      <x:c r="C1106" s="8" t="str">
        <x:v>Atlas finance lease</x:v>
      </x:c>
      <x:c r="D1106" s="22" t="n">
        <x:v>1</x:v>
      </x:c>
      <x:c r="E1106" s="8" t="n">
        <x:v>80</x:v>
      </x:c>
      <x:c r="F1106" s="23" t="n">
        <x:v>0.05</x:v>
      </x:c>
      <x:c r="G1106" s="8" t="n">
        <x:v>4</x:v>
      </x:c>
      <x:c r="H1106" s="8" t="n">
        <x:v>16</x:v>
      </x:c>
      <x:c r="I1106" s="8" t="n">
        <x:v>16</x:v>
      </x:c>
      <x:c r="J1106" s="8" t="n">
        <x:v>0</x:v>
      </x:c>
      <x:c r="K1106" s="8" t="n">
        <x:v>0</x:v>
      </x:c>
      <x:c r="L1106" s="8" t="n">
        <x:v>0</x:v>
      </x:c>
      <x:c r="M1106" s="21" t="n">
        <x:f>E1106+K1106-I1106-J1106-L1106</x:f>
        <x:v>64</x:v>
      </x:c>
    </x:row>
    <x:row r="1107" ht="36" customHeight="1">
      <x:c r="A1107" s="8" t="str">
        <x:v>Mixed consideration</x:v>
      </x:c>
      <x:c r="B1107" s="8" t="str">
        <x:v>Severe combined</x:v>
      </x:c>
      <x:c r="C1107" s="8" t="str">
        <x:v>Beacon notes</x:v>
      </x:c>
      <x:c r="D1107" s="22" t="n">
        <x:v>1</x:v>
      </x:c>
      <x:c r="E1107" s="8" t="n">
        <x:v>350</x:v>
      </x:c>
      <x:c r="F1107" s="23" t="n">
        <x:v>0.0475</x:v>
      </x:c>
      <x:c r="G1107" s="8" t="n">
        <x:v>16.625</x:v>
      </x:c>
      <x:c r="H1107" s="8" t="n">
        <x:v>0</x:v>
      </x:c>
      <x:c r="I1107" s="8" t="n">
        <x:v>0</x:v>
      </x:c>
      <x:c r="J1107" s="8" t="n">
        <x:v>0</x:v>
      </x:c>
      <x:c r="K1107" s="8" t="n">
        <x:v>0</x:v>
      </x:c>
      <x:c r="L1107" s="8" t="n">
        <x:v>0</x:v>
      </x:c>
      <x:c r="M1107" s="21" t="n">
        <x:f>E1107+K1107-I1107-J1107-L1107</x:f>
        <x:v>350</x:v>
      </x:c>
    </x:row>
    <x:row r="1108" ht="36" customHeight="1">
      <x:c r="A1108" s="8" t="str">
        <x:v>Mixed consideration</x:v>
      </x:c>
      <x:c r="B1108" s="8" t="str">
        <x:v>Severe combined</x:v>
      </x:c>
      <x:c r="C1108" s="8" t="str">
        <x:v>Acquisition term</x:v>
      </x:c>
      <x:c r="D1108" s="22" t="n">
        <x:v>1</x:v>
      </x:c>
      <x:c r="E1108" s="8" t="n">
        <x:v>304.56852791878174</x:v>
      </x:c>
      <x:c r="F1108" s="23" t="n">
        <x:v>0.105</x:v>
      </x:c>
      <x:c r="G1108" s="8" t="n">
        <x:v>31.97969543147208</x:v>
      </x:c>
      <x:c r="H1108" s="8" t="n">
        <x:v>6.091370558375635</x:v>
      </x:c>
      <x:c r="I1108" s="8" t="n">
        <x:v>6.091370558375635</x:v>
      </x:c>
      <x:c r="J1108" s="8" t="n">
        <x:v>0</x:v>
      </x:c>
      <x:c r="K1108" s="8" t="n">
        <x:v>0</x:v>
      </x:c>
      <x:c r="L1108" s="8" t="n">
        <x:v>0</x:v>
      </x:c>
      <x:c r="M1108" s="21" t="n">
        <x:f>E1108+K1108-I1108-J1108-L1108</x:f>
        <x:v>298.4771573604061</x:v>
      </x:c>
    </x:row>
    <x:row r="1109" ht="36" customHeight="1">
      <x:c r="A1109" s="8" t="str">
        <x:v>Mixed consideration</x:v>
      </x:c>
      <x:c r="B1109" s="8" t="str">
        <x:v>Severe combined</x:v>
      </x:c>
      <x:c r="C1109" s="8" t="str">
        <x:v>Committed revolver</x:v>
      </x:c>
      <x:c r="D1109" s="22" t="n">
        <x:v>1</x:v>
      </x:c>
      <x:c r="E1109" s="8" t="n">
        <x:v>0</x:v>
      </x:c>
      <x:c r="F1109" s="23" t="n">
        <x:v>0.08249999999999999</x:v>
      </x:c>
      <x:c r="G1109" s="8" t="n">
        <x:v>0</x:v>
      </x:c>
      <x:c r="H1109" s="8" t="n">
        <x:v>0</x:v>
      </x:c>
      <x:c r="I1109" s="8" t="n">
        <x:v>0</x:v>
      </x:c>
      <x:c r="J1109" s="8" t="n">
        <x:v>0</x:v>
      </x:c>
      <x:c r="K1109" s="8" t="n">
        <x:v>630</x:v>
      </x:c>
      <x:c r="L1109" s="8" t="n">
        <x:v>0</x:v>
      </x:c>
      <x:c r="M1109" s="21" t="n">
        <x:f>E1109+K1109-I1109-J1109-L1109</x:f>
        <x:v>630</x:v>
      </x:c>
    </x:row>
    <x:row r="1110" ht="36" customHeight="1">
      <x:c r="A1110" s="8" t="str">
        <x:v>Mixed consideration</x:v>
      </x:c>
      <x:c r="B1110" s="8" t="str">
        <x:v>Severe combined</x:v>
      </x:c>
      <x:c r="C1110" s="8" t="str">
        <x:v>Atlas notes</x:v>
      </x:c>
      <x:c r="D1110" s="22" t="n">
        <x:v>2</x:v>
      </x:c>
      <x:c r="E1110" s="8" t="n">
        <x:v>900</x:v>
      </x:c>
      <x:c r="F1110" s="23" t="n">
        <x:v>0.038</x:v>
      </x:c>
      <x:c r="G1110" s="8" t="n">
        <x:v>34.199999999999996</x:v>
      </x:c>
      <x:c r="H1110" s="8" t="n">
        <x:v>0</x:v>
      </x:c>
      <x:c r="I1110" s="8" t="n">
        <x:v>0</x:v>
      </x:c>
      <x:c r="J1110" s="8" t="n">
        <x:v>0</x:v>
      </x:c>
      <x:c r="K1110" s="8" t="n">
        <x:v>0</x:v>
      </x:c>
      <x:c r="L1110" s="8" t="n">
        <x:v>0</x:v>
      </x:c>
      <x:c r="M1110" s="21" t="n">
        <x:f>E1110+K1110-I1110-J1110-L1110</x:f>
        <x:v>900</x:v>
      </x:c>
    </x:row>
    <x:row r="1111" ht="36" customHeight="1">
      <x:c r="A1111" s="8" t="str">
        <x:v>Mixed consideration</x:v>
      </x:c>
      <x:c r="B1111" s="8" t="str">
        <x:v>Severe combined</x:v>
      </x:c>
      <x:c r="C1111" s="8" t="str">
        <x:v>Atlas finance lease</x:v>
      </x:c>
      <x:c r="D1111" s="22" t="n">
        <x:v>2</x:v>
      </x:c>
      <x:c r="E1111" s="8" t="n">
        <x:v>64</x:v>
      </x:c>
      <x:c r="F1111" s="23" t="n">
        <x:v>0.05</x:v>
      </x:c>
      <x:c r="G1111" s="8" t="n">
        <x:v>3.2</x:v>
      </x:c>
      <x:c r="H1111" s="8" t="n">
        <x:v>16</x:v>
      </x:c>
      <x:c r="I1111" s="8" t="n">
        <x:v>16</x:v>
      </x:c>
      <x:c r="J1111" s="8" t="n">
        <x:v>0</x:v>
      </x:c>
      <x:c r="K1111" s="8" t="n">
        <x:v>0</x:v>
      </x:c>
      <x:c r="L1111" s="8" t="n">
        <x:v>0</x:v>
      </x:c>
      <x:c r="M1111" s="21" t="n">
        <x:f>E1111+K1111-I1111-J1111-L1111</x:f>
        <x:v>48</x:v>
      </x:c>
    </x:row>
    <x:row r="1112" ht="36" customHeight="1">
      <x:c r="A1112" s="8" t="str">
        <x:v>Mixed consideration</x:v>
      </x:c>
      <x:c r="B1112" s="8" t="str">
        <x:v>Severe combined</x:v>
      </x:c>
      <x:c r="C1112" s="8" t="str">
        <x:v>Beacon notes</x:v>
      </x:c>
      <x:c r="D1112" s="22" t="n">
        <x:v>2</x:v>
      </x:c>
      <x:c r="E1112" s="8" t="n">
        <x:v>350</x:v>
      </x:c>
      <x:c r="F1112" s="23" t="n">
        <x:v>0.0475</x:v>
      </x:c>
      <x:c r="G1112" s="8" t="n">
        <x:v>16.625</x:v>
      </x:c>
      <x:c r="H1112" s="8" t="n">
        <x:v>0</x:v>
      </x:c>
      <x:c r="I1112" s="8" t="n">
        <x:v>0</x:v>
      </x:c>
      <x:c r="J1112" s="8" t="n">
        <x:v>0</x:v>
      </x:c>
      <x:c r="K1112" s="8" t="n">
        <x:v>0</x:v>
      </x:c>
      <x:c r="L1112" s="8" t="n">
        <x:v>0</x:v>
      </x:c>
      <x:c r="M1112" s="21" t="n">
        <x:f>E1112+K1112-I1112-J1112-L1112</x:f>
        <x:v>350</x:v>
      </x:c>
    </x:row>
    <x:row r="1113" ht="36" customHeight="1">
      <x:c r="A1113" s="8" t="str">
        <x:v>Mixed consideration</x:v>
      </x:c>
      <x:c r="B1113" s="8" t="str">
        <x:v>Severe combined</x:v>
      </x:c>
      <x:c r="C1113" s="8" t="str">
        <x:v>Acquisition term</x:v>
      </x:c>
      <x:c r="D1113" s="22" t="n">
        <x:v>2</x:v>
      </x:c>
      <x:c r="E1113" s="8" t="n">
        <x:v>298.4771573604061</x:v>
      </x:c>
      <x:c r="F1113" s="23" t="n">
        <x:v>0.1025</x:v>
      </x:c>
      <x:c r="G1113" s="8" t="n">
        <x:v>30.593908629441625</x:v>
      </x:c>
      <x:c r="H1113" s="8" t="n">
        <x:v>6.091370558375635</x:v>
      </x:c>
      <x:c r="I1113" s="8" t="n">
        <x:v>6.091370558375635</x:v>
      </x:c>
      <x:c r="J1113" s="8" t="n">
        <x:v>0</x:v>
      </x:c>
      <x:c r="K1113" s="8" t="n">
        <x:v>0</x:v>
      </x:c>
      <x:c r="L1113" s="8" t="n">
        <x:v>0</x:v>
      </x:c>
      <x:c r="M1113" s="21" t="n">
        <x:f>E1113+K1113-I1113-J1113-L1113</x:f>
        <x:v>292.3857868020305</x:v>
      </x:c>
    </x:row>
    <x:row r="1114" ht="36" customHeight="1">
      <x:c r="A1114" s="8" t="str">
        <x:v>Mixed consideration</x:v>
      </x:c>
      <x:c r="B1114" s="8" t="str">
        <x:v>Severe combined</x:v>
      </x:c>
      <x:c r="C1114" s="8" t="str">
        <x:v>Committed revolver</x:v>
      </x:c>
      <x:c r="D1114" s="22" t="n">
        <x:v>2</x:v>
      </x:c>
      <x:c r="E1114" s="8" t="n">
        <x:v>630</x:v>
      </x:c>
      <x:c r="F1114" s="23" t="n">
        <x:v>0.07999999999999999</x:v>
      </x:c>
      <x:c r="G1114" s="8" t="n">
        <x:v>50.39999999999999</x:v>
      </x:c>
      <x:c r="H1114" s="8" t="n">
        <x:v>0</x:v>
      </x:c>
      <x:c r="I1114" s="8" t="n">
        <x:v>0</x:v>
      </x:c>
      <x:c r="J1114" s="8" t="n">
        <x:v>0</x:v>
      </x:c>
      <x:c r="K1114" s="8" t="n">
        <x:v>0</x:v>
      </x:c>
      <x:c r="L1114" s="8" t="n">
        <x:v>0</x:v>
      </x:c>
      <x:c r="M1114" s="21" t="n">
        <x:f>E1114+K1114-I1114-J1114-L1114</x:f>
        <x:v>630</x:v>
      </x:c>
    </x:row>
    <x:row r="1115" ht="36" customHeight="1">
      <x:c r="A1115" s="8" t="str">
        <x:v>Mixed consideration</x:v>
      </x:c>
      <x:c r="B1115" s="8" t="str">
        <x:v>Severe combined</x:v>
      </x:c>
      <x:c r="C1115" s="8" t="str">
        <x:v>Atlas notes</x:v>
      </x:c>
      <x:c r="D1115" s="22" t="n">
        <x:v>3</x:v>
      </x:c>
      <x:c r="E1115" s="8" t="n">
        <x:v>900</x:v>
      </x:c>
      <x:c r="F1115" s="23" t="n">
        <x:v>0.038</x:v>
      </x:c>
      <x:c r="G1115" s="8" t="n">
        <x:v>34.199999999999996</x:v>
      </x:c>
      <x:c r="H1115" s="8" t="n">
        <x:v>0</x:v>
      </x:c>
      <x:c r="I1115" s="8" t="n">
        <x:v>0</x:v>
      </x:c>
      <x:c r="J1115" s="8" t="n">
        <x:v>0</x:v>
      </x:c>
      <x:c r="K1115" s="8" t="n">
        <x:v>0</x:v>
      </x:c>
      <x:c r="L1115" s="8" t="n">
        <x:v>0</x:v>
      </x:c>
      <x:c r="M1115" s="21" t="n">
        <x:f>E1115+K1115-I1115-J1115-L1115</x:f>
        <x:v>900</x:v>
      </x:c>
    </x:row>
    <x:row r="1116" ht="36" customHeight="1">
      <x:c r="A1116" s="8" t="str">
        <x:v>Mixed consideration</x:v>
      </x:c>
      <x:c r="B1116" s="8" t="str">
        <x:v>Severe combined</x:v>
      </x:c>
      <x:c r="C1116" s="8" t="str">
        <x:v>Atlas finance lease</x:v>
      </x:c>
      <x:c r="D1116" s="22" t="n">
        <x:v>3</x:v>
      </x:c>
      <x:c r="E1116" s="8" t="n">
        <x:v>48</x:v>
      </x:c>
      <x:c r="F1116" s="23" t="n">
        <x:v>0.05</x:v>
      </x:c>
      <x:c r="G1116" s="8" t="n">
        <x:v>2.4000000000000004</x:v>
      </x:c>
      <x:c r="H1116" s="8" t="n">
        <x:v>16</x:v>
      </x:c>
      <x:c r="I1116" s="8" t="n">
        <x:v>16</x:v>
      </x:c>
      <x:c r="J1116" s="8" t="n">
        <x:v>0</x:v>
      </x:c>
      <x:c r="K1116" s="8" t="n">
        <x:v>0</x:v>
      </x:c>
      <x:c r="L1116" s="8" t="n">
        <x:v>0</x:v>
      </x:c>
      <x:c r="M1116" s="21" t="n">
        <x:f>E1116+K1116-I1116-J1116-L1116</x:f>
        <x:v>32</x:v>
      </x:c>
    </x:row>
    <x:row r="1117" ht="36" customHeight="1">
      <x:c r="A1117" s="8" t="str">
        <x:v>Mixed consideration</x:v>
      </x:c>
      <x:c r="B1117" s="8" t="str">
        <x:v>Severe combined</x:v>
      </x:c>
      <x:c r="C1117" s="8" t="str">
        <x:v>Beacon notes</x:v>
      </x:c>
      <x:c r="D1117" s="22" t="n">
        <x:v>3</x:v>
      </x:c>
      <x:c r="E1117" s="8" t="n">
        <x:v>350</x:v>
      </x:c>
      <x:c r="F1117" s="23" t="n">
        <x:v>0.0475</x:v>
      </x:c>
      <x:c r="G1117" s="8" t="n">
        <x:v>16.625</x:v>
      </x:c>
      <x:c r="H1117" s="8" t="n">
        <x:v>350</x:v>
      </x:c>
      <x:c r="I1117" s="8" t="n">
        <x:v>350</x:v>
      </x:c>
      <x:c r="J1117" s="8" t="n">
        <x:v>0</x:v>
      </x:c>
      <x:c r="K1117" s="8" t="n">
        <x:v>0</x:v>
      </x:c>
      <x:c r="L1117" s="8" t="n">
        <x:v>0</x:v>
      </x:c>
      <x:c r="M1117" s="21" t="n">
        <x:f>E1117+K1117-I1117-J1117-L1117</x:f>
        <x:v>0</x:v>
      </x:c>
    </x:row>
    <x:row r="1118" ht="36" customHeight="1">
      <x:c r="A1118" s="8" t="str">
        <x:v>Mixed consideration</x:v>
      </x:c>
      <x:c r="B1118" s="8" t="str">
        <x:v>Severe combined</x:v>
      </x:c>
      <x:c r="C1118" s="8" t="str">
        <x:v>Acquisition term</x:v>
      </x:c>
      <x:c r="D1118" s="22" t="n">
        <x:v>3</x:v>
      </x:c>
      <x:c r="E1118" s="8" t="n">
        <x:v>292.3857868020305</x:v>
      </x:c>
      <x:c r="F1118" s="23" t="n">
        <x:v>0.10000000000000002</x:v>
      </x:c>
      <x:c r="G1118" s="8" t="n">
        <x:v>29.238578680203055</x:v>
      </x:c>
      <x:c r="H1118" s="8" t="n">
        <x:v>6.091370558375635</x:v>
      </x:c>
      <x:c r="I1118" s="8" t="n">
        <x:v>6.091370558375635</x:v>
      </x:c>
      <x:c r="J1118" s="8" t="n">
        <x:v>0</x:v>
      </x:c>
      <x:c r="K1118" s="8" t="n">
        <x:v>0</x:v>
      </x:c>
      <x:c r="L1118" s="8" t="n">
        <x:v>0</x:v>
      </x:c>
      <x:c r="M1118" s="21" t="n">
        <x:f>E1118+K1118-I1118-J1118-L1118</x:f>
        <x:v>286.2944162436549</x:v>
      </x:c>
    </x:row>
    <x:row r="1119" ht="36" customHeight="1">
      <x:c r="A1119" s="8" t="str">
        <x:v>Mixed consideration</x:v>
      </x:c>
      <x:c r="B1119" s="8" t="str">
        <x:v>Severe combined</x:v>
      </x:c>
      <x:c r="C1119" s="8" t="str">
        <x:v>Committed revolver</x:v>
      </x:c>
      <x:c r="D1119" s="22" t="n">
        <x:v>3</x:v>
      </x:c>
      <x:c r="E1119" s="8" t="n">
        <x:v>630</x:v>
      </x:c>
      <x:c r="F1119" s="23" t="n">
        <x:v>0.07750000000000001</x:v>
      </x:c>
      <x:c r="G1119" s="8" t="n">
        <x:v>48.82500000000001</x:v>
      </x:c>
      <x:c r="H1119" s="8" t="n">
        <x:v>0</x:v>
      </x:c>
      <x:c r="I1119" s="8" t="n">
        <x:v>0</x:v>
      </x:c>
      <x:c r="J1119" s="8" t="n">
        <x:v>0</x:v>
      </x:c>
      <x:c r="K1119" s="8" t="n">
        <x:v>0</x:v>
      </x:c>
      <x:c r="L1119" s="8" t="n">
        <x:v>0</x:v>
      </x:c>
      <x:c r="M1119" s="21" t="n">
        <x:f>E1119+K1119-I1119-J1119-L1119</x:f>
        <x:v>630</x:v>
      </x:c>
    </x:row>
    <x:row r="1120" ht="36" customHeight="1">
      <x:c r="A1120" s="8" t="str">
        <x:v>Mixed consideration</x:v>
      </x:c>
      <x:c r="B1120" s="8" t="str">
        <x:v>Severe combined</x:v>
      </x:c>
      <x:c r="C1120" s="8" t="str">
        <x:v>Atlas notes</x:v>
      </x:c>
      <x:c r="D1120" s="22" t="n">
        <x:v>4</x:v>
      </x:c>
      <x:c r="E1120" s="8" t="n">
        <x:v>900</x:v>
      </x:c>
      <x:c r="F1120" s="23" t="n">
        <x:v>0.038</x:v>
      </x:c>
      <x:c r="G1120" s="8" t="n">
        <x:v>34.199999999999996</x:v>
      </x:c>
      <x:c r="H1120" s="8" t="n">
        <x:v>900</x:v>
      </x:c>
      <x:c r="I1120" s="8" t="n">
        <x:v>32.506120851049005</x:v>
      </x:c>
      <x:c r="J1120" s="8" t="n">
        <x:v>0</x:v>
      </x:c>
      <x:c r="K1120" s="8" t="n">
        <x:v>0</x:v>
      </x:c>
      <x:c r="L1120" s="8" t="n">
        <x:v>0</x:v>
      </x:c>
      <x:c r="M1120" s="21" t="n">
        <x:f>E1120+K1120-I1120-J1120-L1120</x:f>
        <x:v>867.493879148951</x:v>
      </x:c>
    </x:row>
    <x:row r="1121" ht="36" customHeight="1">
      <x:c r="A1121" s="8" t="str">
        <x:v>Mixed consideration</x:v>
      </x:c>
      <x:c r="B1121" s="8" t="str">
        <x:v>Severe combined</x:v>
      </x:c>
      <x:c r="C1121" s="8" t="str">
        <x:v>Atlas finance lease</x:v>
      </x:c>
      <x:c r="D1121" s="22" t="n">
        <x:v>4</x:v>
      </x:c>
      <x:c r="E1121" s="8" t="n">
        <x:v>32</x:v>
      </x:c>
      <x:c r="F1121" s="23" t="n">
        <x:v>0.05</x:v>
      </x:c>
      <x:c r="G1121" s="8" t="n">
        <x:v>1.6</x:v>
      </x:c>
      <x:c r="H1121" s="8" t="n">
        <x:v>16</x:v>
      </x:c>
      <x:c r="I1121" s="8" t="n">
        <x:v>0</x:v>
      </x:c>
      <x:c r="J1121" s="8" t="n">
        <x:v>0</x:v>
      </x:c>
      <x:c r="K1121" s="8" t="n">
        <x:v>0</x:v>
      </x:c>
      <x:c r="L1121" s="8" t="n">
        <x:v>0</x:v>
      </x:c>
      <x:c r="M1121" s="21" t="n">
        <x:f>E1121+K1121-I1121-J1121-L1121</x:f>
        <x:v>32</x:v>
      </x:c>
    </x:row>
    <x:row r="1122" ht="36" customHeight="1">
      <x:c r="A1122" s="8" t="str">
        <x:v>Mixed consideration</x:v>
      </x:c>
      <x:c r="B1122" s="8" t="str">
        <x:v>Severe combined</x:v>
      </x:c>
      <x:c r="C1122" s="8" t="str">
        <x:v>Beacon notes</x:v>
      </x:c>
      <x:c r="D1122" s="22" t="n">
        <x:v>4</x:v>
      </x:c>
      <x:c r="E1122" s="8" t="n">
        <x:v>0</x:v>
      </x:c>
      <x:c r="F1122" s="23" t="n">
        <x:v>0.0475</x:v>
      </x:c>
      <x:c r="G1122" s="8" t="n">
        <x:v>0</x:v>
      </x:c>
      <x:c r="H1122" s="8" t="n">
        <x:v>0</x:v>
      </x:c>
      <x:c r="I1122" s="8" t="n">
        <x:v>0</x:v>
      </x:c>
      <x:c r="J1122" s="8" t="n">
        <x:v>0</x:v>
      </x:c>
      <x:c r="K1122" s="8" t="n">
        <x:v>0</x:v>
      </x:c>
      <x:c r="L1122" s="8" t="n">
        <x:v>0</x:v>
      </x:c>
      <x:c r="M1122" s="21" t="n">
        <x:f>E1122+K1122-I1122-J1122-L1122</x:f>
        <x:v>0</x:v>
      </x:c>
    </x:row>
    <x:row r="1123" ht="36" customHeight="1">
      <x:c r="A1123" s="8" t="str">
        <x:v>Mixed consideration</x:v>
      </x:c>
      <x:c r="B1123" s="8" t="str">
        <x:v>Severe combined</x:v>
      </x:c>
      <x:c r="C1123" s="8" t="str">
        <x:v>Acquisition term</x:v>
      </x:c>
      <x:c r="D1123" s="22" t="n">
        <x:v>4</x:v>
      </x:c>
      <x:c r="E1123" s="8" t="n">
        <x:v>286.2944162436549</x:v>
      </x:c>
      <x:c r="F1123" s="23" t="n">
        <x:v>0.10000000000000002</x:v>
      </x:c>
      <x:c r="G1123" s="8" t="n">
        <x:v>28.629441624365494</x:v>
      </x:c>
      <x:c r="H1123" s="8" t="n">
        <x:v>6.091370558375635</x:v>
      </x:c>
      <x:c r="I1123" s="8" t="n">
        <x:v>0</x:v>
      </x:c>
      <x:c r="J1123" s="8" t="n">
        <x:v>0</x:v>
      </x:c>
      <x:c r="K1123" s="8" t="n">
        <x:v>0</x:v>
      </x:c>
      <x:c r="L1123" s="8" t="n">
        <x:v>0</x:v>
      </x:c>
      <x:c r="M1123" s="21" t="n">
        <x:f>E1123+K1123-I1123-J1123-L1123</x:f>
        <x:v>286.2944162436549</x:v>
      </x:c>
    </x:row>
    <x:row r="1124" ht="36" customHeight="1">
      <x:c r="A1124" s="8" t="str">
        <x:v>Mixed consideration</x:v>
      </x:c>
      <x:c r="B1124" s="8" t="str">
        <x:v>Severe combined</x:v>
      </x:c>
      <x:c r="C1124" s="8" t="str">
        <x:v>Committed revolver</x:v>
      </x:c>
      <x:c r="D1124" s="22" t="n">
        <x:v>4</x:v>
      </x:c>
      <x:c r="E1124" s="8" t="n">
        <x:v>630</x:v>
      </x:c>
      <x:c r="F1124" s="23" t="n">
        <x:v>0.07750000000000001</x:v>
      </x:c>
      <x:c r="G1124" s="8" t="n">
        <x:v>48.82500000000001</x:v>
      </x:c>
      <x:c r="H1124" s="8" t="n">
        <x:v>0</x:v>
      </x:c>
      <x:c r="I1124" s="8" t="n">
        <x:v>0</x:v>
      </x:c>
      <x:c r="J1124" s="8" t="n">
        <x:v>0</x:v>
      </x:c>
      <x:c r="K1124" s="8" t="n">
        <x:v>0</x:v>
      </x:c>
      <x:c r="L1124" s="8" t="n">
        <x:v>0</x:v>
      </x:c>
      <x:c r="M1124" s="21" t="n">
        <x:f>E1124+K1124-I1124-J1124-L1124</x:f>
        <x:v>630</x:v>
      </x:c>
    </x:row>
    <x:row r="1125" ht="36" customHeight="1">
      <x:c r="A1125" s="8" t="str">
        <x:v>Mixed consideration</x:v>
      </x:c>
      <x:c r="B1125" s="8" t="str">
        <x:v>Severe combined</x:v>
      </x:c>
      <x:c r="C1125" s="8" t="str">
        <x:v>Atlas notes</x:v>
      </x:c>
      <x:c r="D1125" s="22" t="n">
        <x:v>5</x:v>
      </x:c>
      <x:c r="E1125" s="8" t="n">
        <x:v>867.493879148951</x:v>
      </x:c>
      <x:c r="F1125" s="23" t="n">
        <x:v>0.038</x:v>
      </x:c>
      <x:c r="G1125" s="8" t="n">
        <x:v>32.96476740766014</x:v>
      </x:c>
      <x:c r="H1125" s="8" t="n">
        <x:v>867.493879148951</x:v>
      </x:c>
      <x:c r="I1125" s="8" t="n">
        <x:v>0</x:v>
      </x:c>
      <x:c r="J1125" s="8" t="n">
        <x:v>0</x:v>
      </x:c>
      <x:c r="K1125" s="8" t="n">
        <x:v>0</x:v>
      </x:c>
      <x:c r="L1125" s="8" t="n">
        <x:v>0</x:v>
      </x:c>
      <x:c r="M1125" s="21" t="n">
        <x:f>E1125+K1125-I1125-J1125-L1125</x:f>
        <x:v>867.493879148951</x:v>
      </x:c>
    </x:row>
    <x:row r="1126" ht="36" customHeight="1">
      <x:c r="A1126" s="8" t="str">
        <x:v>Mixed consideration</x:v>
      </x:c>
      <x:c r="B1126" s="8" t="str">
        <x:v>Severe combined</x:v>
      </x:c>
      <x:c r="C1126" s="8" t="str">
        <x:v>Atlas finance lease</x:v>
      </x:c>
      <x:c r="D1126" s="22" t="n">
        <x:v>5</x:v>
      </x:c>
      <x:c r="E1126" s="8" t="n">
        <x:v>32</x:v>
      </x:c>
      <x:c r="F1126" s="23" t="n">
        <x:v>0.05</x:v>
      </x:c>
      <x:c r="G1126" s="8" t="n">
        <x:v>1.6</x:v>
      </x:c>
      <x:c r="H1126" s="8" t="n">
        <x:v>32</x:v>
      </x:c>
      <x:c r="I1126" s="8" t="n">
        <x:v>0</x:v>
      </x:c>
      <x:c r="J1126" s="8" t="n">
        <x:v>0</x:v>
      </x:c>
      <x:c r="K1126" s="8" t="n">
        <x:v>0</x:v>
      </x:c>
      <x:c r="L1126" s="8" t="n">
        <x:v>0</x:v>
      </x:c>
      <x:c r="M1126" s="21" t="n">
        <x:f>E1126+K1126-I1126-J1126-L1126</x:f>
        <x:v>32</x:v>
      </x:c>
    </x:row>
    <x:row r="1127" ht="36" customHeight="1">
      <x:c r="A1127" s="8" t="str">
        <x:v>Mixed consideration</x:v>
      </x:c>
      <x:c r="B1127" s="8" t="str">
        <x:v>Severe combined</x:v>
      </x:c>
      <x:c r="C1127" s="8" t="str">
        <x:v>Beacon notes</x:v>
      </x:c>
      <x:c r="D1127" s="22" t="n">
        <x:v>5</x:v>
      </x:c>
      <x:c r="E1127" s="8" t="n">
        <x:v>0</x:v>
      </x:c>
      <x:c r="F1127" s="23" t="n">
        <x:v>0.0475</x:v>
      </x:c>
      <x:c r="G1127" s="8" t="n">
        <x:v>0</x:v>
      </x:c>
      <x:c r="H1127" s="8" t="n">
        <x:v>0</x:v>
      </x:c>
      <x:c r="I1127" s="8" t="n">
        <x:v>0</x:v>
      </x:c>
      <x:c r="J1127" s="8" t="n">
        <x:v>0</x:v>
      </x:c>
      <x:c r="K1127" s="8" t="n">
        <x:v>0</x:v>
      </x:c>
      <x:c r="L1127" s="8" t="n">
        <x:v>0</x:v>
      </x:c>
      <x:c r="M1127" s="21" t="n">
        <x:f>E1127+K1127-I1127-J1127-L1127</x:f>
        <x:v>0</x:v>
      </x:c>
    </x:row>
    <x:row r="1128" ht="36" customHeight="1">
      <x:c r="A1128" s="8" t="str">
        <x:v>Mixed consideration</x:v>
      </x:c>
      <x:c r="B1128" s="8" t="str">
        <x:v>Severe combined</x:v>
      </x:c>
      <x:c r="C1128" s="8" t="str">
        <x:v>Acquisition term</x:v>
      </x:c>
      <x:c r="D1128" s="22" t="n">
        <x:v>5</x:v>
      </x:c>
      <x:c r="E1128" s="8" t="n">
        <x:v>286.2944162436549</x:v>
      </x:c>
      <x:c r="F1128" s="23" t="n">
        <x:v>0.10000000000000002</x:v>
      </x:c>
      <x:c r="G1128" s="8" t="n">
        <x:v>28.629441624365494</x:v>
      </x:c>
      <x:c r="H1128" s="8" t="n">
        <x:v>286.2944162436549</x:v>
      </x:c>
      <x:c r="I1128" s="8" t="n">
        <x:v>0</x:v>
      </x:c>
      <x:c r="J1128" s="8" t="n">
        <x:v>0</x:v>
      </x:c>
      <x:c r="K1128" s="8" t="n">
        <x:v>0</x:v>
      </x:c>
      <x:c r="L1128" s="8" t="n">
        <x:v>0</x:v>
      </x:c>
      <x:c r="M1128" s="21" t="n">
        <x:f>E1128+K1128-I1128-J1128-L1128</x:f>
        <x:v>286.2944162436549</x:v>
      </x:c>
    </x:row>
    <x:row r="1129" ht="36" customHeight="1">
      <x:c r="A1129" s="8" t="str">
        <x:v>Mixed consideration</x:v>
      </x:c>
      <x:c r="B1129" s="8" t="str">
        <x:v>Severe combined</x:v>
      </x:c>
      <x:c r="C1129" s="8" t="str">
        <x:v>Committed revolver</x:v>
      </x:c>
      <x:c r="D1129" s="22" t="n">
        <x:v>5</x:v>
      </x:c>
      <x:c r="E1129" s="8" t="n">
        <x:v>630</x:v>
      </x:c>
      <x:c r="F1129" s="23" t="n">
        <x:v>0.07750000000000001</x:v>
      </x:c>
      <x:c r="G1129" s="8" t="n">
        <x:v>48.82500000000001</x:v>
      </x:c>
      <x:c r="H1129" s="8" t="n">
        <x:v>630</x:v>
      </x:c>
      <x:c r="I1129" s="8" t="n">
        <x:v>0</x:v>
      </x:c>
      <x:c r="J1129" s="8" t="n">
        <x:v>0</x:v>
      </x:c>
      <x:c r="K1129" s="8" t="n">
        <x:v>0</x:v>
      </x:c>
      <x:c r="L1129" s="8" t="n">
        <x:v>0</x:v>
      </x:c>
      <x:c r="M1129" s="21" t="n">
        <x:f>E1129+K1129-I1129-J1129-L1129</x:f>
        <x:v>630</x:v>
      </x:c>
    </x:row>
    <x:row r="1130" ht="36" customHeight="1">
      <x:c r="A1130" s="8" t="str">
        <x:v>Cash-first</x:v>
      </x:c>
      <x:c r="B1130" s="8" t="str">
        <x:v>Assumed refinancing</x:v>
      </x:c>
      <x:c r="C1130" s="8" t="str">
        <x:v>Atlas notes</x:v>
      </x:c>
      <x:c r="D1130" s="22" t="n">
        <x:v>1</x:v>
      </x:c>
      <x:c r="E1130" s="8" t="n">
        <x:v>900</x:v>
      </x:c>
      <x:c r="F1130" s="23" t="n">
        <x:v>0.038</x:v>
      </x:c>
      <x:c r="G1130" s="8" t="n">
        <x:v>34.199999999999996</x:v>
      </x:c>
      <x:c r="H1130" s="8" t="n">
        <x:v>0</x:v>
      </x:c>
      <x:c r="I1130" s="8" t="n">
        <x:v>0</x:v>
      </x:c>
      <x:c r="J1130" s="8" t="n">
        <x:v>0</x:v>
      </x:c>
      <x:c r="K1130" s="8" t="n">
        <x:v>0</x:v>
      </x:c>
      <x:c r="L1130" s="8" t="n">
        <x:v>0</x:v>
      </x:c>
      <x:c r="M1130" s="21" t="n">
        <x:f>E1130+K1130-I1130-J1130-L1130</x:f>
        <x:v>900</x:v>
      </x:c>
    </x:row>
    <x:row r="1131" ht="36" customHeight="1">
      <x:c r="A1131" s="8" t="str">
        <x:v>Cash-first</x:v>
      </x:c>
      <x:c r="B1131" s="8" t="str">
        <x:v>Assumed refinancing</x:v>
      </x:c>
      <x:c r="C1131" s="8" t="str">
        <x:v>Atlas finance lease</x:v>
      </x:c>
      <x:c r="D1131" s="22" t="n">
        <x:v>1</x:v>
      </x:c>
      <x:c r="E1131" s="8" t="n">
        <x:v>80</x:v>
      </x:c>
      <x:c r="F1131" s="23" t="n">
        <x:v>0.05</x:v>
      </x:c>
      <x:c r="G1131" s="8" t="n">
        <x:v>4</x:v>
      </x:c>
      <x:c r="H1131" s="8" t="n">
        <x:v>16</x:v>
      </x:c>
      <x:c r="I1131" s="8" t="n">
        <x:v>16</x:v>
      </x:c>
      <x:c r="J1131" s="8" t="n">
        <x:v>0</x:v>
      </x:c>
      <x:c r="K1131" s="8" t="n">
        <x:v>0</x:v>
      </x:c>
      <x:c r="L1131" s="8" t="n">
        <x:v>0</x:v>
      </x:c>
      <x:c r="M1131" s="21" t="n">
        <x:f>E1131+K1131-I1131-J1131-L1131</x:f>
        <x:v>64</x:v>
      </x:c>
    </x:row>
    <x:row r="1132" ht="36" customHeight="1">
      <x:c r="A1132" s="8" t="str">
        <x:v>Cash-first</x:v>
      </x:c>
      <x:c r="B1132" s="8" t="str">
        <x:v>Assumed refinancing</x:v>
      </x:c>
      <x:c r="C1132" s="8" t="str">
        <x:v>Beacon notes</x:v>
      </x:c>
      <x:c r="D1132" s="22" t="n">
        <x:v>1</x:v>
      </x:c>
      <x:c r="E1132" s="8" t="n">
        <x:v>350</x:v>
      </x:c>
      <x:c r="F1132" s="23" t="n">
        <x:v>0.0475</x:v>
      </x:c>
      <x:c r="G1132" s="8" t="n">
        <x:v>16.625</x:v>
      </x:c>
      <x:c r="H1132" s="8" t="n">
        <x:v>0</x:v>
      </x:c>
      <x:c r="I1132" s="8" t="n">
        <x:v>0</x:v>
      </x:c>
      <x:c r="J1132" s="8" t="n">
        <x:v>0</x:v>
      </x:c>
      <x:c r="K1132" s="8" t="n">
        <x:v>0</x:v>
      </x:c>
      <x:c r="L1132" s="8" t="n">
        <x:v>0</x:v>
      </x:c>
      <x:c r="M1132" s="21" t="n">
        <x:f>E1132+K1132-I1132-J1132-L1132</x:f>
        <x:v>350</x:v>
      </x:c>
    </x:row>
    <x:row r="1133" ht="36" customHeight="1">
      <x:c r="A1133" s="8" t="str">
        <x:v>Cash-first</x:v>
      </x:c>
      <x:c r="B1133" s="8" t="str">
        <x:v>Assumed refinancing</x:v>
      </x:c>
      <x:c r="C1133" s="8" t="str">
        <x:v>Acquisition term</x:v>
      </x:c>
      <x:c r="D1133" s="22" t="n">
        <x:v>1</x:v>
      </x:c>
      <x:c r="E1133" s="8" t="n">
        <x:v>1340.1015228426397</x:v>
      </x:c>
      <x:c r="F1133" s="23" t="n">
        <x:v>0.065</x:v>
      </x:c>
      <x:c r="G1133" s="8" t="n">
        <x:v>87.10659898477158</x:v>
      </x:c>
      <x:c r="H1133" s="8" t="n">
        <x:v>26.802030456852794</x:v>
      </x:c>
      <x:c r="I1133" s="8" t="n">
        <x:v>26.802030456852794</x:v>
      </x:c>
      <x:c r="J1133" s="8" t="n">
        <x:v>258.61348263333537</x:v>
      </x:c>
      <x:c r="K1133" s="8" t="n">
        <x:v>0</x:v>
      </x:c>
      <x:c r="L1133" s="8" t="n">
        <x:v>0</x:v>
      </x:c>
      <x:c r="M1133" s="21" t="n">
        <x:f>E1133+K1133-I1133-J1133-L1133</x:f>
        <x:v>1054.6860097524514</x:v>
      </x:c>
    </x:row>
    <x:row r="1134" ht="36" customHeight="1">
      <x:c r="A1134" s="8" t="str">
        <x:v>Cash-first</x:v>
      </x:c>
      <x:c r="B1134" s="8" t="str">
        <x:v>Assumed refinancing</x:v>
      </x:c>
      <x:c r="C1134" s="8" t="str">
        <x:v>Committed revolver</x:v>
      </x:c>
      <x:c r="D1134" s="22" t="n">
        <x:v>1</x:v>
      </x:c>
      <x:c r="E1134" s="8" t="n">
        <x:v>0</x:v>
      </x:c>
      <x:c r="F1134" s="23" t="n">
        <x:v>0.0625</x:v>
      </x:c>
      <x:c r="G1134" s="8" t="n">
        <x:v>0</x:v>
      </x:c>
      <x:c r="H1134" s="8" t="n">
        <x:v>0</x:v>
      </x:c>
      <x:c r="I1134" s="8" t="n">
        <x:v>0</x:v>
      </x:c>
      <x:c r="J1134" s="8" t="n">
        <x:v>0</x:v>
      </x:c>
      <x:c r="K1134" s="8" t="n">
        <x:v>0</x:v>
      </x:c>
      <x:c r="L1134" s="8" t="n">
        <x:v>0</x:v>
      </x:c>
      <x:c r="M1134" s="21" t="n">
        <x:f>E1134+K1134-I1134-J1134-L1134</x:f>
        <x:v>0</x:v>
      </x:c>
    </x:row>
    <x:row r="1135" ht="36" customHeight="1">
      <x:c r="A1135" s="8" t="str">
        <x:v>Cash-first</x:v>
      </x:c>
      <x:c r="B1135" s="8" t="str">
        <x:v>Assumed refinancing</x:v>
      </x:c>
      <x:c r="C1135" s="8" t="str">
        <x:v>Atlas notes</x:v>
      </x:c>
      <x:c r="D1135" s="22" t="n">
        <x:v>2</x:v>
      </x:c>
      <x:c r="E1135" s="8" t="n">
        <x:v>900</x:v>
      </x:c>
      <x:c r="F1135" s="23" t="n">
        <x:v>0.038</x:v>
      </x:c>
      <x:c r="G1135" s="8" t="n">
        <x:v>34.199999999999996</x:v>
      </x:c>
      <x:c r="H1135" s="8" t="n">
        <x:v>0</x:v>
      </x:c>
      <x:c r="I1135" s="8" t="n">
        <x:v>0</x:v>
      </x:c>
      <x:c r="J1135" s="8" t="n">
        <x:v>0</x:v>
      </x:c>
      <x:c r="K1135" s="8" t="n">
        <x:v>0</x:v>
      </x:c>
      <x:c r="L1135" s="8" t="n">
        <x:v>0</x:v>
      </x:c>
      <x:c r="M1135" s="21" t="n">
        <x:f>E1135+K1135-I1135-J1135-L1135</x:f>
        <x:v>900</x:v>
      </x:c>
    </x:row>
    <x:row r="1136" ht="36" customHeight="1">
      <x:c r="A1136" s="8" t="str">
        <x:v>Cash-first</x:v>
      </x:c>
      <x:c r="B1136" s="8" t="str">
        <x:v>Assumed refinancing</x:v>
      </x:c>
      <x:c r="C1136" s="8" t="str">
        <x:v>Atlas finance lease</x:v>
      </x:c>
      <x:c r="D1136" s="22" t="n">
        <x:v>2</x:v>
      </x:c>
      <x:c r="E1136" s="8" t="n">
        <x:v>64</x:v>
      </x:c>
      <x:c r="F1136" s="23" t="n">
        <x:v>0.05</x:v>
      </x:c>
      <x:c r="G1136" s="8" t="n">
        <x:v>3.2</x:v>
      </x:c>
      <x:c r="H1136" s="8" t="n">
        <x:v>16</x:v>
      </x:c>
      <x:c r="I1136" s="8" t="n">
        <x:v>16</x:v>
      </x:c>
      <x:c r="J1136" s="8" t="n">
        <x:v>0</x:v>
      </x:c>
      <x:c r="K1136" s="8" t="n">
        <x:v>0</x:v>
      </x:c>
      <x:c r="L1136" s="8" t="n">
        <x:v>0</x:v>
      </x:c>
      <x:c r="M1136" s="21" t="n">
        <x:f>E1136+K1136-I1136-J1136-L1136</x:f>
        <x:v>48</x:v>
      </x:c>
    </x:row>
    <x:row r="1137" ht="36" customHeight="1">
      <x:c r="A1137" s="8" t="str">
        <x:v>Cash-first</x:v>
      </x:c>
      <x:c r="B1137" s="8" t="str">
        <x:v>Assumed refinancing</x:v>
      </x:c>
      <x:c r="C1137" s="8" t="str">
        <x:v>Beacon notes</x:v>
      </x:c>
      <x:c r="D1137" s="22" t="n">
        <x:v>2</x:v>
      </x:c>
      <x:c r="E1137" s="8" t="n">
        <x:v>350</x:v>
      </x:c>
      <x:c r="F1137" s="23" t="n">
        <x:v>0.0475</x:v>
      </x:c>
      <x:c r="G1137" s="8" t="n">
        <x:v>16.625</x:v>
      </x:c>
      <x:c r="H1137" s="8" t="n">
        <x:v>0</x:v>
      </x:c>
      <x:c r="I1137" s="8" t="n">
        <x:v>0</x:v>
      </x:c>
      <x:c r="J1137" s="8" t="n">
        <x:v>0</x:v>
      </x:c>
      <x:c r="K1137" s="8" t="n">
        <x:v>0</x:v>
      </x:c>
      <x:c r="L1137" s="8" t="n">
        <x:v>0</x:v>
      </x:c>
      <x:c r="M1137" s="21" t="n">
        <x:f>E1137+K1137-I1137-J1137-L1137</x:f>
        <x:v>350</x:v>
      </x:c>
    </x:row>
    <x:row r="1138" ht="36" customHeight="1">
      <x:c r="A1138" s="8" t="str">
        <x:v>Cash-first</x:v>
      </x:c>
      <x:c r="B1138" s="8" t="str">
        <x:v>Assumed refinancing</x:v>
      </x:c>
      <x:c r="C1138" s="8" t="str">
        <x:v>Acquisition term</x:v>
      </x:c>
      <x:c r="D1138" s="22" t="n">
        <x:v>2</x:v>
      </x:c>
      <x:c r="E1138" s="8" t="n">
        <x:v>1054.6860097524514</x:v>
      </x:c>
      <x:c r="F1138" s="23" t="n">
        <x:v>0.0625</x:v>
      </x:c>
      <x:c r="G1138" s="8" t="n">
        <x:v>65.91787560952821</x:v>
      </x:c>
      <x:c r="H1138" s="8" t="n">
        <x:v>26.802030456852794</x:v>
      </x:c>
      <x:c r="I1138" s="8" t="n">
        <x:v>26.802030456852794</x:v>
      </x:c>
      <x:c r="J1138" s="8" t="n">
        <x:v>350.3006304729854</x:v>
      </x:c>
      <x:c r="K1138" s="8" t="n">
        <x:v>0</x:v>
      </x:c>
      <x:c r="L1138" s="8" t="n">
        <x:v>0</x:v>
      </x:c>
      <x:c r="M1138" s="21" t="n">
        <x:f>E1138+K1138-I1138-J1138-L1138</x:f>
        <x:v>677.5833488226131</x:v>
      </x:c>
    </x:row>
    <x:row r="1139" ht="36" customHeight="1">
      <x:c r="A1139" s="8" t="str">
        <x:v>Cash-first</x:v>
      </x:c>
      <x:c r="B1139" s="8" t="str">
        <x:v>Assumed refinancing</x:v>
      </x:c>
      <x:c r="C1139" s="8" t="str">
        <x:v>Committed revolver</x:v>
      </x:c>
      <x:c r="D1139" s="22" t="n">
        <x:v>2</x:v>
      </x:c>
      <x:c r="E1139" s="8" t="n">
        <x:v>0</x:v>
      </x:c>
      <x:c r="F1139" s="23" t="n">
        <x:v>0.06</x:v>
      </x:c>
      <x:c r="G1139" s="8" t="n">
        <x:v>0</x:v>
      </x:c>
      <x:c r="H1139" s="8" t="n">
        <x:v>0</x:v>
      </x:c>
      <x:c r="I1139" s="8" t="n">
        <x:v>0</x:v>
      </x:c>
      <x:c r="J1139" s="8" t="n">
        <x:v>0</x:v>
      </x:c>
      <x:c r="K1139" s="8" t="n">
        <x:v>0</x:v>
      </x:c>
      <x:c r="L1139" s="8" t="n">
        <x:v>0</x:v>
      </x:c>
      <x:c r="M1139" s="21" t="n">
        <x:f>E1139+K1139-I1139-J1139-L1139</x:f>
        <x:v>0</x:v>
      </x:c>
    </x:row>
    <x:row r="1140" ht="36" customHeight="1">
      <x:c r="A1140" s="8" t="str">
        <x:v>Cash-first</x:v>
      </x:c>
      <x:c r="B1140" s="8" t="str">
        <x:v>Assumed refinancing</x:v>
      </x:c>
      <x:c r="C1140" s="8" t="str">
        <x:v>Atlas notes</x:v>
      </x:c>
      <x:c r="D1140" s="22" t="n">
        <x:v>3</x:v>
      </x:c>
      <x:c r="E1140" s="8" t="n">
        <x:v>900</x:v>
      </x:c>
      <x:c r="F1140" s="23" t="n">
        <x:v>0.038</x:v>
      </x:c>
      <x:c r="G1140" s="8" t="n">
        <x:v>34.199999999999996</x:v>
      </x:c>
      <x:c r="H1140" s="8" t="n">
        <x:v>0</x:v>
      </x:c>
      <x:c r="I1140" s="8" t="n">
        <x:v>0</x:v>
      </x:c>
      <x:c r="J1140" s="8" t="n">
        <x:v>0</x:v>
      </x:c>
      <x:c r="K1140" s="8" t="n">
        <x:v>0</x:v>
      </x:c>
      <x:c r="L1140" s="8" t="n">
        <x:v>0</x:v>
      </x:c>
      <x:c r="M1140" s="21" t="n">
        <x:f>E1140+K1140-I1140-J1140-L1140</x:f>
        <x:v>900</x:v>
      </x:c>
    </x:row>
    <x:row r="1141" ht="36" customHeight="1">
      <x:c r="A1141" s="8" t="str">
        <x:v>Cash-first</x:v>
      </x:c>
      <x:c r="B1141" s="8" t="str">
        <x:v>Assumed refinancing</x:v>
      </x:c>
      <x:c r="C1141" s="8" t="str">
        <x:v>Atlas finance lease</x:v>
      </x:c>
      <x:c r="D1141" s="22" t="n">
        <x:v>3</x:v>
      </x:c>
      <x:c r="E1141" s="8" t="n">
        <x:v>48</x:v>
      </x:c>
      <x:c r="F1141" s="23" t="n">
        <x:v>0.05</x:v>
      </x:c>
      <x:c r="G1141" s="8" t="n">
        <x:v>2.4000000000000004</x:v>
      </x:c>
      <x:c r="H1141" s="8" t="n">
        <x:v>16</x:v>
      </x:c>
      <x:c r="I1141" s="8" t="n">
        <x:v>16</x:v>
      </x:c>
      <x:c r="J1141" s="8" t="n">
        <x:v>0</x:v>
      </x:c>
      <x:c r="K1141" s="8" t="n">
        <x:v>0</x:v>
      </x:c>
      <x:c r="L1141" s="8" t="n">
        <x:v>0</x:v>
      </x:c>
      <x:c r="M1141" s="21" t="n">
        <x:f>E1141+K1141-I1141-J1141-L1141</x:f>
        <x:v>32</x:v>
      </x:c>
    </x:row>
    <x:row r="1142" ht="36" customHeight="1">
      <x:c r="A1142" s="8" t="str">
        <x:v>Cash-first</x:v>
      </x:c>
      <x:c r="B1142" s="8" t="str">
        <x:v>Assumed refinancing</x:v>
      </x:c>
      <x:c r="C1142" s="8" t="str">
        <x:v>Beacon notes</x:v>
      </x:c>
      <x:c r="D1142" s="22" t="n">
        <x:v>3</x:v>
      </x:c>
      <x:c r="E1142" s="8" t="n">
        <x:v>350</x:v>
      </x:c>
      <x:c r="F1142" s="23" t="n">
        <x:v>0.0475</x:v>
      </x:c>
      <x:c r="G1142" s="8" t="n">
        <x:v>16.625</x:v>
      </x:c>
      <x:c r="H1142" s="8" t="n">
        <x:v>350</x:v>
      </x:c>
      <x:c r="I1142" s="8" t="n">
        <x:v>0</x:v>
      </x:c>
      <x:c r="J1142" s="8" t="n">
        <x:v>0</x:v>
      </x:c>
      <x:c r="K1142" s="8" t="n">
        <x:v>0</x:v>
      </x:c>
      <x:c r="L1142" s="8" t="n">
        <x:v>350</x:v>
      </x:c>
      <x:c r="M1142" s="21" t="n">
        <x:f>E1142+K1142-I1142-J1142-L1142</x:f>
        <x:v>0</x:v>
      </x:c>
    </x:row>
    <x:row r="1143" ht="36" customHeight="1">
      <x:c r="A1143" s="8" t="str">
        <x:v>Cash-first</x:v>
      </x:c>
      <x:c r="B1143" s="8" t="str">
        <x:v>Assumed refinancing</x:v>
      </x:c>
      <x:c r="C1143" s="8" t="str">
        <x:v>Acquisition term</x:v>
      </x:c>
      <x:c r="D1143" s="22" t="n">
        <x:v>3</x:v>
      </x:c>
      <x:c r="E1143" s="8" t="n">
        <x:v>677.5833488226131</x:v>
      </x:c>
      <x:c r="F1143" s="23" t="n">
        <x:v>0.060000000000000005</x:v>
      </x:c>
      <x:c r="G1143" s="8" t="n">
        <x:v>40.65500092935679</x:v>
      </x:c>
      <x:c r="H1143" s="8" t="n">
        <x:v>26.802030456852794</x:v>
      </x:c>
      <x:c r="I1143" s="8" t="n">
        <x:v>26.802030456852794</x:v>
      </x:c>
      <x:c r="J1143" s="8" t="n">
        <x:v>460.6007619240397</x:v>
      </x:c>
      <x:c r="K1143" s="8" t="n">
        <x:v>0</x:v>
      </x:c>
      <x:c r="L1143" s="8" t="n">
        <x:v>0</x:v>
      </x:c>
      <x:c r="M1143" s="21" t="n">
        <x:f>E1143+K1143-I1143-J1143-L1143</x:f>
        <x:v>190.18055644172057</x:v>
      </x:c>
    </x:row>
    <x:row r="1144" ht="36" customHeight="1">
      <x:c r="A1144" s="8" t="str">
        <x:v>Cash-first</x:v>
      </x:c>
      <x:c r="B1144" s="8" t="str">
        <x:v>Assumed refinancing</x:v>
      </x:c>
      <x:c r="C1144" s="8" t="str">
        <x:v>Committed revolver</x:v>
      </x:c>
      <x:c r="D1144" s="22" t="n">
        <x:v>3</x:v>
      </x:c>
      <x:c r="E1144" s="8" t="n">
        <x:v>0</x:v>
      </x:c>
      <x:c r="F1144" s="23" t="n">
        <x:v>0.0575</x:v>
      </x:c>
      <x:c r="G1144" s="8" t="n">
        <x:v>0</x:v>
      </x:c>
      <x:c r="H1144" s="8" t="n">
        <x:v>0</x:v>
      </x:c>
      <x:c r="I1144" s="8" t="n">
        <x:v>0</x:v>
      </x:c>
      <x:c r="J1144" s="8" t="n">
        <x:v>0</x:v>
      </x:c>
      <x:c r="K1144" s="8" t="n">
        <x:v>0</x:v>
      </x:c>
      <x:c r="L1144" s="8" t="n">
        <x:v>0</x:v>
      </x:c>
      <x:c r="M1144" s="21" t="n">
        <x:f>E1144+K1144-I1144-J1144-L1144</x:f>
        <x:v>0</x:v>
      </x:c>
    </x:row>
    <x:row r="1145" ht="36" customHeight="1">
      <x:c r="A1145" s="8" t="str">
        <x:v>Cash-first</x:v>
      </x:c>
      <x:c r="B1145" s="8" t="str">
        <x:v>Assumed refinancing</x:v>
      </x:c>
      <x:c r="C1145" s="8" t="str">
        <x:v>Refinance Beacon notes at 3</x:v>
      </x:c>
      <x:c r="D1145" s="22" t="n">
        <x:v>3</x:v>
      </x:c>
      <x:c r="E1145" s="8" t="n">
        <x:v>0</x:v>
      </x:c>
      <x:c r="F1145" s="23" t="n">
        <x:v>0.060000000000000005</x:v>
      </x:c>
      <x:c r="G1145" s="8" t="n">
        <x:v>0</x:v>
      </x:c>
      <x:c r="H1145" s="8" t="n">
        <x:v>0</x:v>
      </x:c>
      <x:c r="I1145" s="8" t="n">
        <x:v>0</x:v>
      </x:c>
      <x:c r="J1145" s="8" t="n">
        <x:v>0</x:v>
      </x:c>
      <x:c r="K1145" s="8" t="n">
        <x:v>350</x:v>
      </x:c>
      <x:c r="L1145" s="8" t="n">
        <x:v>0</x:v>
      </x:c>
      <x:c r="M1145" s="21" t="n">
        <x:f>E1145+K1145-I1145-J1145-L1145</x:f>
        <x:v>350</x:v>
      </x:c>
    </x:row>
    <x:row r="1146" ht="36" customHeight="1">
      <x:c r="A1146" s="8" t="str">
        <x:v>Cash-first</x:v>
      </x:c>
      <x:c r="B1146" s="8" t="str">
        <x:v>Assumed refinancing</x:v>
      </x:c>
      <x:c r="C1146" s="8" t="str">
        <x:v>Atlas notes</x:v>
      </x:c>
      <x:c r="D1146" s="22" t="n">
        <x:v>4</x:v>
      </x:c>
      <x:c r="E1146" s="8" t="n">
        <x:v>900</x:v>
      </x:c>
      <x:c r="F1146" s="23" t="n">
        <x:v>0.038</x:v>
      </x:c>
      <x:c r="G1146" s="8" t="n">
        <x:v>34.199999999999996</x:v>
      </x:c>
      <x:c r="H1146" s="8" t="n">
        <x:v>900</x:v>
      </x:c>
      <x:c r="I1146" s="8" t="n">
        <x:v>0</x:v>
      </x:c>
      <x:c r="J1146" s="8" t="n">
        <x:v>0</x:v>
      </x:c>
      <x:c r="K1146" s="8" t="n">
        <x:v>0</x:v>
      </x:c>
      <x:c r="L1146" s="8" t="n">
        <x:v>900</x:v>
      </x:c>
      <x:c r="M1146" s="21" t="n">
        <x:f>E1146+K1146-I1146-J1146-L1146</x:f>
        <x:v>0</x:v>
      </x:c>
    </x:row>
    <x:row r="1147" ht="36" customHeight="1">
      <x:c r="A1147" s="8" t="str">
        <x:v>Cash-first</x:v>
      </x:c>
      <x:c r="B1147" s="8" t="str">
        <x:v>Assumed refinancing</x:v>
      </x:c>
      <x:c r="C1147" s="8" t="str">
        <x:v>Atlas finance lease</x:v>
      </x:c>
      <x:c r="D1147" s="22" t="n">
        <x:v>4</x:v>
      </x:c>
      <x:c r="E1147" s="8" t="n">
        <x:v>32</x:v>
      </x:c>
      <x:c r="F1147" s="23" t="n">
        <x:v>0.05</x:v>
      </x:c>
      <x:c r="G1147" s="8" t="n">
        <x:v>1.6</x:v>
      </x:c>
      <x:c r="H1147" s="8" t="n">
        <x:v>16</x:v>
      </x:c>
      <x:c r="I1147" s="8" t="n">
        <x:v>16</x:v>
      </x:c>
      <x:c r="J1147" s="8" t="n">
        <x:v>0</x:v>
      </x:c>
      <x:c r="K1147" s="8" t="n">
        <x:v>0</x:v>
      </x:c>
      <x:c r="L1147" s="8" t="n">
        <x:v>0</x:v>
      </x:c>
      <x:c r="M1147" s="21" t="n">
        <x:f>E1147+K1147-I1147-J1147-L1147</x:f>
        <x:v>16</x:v>
      </x:c>
    </x:row>
    <x:row r="1148" ht="36" customHeight="1">
      <x:c r="A1148" s="8" t="str">
        <x:v>Cash-first</x:v>
      </x:c>
      <x:c r="B1148" s="8" t="str">
        <x:v>Assumed refinancing</x:v>
      </x:c>
      <x:c r="C1148" s="8" t="str">
        <x:v>Beacon notes</x:v>
      </x:c>
      <x:c r="D1148" s="22" t="n">
        <x:v>4</x:v>
      </x:c>
      <x:c r="E1148" s="8" t="n">
        <x:v>0</x:v>
      </x:c>
      <x:c r="F1148" s="23" t="n">
        <x:v>0.0475</x:v>
      </x:c>
      <x:c r="G1148" s="8" t="n">
        <x:v>0</x:v>
      </x:c>
      <x:c r="H1148" s="8" t="n">
        <x:v>0</x:v>
      </x:c>
      <x:c r="I1148" s="8" t="n">
        <x:v>0</x:v>
      </x:c>
      <x:c r="J1148" s="8" t="n">
        <x:v>0</x:v>
      </x:c>
      <x:c r="K1148" s="8" t="n">
        <x:v>0</x:v>
      </x:c>
      <x:c r="L1148" s="8" t="n">
        <x:v>0</x:v>
      </x:c>
      <x:c r="M1148" s="21" t="n">
        <x:f>E1148+K1148-I1148-J1148-L1148</x:f>
        <x:v>0</x:v>
      </x:c>
    </x:row>
    <x:row r="1149" ht="36" customHeight="1">
      <x:c r="A1149" s="8" t="str">
        <x:v>Cash-first</x:v>
      </x:c>
      <x:c r="B1149" s="8" t="str">
        <x:v>Assumed refinancing</x:v>
      </x:c>
      <x:c r="C1149" s="8" t="str">
        <x:v>Acquisition term</x:v>
      </x:c>
      <x:c r="D1149" s="22" t="n">
        <x:v>4</x:v>
      </x:c>
      <x:c r="E1149" s="8" t="n">
        <x:v>190.18055644172057</x:v>
      </x:c>
      <x:c r="F1149" s="23" t="n">
        <x:v>0.060000000000000005</x:v>
      </x:c>
      <x:c r="G1149" s="8" t="n">
        <x:v>11.410833386503235</x:v>
      </x:c>
      <x:c r="H1149" s="8" t="n">
        <x:v>26.802030456852794</x:v>
      </x:c>
      <x:c r="I1149" s="8" t="n">
        <x:v>26.802030456852794</x:v>
      </x:c>
      <x:c r="J1149" s="8" t="n">
        <x:v>163.37852598486776</x:v>
      </x:c>
      <x:c r="K1149" s="8" t="n">
        <x:v>0</x:v>
      </x:c>
      <x:c r="L1149" s="8" t="n">
        <x:v>0</x:v>
      </x:c>
      <x:c r="M1149" s="21" t="n">
        <x:f>E1149+K1149-I1149-J1149-L1149</x:f>
        <x:v>0</x:v>
      </x:c>
    </x:row>
    <x:row r="1150" ht="36" customHeight="1">
      <x:c r="A1150" s="8" t="str">
        <x:v>Cash-first</x:v>
      </x:c>
      <x:c r="B1150" s="8" t="str">
        <x:v>Assumed refinancing</x:v>
      </x:c>
      <x:c r="C1150" s="8" t="str">
        <x:v>Committed revolver</x:v>
      </x:c>
      <x:c r="D1150" s="22" t="n">
        <x:v>4</x:v>
      </x:c>
      <x:c r="E1150" s="8" t="n">
        <x:v>0</x:v>
      </x:c>
      <x:c r="F1150" s="23" t="n">
        <x:v>0.0575</x:v>
      </x:c>
      <x:c r="G1150" s="8" t="n">
        <x:v>0</x:v>
      </x:c>
      <x:c r="H1150" s="8" t="n">
        <x:v>0</x:v>
      </x:c>
      <x:c r="I1150" s="8" t="n">
        <x:v>0</x:v>
      </x:c>
      <x:c r="J1150" s="8" t="n">
        <x:v>0</x:v>
      </x:c>
      <x:c r="K1150" s="8" t="n">
        <x:v>0</x:v>
      </x:c>
      <x:c r="L1150" s="8" t="n">
        <x:v>0</x:v>
      </x:c>
      <x:c r="M1150" s="21" t="n">
        <x:f>E1150+K1150-I1150-J1150-L1150</x:f>
        <x:v>0</x:v>
      </x:c>
    </x:row>
    <x:row r="1151" ht="36" customHeight="1">
      <x:c r="A1151" s="8" t="str">
        <x:v>Cash-first</x:v>
      </x:c>
      <x:c r="B1151" s="8" t="str">
        <x:v>Assumed refinancing</x:v>
      </x:c>
      <x:c r="C1151" s="8" t="str">
        <x:v>Refinance Beacon notes at 3</x:v>
      </x:c>
      <x:c r="D1151" s="22" t="n">
        <x:v>4</x:v>
      </x:c>
      <x:c r="E1151" s="8" t="n">
        <x:v>350</x:v>
      </x:c>
      <x:c r="F1151" s="23" t="n">
        <x:v>0.060000000000000005</x:v>
      </x:c>
      <x:c r="G1151" s="8" t="n">
        <x:v>21</x:v>
      </x:c>
      <x:c r="H1151" s="8" t="n">
        <x:v>7</x:v>
      </x:c>
      <x:c r="I1151" s="8" t="n">
        <x:v>7</x:v>
      </x:c>
      <x:c r="J1151" s="8" t="n">
        <x:v>343</x:v>
      </x:c>
      <x:c r="K1151" s="8" t="n">
        <x:v>0</x:v>
      </x:c>
      <x:c r="L1151" s="8" t="n">
        <x:v>0</x:v>
      </x:c>
      <x:c r="M1151" s="21" t="n">
        <x:f>E1151+K1151-I1151-J1151-L1151</x:f>
        <x:v>0</x:v>
      </x:c>
    </x:row>
    <x:row r="1152" ht="36" customHeight="1">
      <x:c r="A1152" s="8" t="str">
        <x:v>Cash-first</x:v>
      </x:c>
      <x:c r="B1152" s="8" t="str">
        <x:v>Assumed refinancing</x:v>
      </x:c>
      <x:c r="C1152" s="8" t="str">
        <x:v>Refinance Atlas notes at 4</x:v>
      </x:c>
      <x:c r="D1152" s="22" t="n">
        <x:v>4</x:v>
      </x:c>
      <x:c r="E1152" s="8" t="n">
        <x:v>0</x:v>
      </x:c>
      <x:c r="F1152" s="23" t="n">
        <x:v>0.060000000000000005</x:v>
      </x:c>
      <x:c r="G1152" s="8" t="n">
        <x:v>0</x:v>
      </x:c>
      <x:c r="H1152" s="8" t="n">
        <x:v>0</x:v>
      </x:c>
      <x:c r="I1152" s="8" t="n">
        <x:v>0</x:v>
      </x:c>
      <x:c r="J1152" s="8" t="n">
        <x:v>5.058191023258814</x:v>
      </x:c>
      <x:c r="K1152" s="8" t="n">
        <x:v>900</x:v>
      </x:c>
      <x:c r="L1152" s="8" t="n">
        <x:v>0</x:v>
      </x:c>
      <x:c r="M1152" s="21" t="n">
        <x:f>E1152+K1152-I1152-J1152-L1152</x:f>
        <x:v>894.9418089767412</x:v>
      </x:c>
    </x:row>
    <x:row r="1153" ht="36" customHeight="1">
      <x:c r="A1153" s="8" t="str">
        <x:v>Cash-first</x:v>
      </x:c>
      <x:c r="B1153" s="8" t="str">
        <x:v>Assumed refinancing</x:v>
      </x:c>
      <x:c r="C1153" s="8" t="str">
        <x:v>Atlas notes</x:v>
      </x:c>
      <x:c r="D1153" s="22" t="n">
        <x:v>5</x:v>
      </x:c>
      <x:c r="E1153" s="8" t="n">
        <x:v>0</x:v>
      </x:c>
      <x:c r="F1153" s="23" t="n">
        <x:v>0.038</x:v>
      </x:c>
      <x:c r="G1153" s="8" t="n">
        <x:v>0</x:v>
      </x:c>
      <x:c r="H1153" s="8" t="n">
        <x:v>0</x:v>
      </x:c>
      <x:c r="I1153" s="8" t="n">
        <x:v>0</x:v>
      </x:c>
      <x:c r="J1153" s="8" t="n">
        <x:v>0</x:v>
      </x:c>
      <x:c r="K1153" s="8" t="n">
        <x:v>0</x:v>
      </x:c>
      <x:c r="L1153" s="8" t="n">
        <x:v>0</x:v>
      </x:c>
      <x:c r="M1153" s="21" t="n">
        <x:f>E1153+K1153-I1153-J1153-L1153</x:f>
        <x:v>0</x:v>
      </x:c>
    </x:row>
    <x:row r="1154" ht="36" customHeight="1">
      <x:c r="A1154" s="8" t="str">
        <x:v>Cash-first</x:v>
      </x:c>
      <x:c r="B1154" s="8" t="str">
        <x:v>Assumed refinancing</x:v>
      </x:c>
      <x:c r="C1154" s="8" t="str">
        <x:v>Atlas finance lease</x:v>
      </x:c>
      <x:c r="D1154" s="22" t="n">
        <x:v>5</x:v>
      </x:c>
      <x:c r="E1154" s="8" t="n">
        <x:v>16</x:v>
      </x:c>
      <x:c r="F1154" s="23" t="n">
        <x:v>0.05</x:v>
      </x:c>
      <x:c r="G1154" s="8" t="n">
        <x:v>0.8</x:v>
      </x:c>
      <x:c r="H1154" s="8" t="n">
        <x:v>16</x:v>
      </x:c>
      <x:c r="I1154" s="8" t="n">
        <x:v>16</x:v>
      </x:c>
      <x:c r="J1154" s="8" t="n">
        <x:v>0</x:v>
      </x:c>
      <x:c r="K1154" s="8" t="n">
        <x:v>0</x:v>
      </x:c>
      <x:c r="L1154" s="8" t="n">
        <x:v>0</x:v>
      </x:c>
      <x:c r="M1154" s="21" t="n">
        <x:f>E1154+K1154-I1154-J1154-L1154</x:f>
        <x:v>0</x:v>
      </x:c>
    </x:row>
    <x:row r="1155" ht="36" customHeight="1">
      <x:c r="A1155" s="8" t="str">
        <x:v>Cash-first</x:v>
      </x:c>
      <x:c r="B1155" s="8" t="str">
        <x:v>Assumed refinancing</x:v>
      </x:c>
      <x:c r="C1155" s="8" t="str">
        <x:v>Beacon notes</x:v>
      </x:c>
      <x:c r="D1155" s="22" t="n">
        <x:v>5</x:v>
      </x:c>
      <x:c r="E1155" s="8" t="n">
        <x:v>0</x:v>
      </x:c>
      <x:c r="F1155" s="23" t="n">
        <x:v>0.0475</x:v>
      </x:c>
      <x:c r="G1155" s="8" t="n">
        <x:v>0</x:v>
      </x:c>
      <x:c r="H1155" s="8" t="n">
        <x:v>0</x:v>
      </x:c>
      <x:c r="I1155" s="8" t="n">
        <x:v>0</x:v>
      </x:c>
      <x:c r="J1155" s="8" t="n">
        <x:v>0</x:v>
      </x:c>
      <x:c r="K1155" s="8" t="n">
        <x:v>0</x:v>
      </x:c>
      <x:c r="L1155" s="8" t="n">
        <x:v>0</x:v>
      </x:c>
      <x:c r="M1155" s="21" t="n">
        <x:f>E1155+K1155-I1155-J1155-L1155</x:f>
        <x:v>0</x:v>
      </x:c>
    </x:row>
    <x:row r="1156" ht="36" customHeight="1">
      <x:c r="A1156" s="8" t="str">
        <x:v>Cash-first</x:v>
      </x:c>
      <x:c r="B1156" s="8" t="str">
        <x:v>Assumed refinancing</x:v>
      </x:c>
      <x:c r="C1156" s="8" t="str">
        <x:v>Acquisition term</x:v>
      </x:c>
      <x:c r="D1156" s="22" t="n">
        <x:v>5</x:v>
      </x:c>
      <x:c r="E1156" s="8" t="n">
        <x:v>0</x:v>
      </x:c>
      <x:c r="F1156" s="23" t="n">
        <x:v>0.060000000000000005</x:v>
      </x:c>
      <x:c r="G1156" s="8" t="n">
        <x:v>0</x:v>
      </x:c>
      <x:c r="H1156" s="8" t="n">
        <x:v>0</x:v>
      </x:c>
      <x:c r="I1156" s="8" t="n">
        <x:v>0</x:v>
      </x:c>
      <x:c r="J1156" s="8" t="n">
        <x:v>0</x:v>
      </x:c>
      <x:c r="K1156" s="8" t="n">
        <x:v>0</x:v>
      </x:c>
      <x:c r="L1156" s="8" t="n">
        <x:v>0</x:v>
      </x:c>
      <x:c r="M1156" s="21" t="n">
        <x:f>E1156+K1156-I1156-J1156-L1156</x:f>
        <x:v>0</x:v>
      </x:c>
    </x:row>
    <x:row r="1157" ht="36" customHeight="1">
      <x:c r="A1157" s="8" t="str">
        <x:v>Cash-first</x:v>
      </x:c>
      <x:c r="B1157" s="8" t="str">
        <x:v>Assumed refinancing</x:v>
      </x:c>
      <x:c r="C1157" s="8" t="str">
        <x:v>Committed revolver</x:v>
      </x:c>
      <x:c r="D1157" s="22" t="n">
        <x:v>5</x:v>
      </x:c>
      <x:c r="E1157" s="8" t="n">
        <x:v>0</x:v>
      </x:c>
      <x:c r="F1157" s="23" t="n">
        <x:v>0.0575</x:v>
      </x:c>
      <x:c r="G1157" s="8" t="n">
        <x:v>0</x:v>
      </x:c>
      <x:c r="H1157" s="8" t="n">
        <x:v>0</x:v>
      </x:c>
      <x:c r="I1157" s="8" t="n">
        <x:v>0</x:v>
      </x:c>
      <x:c r="J1157" s="8" t="n">
        <x:v>0</x:v>
      </x:c>
      <x:c r="K1157" s="8" t="n">
        <x:v>0</x:v>
      </x:c>
      <x:c r="L1157" s="8" t="n">
        <x:v>0</x:v>
      </x:c>
      <x:c r="M1157" s="21" t="n">
        <x:f>E1157+K1157-I1157-J1157-L1157</x:f>
        <x:v>0</x:v>
      </x:c>
    </x:row>
    <x:row r="1158" ht="36" customHeight="1">
      <x:c r="A1158" s="8" t="str">
        <x:v>Cash-first</x:v>
      </x:c>
      <x:c r="B1158" s="8" t="str">
        <x:v>Assumed refinancing</x:v>
      </x:c>
      <x:c r="C1158" s="8" t="str">
        <x:v>Refinance Beacon notes at 3</x:v>
      </x:c>
      <x:c r="D1158" s="22" t="n">
        <x:v>5</x:v>
      </x:c>
      <x:c r="E1158" s="8" t="n">
        <x:v>0</x:v>
      </x:c>
      <x:c r="F1158" s="23" t="n">
        <x:v>0.060000000000000005</x:v>
      </x:c>
      <x:c r="G1158" s="8" t="n">
        <x:v>0</x:v>
      </x:c>
      <x:c r="H1158" s="8" t="n">
        <x:v>0</x:v>
      </x:c>
      <x:c r="I1158" s="8" t="n">
        <x:v>0</x:v>
      </x:c>
      <x:c r="J1158" s="8" t="n">
        <x:v>0</x:v>
      </x:c>
      <x:c r="K1158" s="8" t="n">
        <x:v>0</x:v>
      </x:c>
      <x:c r="L1158" s="8" t="n">
        <x:v>0</x:v>
      </x:c>
      <x:c r="M1158" s="21" t="n">
        <x:f>E1158+K1158-I1158-J1158-L1158</x:f>
        <x:v>0</x:v>
      </x:c>
    </x:row>
    <x:row r="1159" ht="36" customHeight="1">
      <x:c r="A1159" s="8" t="str">
        <x:v>Cash-first</x:v>
      </x:c>
      <x:c r="B1159" s="8" t="str">
        <x:v>Assumed refinancing</x:v>
      </x:c>
      <x:c r="C1159" s="8" t="str">
        <x:v>Refinance Atlas notes at 4</x:v>
      </x:c>
      <x:c r="D1159" s="22" t="n">
        <x:v>5</x:v>
      </x:c>
      <x:c r="E1159" s="8" t="n">
        <x:v>894.9418089767412</x:v>
      </x:c>
      <x:c r="F1159" s="23" t="n">
        <x:v>0.060000000000000005</x:v>
      </x:c>
      <x:c r="G1159" s="8" t="n">
        <x:v>53.696508538604476</x:v>
      </x:c>
      <x:c r="H1159" s="8" t="n">
        <x:v>18</x:v>
      </x:c>
      <x:c r="I1159" s="8" t="n">
        <x:v>18</x:v>
      </x:c>
      <x:c r="J1159" s="8" t="n">
        <x:v>578.7140727055257</x:v>
      </x:c>
      <x:c r="K1159" s="8" t="n">
        <x:v>0</x:v>
      </x:c>
      <x:c r="L1159" s="8" t="n">
        <x:v>0</x:v>
      </x:c>
      <x:c r="M1159" s="21" t="n">
        <x:f>E1159+K1159-I1159-J1159-L1159</x:f>
        <x:v>298.22773627121546</x:v>
      </x:c>
    </x:row>
    <x:row r="1160" ht="36" customHeight="1">
      <x:c r="A1160" s="8" t="str">
        <x:v>Liquidity-first</x:v>
      </x:c>
      <x:c r="B1160" s="8" t="str">
        <x:v>Assumed refinancing</x:v>
      </x:c>
      <x:c r="C1160" s="8" t="str">
        <x:v>Atlas notes</x:v>
      </x:c>
      <x:c r="D1160" s="22" t="n">
        <x:v>1</x:v>
      </x:c>
      <x:c r="E1160" s="8" t="n">
        <x:v>900</x:v>
      </x:c>
      <x:c r="F1160" s="23" t="n">
        <x:v>0.038</x:v>
      </x:c>
      <x:c r="G1160" s="8" t="n">
        <x:v>34.199999999999996</x:v>
      </x:c>
      <x:c r="H1160" s="8" t="n">
        <x:v>0</x:v>
      </x:c>
      <x:c r="I1160" s="8" t="n">
        <x:v>0</x:v>
      </x:c>
      <x:c r="J1160" s="8" t="n">
        <x:v>0</x:v>
      </x:c>
      <x:c r="K1160" s="8" t="n">
        <x:v>0</x:v>
      </x:c>
      <x:c r="L1160" s="8" t="n">
        <x:v>0</x:v>
      </x:c>
      <x:c r="M1160" s="21" t="n">
        <x:f>E1160+K1160-I1160-J1160-L1160</x:f>
        <x:v>900</x:v>
      </x:c>
    </x:row>
    <x:row r="1161" ht="36" customHeight="1">
      <x:c r="A1161" s="8" t="str">
        <x:v>Liquidity-first</x:v>
      </x:c>
      <x:c r="B1161" s="8" t="str">
        <x:v>Assumed refinancing</x:v>
      </x:c>
      <x:c r="C1161" s="8" t="str">
        <x:v>Atlas finance lease</x:v>
      </x:c>
      <x:c r="D1161" s="22" t="n">
        <x:v>1</x:v>
      </x:c>
      <x:c r="E1161" s="8" t="n">
        <x:v>80</x:v>
      </x:c>
      <x:c r="F1161" s="23" t="n">
        <x:v>0.05</x:v>
      </x:c>
      <x:c r="G1161" s="8" t="n">
        <x:v>4</x:v>
      </x:c>
      <x:c r="H1161" s="8" t="n">
        <x:v>16</x:v>
      </x:c>
      <x:c r="I1161" s="8" t="n">
        <x:v>16</x:v>
      </x:c>
      <x:c r="J1161" s="8" t="n">
        <x:v>0</x:v>
      </x:c>
      <x:c r="K1161" s="8" t="n">
        <x:v>0</x:v>
      </x:c>
      <x:c r="L1161" s="8" t="n">
        <x:v>0</x:v>
      </x:c>
      <x:c r="M1161" s="21" t="n">
        <x:f>E1161+K1161-I1161-J1161-L1161</x:f>
        <x:v>64</x:v>
      </x:c>
    </x:row>
    <x:row r="1162" ht="36" customHeight="1">
      <x:c r="A1162" s="8" t="str">
        <x:v>Liquidity-first</x:v>
      </x:c>
      <x:c r="B1162" s="8" t="str">
        <x:v>Assumed refinancing</x:v>
      </x:c>
      <x:c r="C1162" s="8" t="str">
        <x:v>Beacon notes</x:v>
      </x:c>
      <x:c r="D1162" s="22" t="n">
        <x:v>1</x:v>
      </x:c>
      <x:c r="E1162" s="8" t="n">
        <x:v>350</x:v>
      </x:c>
      <x:c r="F1162" s="23" t="n">
        <x:v>0.0475</x:v>
      </x:c>
      <x:c r="G1162" s="8" t="n">
        <x:v>16.625</x:v>
      </x:c>
      <x:c r="H1162" s="8" t="n">
        <x:v>0</x:v>
      </x:c>
      <x:c r="I1162" s="8" t="n">
        <x:v>0</x:v>
      </x:c>
      <x:c r="J1162" s="8" t="n">
        <x:v>0</x:v>
      </x:c>
      <x:c r="K1162" s="8" t="n">
        <x:v>0</x:v>
      </x:c>
      <x:c r="L1162" s="8" t="n">
        <x:v>0</x:v>
      </x:c>
      <x:c r="M1162" s="21" t="n">
        <x:f>E1162+K1162-I1162-J1162-L1162</x:f>
        <x:v>350</x:v>
      </x:c>
    </x:row>
    <x:row r="1163" ht="36" customHeight="1">
      <x:c r="A1163" s="8" t="str">
        <x:v>Liquidity-first</x:v>
      </x:c>
      <x:c r="B1163" s="8" t="str">
        <x:v>Assumed refinancing</x:v>
      </x:c>
      <x:c r="C1163" s="8" t="str">
        <x:v>Acquisition term</x:v>
      </x:c>
      <x:c r="D1163" s="22" t="n">
        <x:v>1</x:v>
      </x:c>
      <x:c r="E1163" s="8" t="n">
        <x:v>2223.3502538071066</x:v>
      </x:c>
      <x:c r="F1163" s="23" t="n">
        <x:v>0.065</x:v>
      </x:c>
      <x:c r="G1163" s="8" t="n">
        <x:v>144.51776649746193</x:v>
      </x:c>
      <x:c r="H1163" s="8" t="n">
        <x:v>44.46700507614213</x:v>
      </x:c>
      <x:c r="I1163" s="8" t="n">
        <x:v>44.46700507614213</x:v>
      </x:c>
      <x:c r="J1163" s="8" t="n">
        <x:v>1067.8901323795283</x:v>
      </x:c>
      <x:c r="K1163" s="8" t="n">
        <x:v>0</x:v>
      </x:c>
      <x:c r="L1163" s="8" t="n">
        <x:v>0</x:v>
      </x:c>
      <x:c r="M1163" s="21" t="n">
        <x:f>E1163+K1163-I1163-J1163-L1163</x:f>
        <x:v>1110.9931163514364</x:v>
      </x:c>
    </x:row>
    <x:row r="1164" ht="36" customHeight="1">
      <x:c r="A1164" s="8" t="str">
        <x:v>Liquidity-first</x:v>
      </x:c>
      <x:c r="B1164" s="8" t="str">
        <x:v>Assumed refinancing</x:v>
      </x:c>
      <x:c r="C1164" s="8" t="str">
        <x:v>Committed revolver</x:v>
      </x:c>
      <x:c r="D1164" s="22" t="n">
        <x:v>1</x:v>
      </x:c>
      <x:c r="E1164" s="8" t="n">
        <x:v>0</x:v>
      </x:c>
      <x:c r="F1164" s="23" t="n">
        <x:v>0.0625</x:v>
      </x:c>
      <x:c r="G1164" s="8" t="n">
        <x:v>0</x:v>
      </x:c>
      <x:c r="H1164" s="8" t="n">
        <x:v>0</x:v>
      </x:c>
      <x:c r="I1164" s="8" t="n">
        <x:v>0</x:v>
      </x:c>
      <x:c r="J1164" s="8" t="n">
        <x:v>0</x:v>
      </x:c>
      <x:c r="K1164" s="8" t="n">
        <x:v>0</x:v>
      </x:c>
      <x:c r="L1164" s="8" t="n">
        <x:v>0</x:v>
      </x:c>
      <x:c r="M1164" s="21" t="n">
        <x:f>E1164+K1164-I1164-J1164-L1164</x:f>
        <x:v>0</x:v>
      </x:c>
    </x:row>
    <x:row r="1165" ht="36" customHeight="1">
      <x:c r="A1165" s="8" t="str">
        <x:v>Liquidity-first</x:v>
      </x:c>
      <x:c r="B1165" s="8" t="str">
        <x:v>Assumed refinancing</x:v>
      </x:c>
      <x:c r="C1165" s="8" t="str">
        <x:v>Atlas notes</x:v>
      </x:c>
      <x:c r="D1165" s="22" t="n">
        <x:v>2</x:v>
      </x:c>
      <x:c r="E1165" s="8" t="n">
        <x:v>900</x:v>
      </x:c>
      <x:c r="F1165" s="23" t="n">
        <x:v>0.038</x:v>
      </x:c>
      <x:c r="G1165" s="8" t="n">
        <x:v>34.199999999999996</x:v>
      </x:c>
      <x:c r="H1165" s="8" t="n">
        <x:v>0</x:v>
      </x:c>
      <x:c r="I1165" s="8" t="n">
        <x:v>0</x:v>
      </x:c>
      <x:c r="J1165" s="8" t="n">
        <x:v>0</x:v>
      </x:c>
      <x:c r="K1165" s="8" t="n">
        <x:v>0</x:v>
      </x:c>
      <x:c r="L1165" s="8" t="n">
        <x:v>0</x:v>
      </x:c>
      <x:c r="M1165" s="21" t="n">
        <x:f>E1165+K1165-I1165-J1165-L1165</x:f>
        <x:v>900</x:v>
      </x:c>
    </x:row>
    <x:row r="1166" ht="36" customHeight="1">
      <x:c r="A1166" s="8" t="str">
        <x:v>Liquidity-first</x:v>
      </x:c>
      <x:c r="B1166" s="8" t="str">
        <x:v>Assumed refinancing</x:v>
      </x:c>
      <x:c r="C1166" s="8" t="str">
        <x:v>Atlas finance lease</x:v>
      </x:c>
      <x:c r="D1166" s="22" t="n">
        <x:v>2</x:v>
      </x:c>
      <x:c r="E1166" s="8" t="n">
        <x:v>64</x:v>
      </x:c>
      <x:c r="F1166" s="23" t="n">
        <x:v>0.05</x:v>
      </x:c>
      <x:c r="G1166" s="8" t="n">
        <x:v>3.2</x:v>
      </x:c>
      <x:c r="H1166" s="8" t="n">
        <x:v>16</x:v>
      </x:c>
      <x:c r="I1166" s="8" t="n">
        <x:v>16</x:v>
      </x:c>
      <x:c r="J1166" s="8" t="n">
        <x:v>0</x:v>
      </x:c>
      <x:c r="K1166" s="8" t="n">
        <x:v>0</x:v>
      </x:c>
      <x:c r="L1166" s="8" t="n">
        <x:v>0</x:v>
      </x:c>
      <x:c r="M1166" s="21" t="n">
        <x:f>E1166+K1166-I1166-J1166-L1166</x:f>
        <x:v>48</x:v>
      </x:c>
    </x:row>
    <x:row r="1167" ht="36" customHeight="1">
      <x:c r="A1167" s="8" t="str">
        <x:v>Liquidity-first</x:v>
      </x:c>
      <x:c r="B1167" s="8" t="str">
        <x:v>Assumed refinancing</x:v>
      </x:c>
      <x:c r="C1167" s="8" t="str">
        <x:v>Beacon notes</x:v>
      </x:c>
      <x:c r="D1167" s="22" t="n">
        <x:v>2</x:v>
      </x:c>
      <x:c r="E1167" s="8" t="n">
        <x:v>350</x:v>
      </x:c>
      <x:c r="F1167" s="23" t="n">
        <x:v>0.0475</x:v>
      </x:c>
      <x:c r="G1167" s="8" t="n">
        <x:v>16.625</x:v>
      </x:c>
      <x:c r="H1167" s="8" t="n">
        <x:v>0</x:v>
      </x:c>
      <x:c r="I1167" s="8" t="n">
        <x:v>0</x:v>
      </x:c>
      <x:c r="J1167" s="8" t="n">
        <x:v>0</x:v>
      </x:c>
      <x:c r="K1167" s="8" t="n">
        <x:v>0</x:v>
      </x:c>
      <x:c r="L1167" s="8" t="n">
        <x:v>0</x:v>
      </x:c>
      <x:c r="M1167" s="21" t="n">
        <x:f>E1167+K1167-I1167-J1167-L1167</x:f>
        <x:v>350</x:v>
      </x:c>
    </x:row>
    <x:row r="1168" ht="36" customHeight="1">
      <x:c r="A1168" s="8" t="str">
        <x:v>Liquidity-first</x:v>
      </x:c>
      <x:c r="B1168" s="8" t="str">
        <x:v>Assumed refinancing</x:v>
      </x:c>
      <x:c r="C1168" s="8" t="str">
        <x:v>Acquisition term</x:v>
      </x:c>
      <x:c r="D1168" s="22" t="n">
        <x:v>2</x:v>
      </x:c>
      <x:c r="E1168" s="8" t="n">
        <x:v>1110.9931163514364</x:v>
      </x:c>
      <x:c r="F1168" s="23" t="n">
        <x:v>0.0625</x:v>
      </x:c>
      <x:c r="G1168" s="8" t="n">
        <x:v>69.43706977196477</x:v>
      </x:c>
      <x:c r="H1168" s="8" t="n">
        <x:v>44.46700507614213</x:v>
      </x:c>
      <x:c r="I1168" s="8" t="n">
        <x:v>44.46700507614213</x:v>
      </x:c>
      <x:c r="J1168" s="8" t="n">
        <x:v>329.99626023186875</x:v>
      </x:c>
      <x:c r="K1168" s="8" t="n">
        <x:v>0</x:v>
      </x:c>
      <x:c r="L1168" s="8" t="n">
        <x:v>0</x:v>
      </x:c>
      <x:c r="M1168" s="21" t="n">
        <x:f>E1168+K1168-I1168-J1168-L1168</x:f>
        <x:v>736.5298510434254</x:v>
      </x:c>
    </x:row>
    <x:row r="1169" ht="36" customHeight="1">
      <x:c r="A1169" s="8" t="str">
        <x:v>Liquidity-first</x:v>
      </x:c>
      <x:c r="B1169" s="8" t="str">
        <x:v>Assumed refinancing</x:v>
      </x:c>
      <x:c r="C1169" s="8" t="str">
        <x:v>Committed revolver</x:v>
      </x:c>
      <x:c r="D1169" s="22" t="n">
        <x:v>2</x:v>
      </x:c>
      <x:c r="E1169" s="8" t="n">
        <x:v>0</x:v>
      </x:c>
      <x:c r="F1169" s="23" t="n">
        <x:v>0.06</x:v>
      </x:c>
      <x:c r="G1169" s="8" t="n">
        <x:v>0</x:v>
      </x:c>
      <x:c r="H1169" s="8" t="n">
        <x:v>0</x:v>
      </x:c>
      <x:c r="I1169" s="8" t="n">
        <x:v>0</x:v>
      </x:c>
      <x:c r="J1169" s="8" t="n">
        <x:v>0</x:v>
      </x:c>
      <x:c r="K1169" s="8" t="n">
        <x:v>0</x:v>
      </x:c>
      <x:c r="L1169" s="8" t="n">
        <x:v>0</x:v>
      </x:c>
      <x:c r="M1169" s="21" t="n">
        <x:f>E1169+K1169-I1169-J1169-L1169</x:f>
        <x:v>0</x:v>
      </x:c>
    </x:row>
    <x:row r="1170" ht="36" customHeight="1">
      <x:c r="A1170" s="8" t="str">
        <x:v>Liquidity-first</x:v>
      </x:c>
      <x:c r="B1170" s="8" t="str">
        <x:v>Assumed refinancing</x:v>
      </x:c>
      <x:c r="C1170" s="8" t="str">
        <x:v>Atlas notes</x:v>
      </x:c>
      <x:c r="D1170" s="22" t="n">
        <x:v>3</x:v>
      </x:c>
      <x:c r="E1170" s="8" t="n">
        <x:v>900</x:v>
      </x:c>
      <x:c r="F1170" s="23" t="n">
        <x:v>0.038</x:v>
      </x:c>
      <x:c r="G1170" s="8" t="n">
        <x:v>34.199999999999996</x:v>
      </x:c>
      <x:c r="H1170" s="8" t="n">
        <x:v>0</x:v>
      </x:c>
      <x:c r="I1170" s="8" t="n">
        <x:v>0</x:v>
      </x:c>
      <x:c r="J1170" s="8" t="n">
        <x:v>0</x:v>
      </x:c>
      <x:c r="K1170" s="8" t="n">
        <x:v>0</x:v>
      </x:c>
      <x:c r="L1170" s="8" t="n">
        <x:v>0</x:v>
      </x:c>
      <x:c r="M1170" s="21" t="n">
        <x:f>E1170+K1170-I1170-J1170-L1170</x:f>
        <x:v>900</x:v>
      </x:c>
    </x:row>
    <x:row r="1171" ht="36" customHeight="1">
      <x:c r="A1171" s="8" t="str">
        <x:v>Liquidity-first</x:v>
      </x:c>
      <x:c r="B1171" s="8" t="str">
        <x:v>Assumed refinancing</x:v>
      </x:c>
      <x:c r="C1171" s="8" t="str">
        <x:v>Atlas finance lease</x:v>
      </x:c>
      <x:c r="D1171" s="22" t="n">
        <x:v>3</x:v>
      </x:c>
      <x:c r="E1171" s="8" t="n">
        <x:v>48</x:v>
      </x:c>
      <x:c r="F1171" s="23" t="n">
        <x:v>0.05</x:v>
      </x:c>
      <x:c r="G1171" s="8" t="n">
        <x:v>2.4000000000000004</x:v>
      </x:c>
      <x:c r="H1171" s="8" t="n">
        <x:v>16</x:v>
      </x:c>
      <x:c r="I1171" s="8" t="n">
        <x:v>16</x:v>
      </x:c>
      <x:c r="J1171" s="8" t="n">
        <x:v>0</x:v>
      </x:c>
      <x:c r="K1171" s="8" t="n">
        <x:v>0</x:v>
      </x:c>
      <x:c r="L1171" s="8" t="n">
        <x:v>0</x:v>
      </x:c>
      <x:c r="M1171" s="21" t="n">
        <x:f>E1171+K1171-I1171-J1171-L1171</x:f>
        <x:v>32</x:v>
      </x:c>
    </x:row>
    <x:row r="1172" ht="36" customHeight="1">
      <x:c r="A1172" s="8" t="str">
        <x:v>Liquidity-first</x:v>
      </x:c>
      <x:c r="B1172" s="8" t="str">
        <x:v>Assumed refinancing</x:v>
      </x:c>
      <x:c r="C1172" s="8" t="str">
        <x:v>Beacon notes</x:v>
      </x:c>
      <x:c r="D1172" s="22" t="n">
        <x:v>3</x:v>
      </x:c>
      <x:c r="E1172" s="8" t="n">
        <x:v>350</x:v>
      </x:c>
      <x:c r="F1172" s="23" t="n">
        <x:v>0.0475</x:v>
      </x:c>
      <x:c r="G1172" s="8" t="n">
        <x:v>16.625</x:v>
      </x:c>
      <x:c r="H1172" s="8" t="n">
        <x:v>350</x:v>
      </x:c>
      <x:c r="I1172" s="8" t="n">
        <x:v>0</x:v>
      </x:c>
      <x:c r="J1172" s="8" t="n">
        <x:v>0</x:v>
      </x:c>
      <x:c r="K1172" s="8" t="n">
        <x:v>0</x:v>
      </x:c>
      <x:c r="L1172" s="8" t="n">
        <x:v>350</x:v>
      </x:c>
      <x:c r="M1172" s="21" t="n">
        <x:f>E1172+K1172-I1172-J1172-L1172</x:f>
        <x:v>0</x:v>
      </x:c>
    </x:row>
    <x:row r="1173" ht="36" customHeight="1">
      <x:c r="A1173" s="8" t="str">
        <x:v>Liquidity-first</x:v>
      </x:c>
      <x:c r="B1173" s="8" t="str">
        <x:v>Assumed refinancing</x:v>
      </x:c>
      <x:c r="C1173" s="8" t="str">
        <x:v>Acquisition term</x:v>
      </x:c>
      <x:c r="D1173" s="22" t="n">
        <x:v>3</x:v>
      </x:c>
      <x:c r="E1173" s="8" t="n">
        <x:v>736.5298510434254</x:v>
      </x:c>
      <x:c r="F1173" s="23" t="n">
        <x:v>0.060000000000000005</x:v>
      </x:c>
      <x:c r="G1173" s="8" t="n">
        <x:v>44.19179106260553</x:v>
      </x:c>
      <x:c r="H1173" s="8" t="n">
        <x:v>44.46700507614213</x:v>
      </x:c>
      <x:c r="I1173" s="8" t="n">
        <x:v>44.46700507614213</x:v>
      </x:c>
      <x:c r="J1173" s="8" t="n">
        <x:v>440.2831947048139</x:v>
      </x:c>
      <x:c r="K1173" s="8" t="n">
        <x:v>0</x:v>
      </x:c>
      <x:c r="L1173" s="8" t="n">
        <x:v>0</x:v>
      </x:c>
      <x:c r="M1173" s="21" t="n">
        <x:f>E1173+K1173-I1173-J1173-L1173</x:f>
        <x:v>251.77965126246932</x:v>
      </x:c>
    </x:row>
    <x:row r="1174" ht="36" customHeight="1">
      <x:c r="A1174" s="8" t="str">
        <x:v>Liquidity-first</x:v>
      </x:c>
      <x:c r="B1174" s="8" t="str">
        <x:v>Assumed refinancing</x:v>
      </x:c>
      <x:c r="C1174" s="8" t="str">
        <x:v>Committed revolver</x:v>
      </x:c>
      <x:c r="D1174" s="22" t="n">
        <x:v>3</x:v>
      </x:c>
      <x:c r="E1174" s="8" t="n">
        <x:v>0</x:v>
      </x:c>
      <x:c r="F1174" s="23" t="n">
        <x:v>0.0575</x:v>
      </x:c>
      <x:c r="G1174" s="8" t="n">
        <x:v>0</x:v>
      </x:c>
      <x:c r="H1174" s="8" t="n">
        <x:v>0</x:v>
      </x:c>
      <x:c r="I1174" s="8" t="n">
        <x:v>0</x:v>
      </x:c>
      <x:c r="J1174" s="8" t="n">
        <x:v>0</x:v>
      </x:c>
      <x:c r="K1174" s="8" t="n">
        <x:v>0</x:v>
      </x:c>
      <x:c r="L1174" s="8" t="n">
        <x:v>0</x:v>
      </x:c>
      <x:c r="M1174" s="21" t="n">
        <x:f>E1174+K1174-I1174-J1174-L1174</x:f>
        <x:v>0</x:v>
      </x:c>
    </x:row>
    <x:row r="1175" ht="36" customHeight="1">
      <x:c r="A1175" s="8" t="str">
        <x:v>Liquidity-first</x:v>
      </x:c>
      <x:c r="B1175" s="8" t="str">
        <x:v>Assumed refinancing</x:v>
      </x:c>
      <x:c r="C1175" s="8" t="str">
        <x:v>Refinance Beacon notes at 3</x:v>
      </x:c>
      <x:c r="D1175" s="22" t="n">
        <x:v>3</x:v>
      </x:c>
      <x:c r="E1175" s="8" t="n">
        <x:v>0</x:v>
      </x:c>
      <x:c r="F1175" s="23" t="n">
        <x:v>0.060000000000000005</x:v>
      </x:c>
      <x:c r="G1175" s="8" t="n">
        <x:v>0</x:v>
      </x:c>
      <x:c r="H1175" s="8" t="n">
        <x:v>0</x:v>
      </x:c>
      <x:c r="I1175" s="8" t="n">
        <x:v>0</x:v>
      </x:c>
      <x:c r="J1175" s="8" t="n">
        <x:v>0</x:v>
      </x:c>
      <x:c r="K1175" s="8" t="n">
        <x:v>350</x:v>
      </x:c>
      <x:c r="L1175" s="8" t="n">
        <x:v>0</x:v>
      </x:c>
      <x:c r="M1175" s="21" t="n">
        <x:f>E1175+K1175-I1175-J1175-L1175</x:f>
        <x:v>350</x:v>
      </x:c>
    </x:row>
    <x:row r="1176" ht="36" customHeight="1">
      <x:c r="A1176" s="8" t="str">
        <x:v>Liquidity-first</x:v>
      </x:c>
      <x:c r="B1176" s="8" t="str">
        <x:v>Assumed refinancing</x:v>
      </x:c>
      <x:c r="C1176" s="8" t="str">
        <x:v>Atlas notes</x:v>
      </x:c>
      <x:c r="D1176" s="22" t="n">
        <x:v>4</x:v>
      </x:c>
      <x:c r="E1176" s="8" t="n">
        <x:v>900</x:v>
      </x:c>
      <x:c r="F1176" s="23" t="n">
        <x:v>0.038</x:v>
      </x:c>
      <x:c r="G1176" s="8" t="n">
        <x:v>34.199999999999996</x:v>
      </x:c>
      <x:c r="H1176" s="8" t="n">
        <x:v>900</x:v>
      </x:c>
      <x:c r="I1176" s="8" t="n">
        <x:v>0</x:v>
      </x:c>
      <x:c r="J1176" s="8" t="n">
        <x:v>0</x:v>
      </x:c>
      <x:c r="K1176" s="8" t="n">
        <x:v>0</x:v>
      </x:c>
      <x:c r="L1176" s="8" t="n">
        <x:v>900</x:v>
      </x:c>
      <x:c r="M1176" s="21" t="n">
        <x:f>E1176+K1176-I1176-J1176-L1176</x:f>
        <x:v>0</x:v>
      </x:c>
    </x:row>
    <x:row r="1177" ht="36" customHeight="1">
      <x:c r="A1177" s="8" t="str">
        <x:v>Liquidity-first</x:v>
      </x:c>
      <x:c r="B1177" s="8" t="str">
        <x:v>Assumed refinancing</x:v>
      </x:c>
      <x:c r="C1177" s="8" t="str">
        <x:v>Atlas finance lease</x:v>
      </x:c>
      <x:c r="D1177" s="22" t="n">
        <x:v>4</x:v>
      </x:c>
      <x:c r="E1177" s="8" t="n">
        <x:v>32</x:v>
      </x:c>
      <x:c r="F1177" s="23" t="n">
        <x:v>0.05</x:v>
      </x:c>
      <x:c r="G1177" s="8" t="n">
        <x:v>1.6</x:v>
      </x:c>
      <x:c r="H1177" s="8" t="n">
        <x:v>16</x:v>
      </x:c>
      <x:c r="I1177" s="8" t="n">
        <x:v>16</x:v>
      </x:c>
      <x:c r="J1177" s="8" t="n">
        <x:v>0</x:v>
      </x:c>
      <x:c r="K1177" s="8" t="n">
        <x:v>0</x:v>
      </x:c>
      <x:c r="L1177" s="8" t="n">
        <x:v>0</x:v>
      </x:c>
      <x:c r="M1177" s="21" t="n">
        <x:f>E1177+K1177-I1177-J1177-L1177</x:f>
        <x:v>16</x:v>
      </x:c>
    </x:row>
    <x:row r="1178" ht="36" customHeight="1">
      <x:c r="A1178" s="8" t="str">
        <x:v>Liquidity-first</x:v>
      </x:c>
      <x:c r="B1178" s="8" t="str">
        <x:v>Assumed refinancing</x:v>
      </x:c>
      <x:c r="C1178" s="8" t="str">
        <x:v>Beacon notes</x:v>
      </x:c>
      <x:c r="D1178" s="22" t="n">
        <x:v>4</x:v>
      </x:c>
      <x:c r="E1178" s="8" t="n">
        <x:v>0</x:v>
      </x:c>
      <x:c r="F1178" s="23" t="n">
        <x:v>0.0475</x:v>
      </x:c>
      <x:c r="G1178" s="8" t="n">
        <x:v>0</x:v>
      </x:c>
      <x:c r="H1178" s="8" t="n">
        <x:v>0</x:v>
      </x:c>
      <x:c r="I1178" s="8" t="n">
        <x:v>0</x:v>
      </x:c>
      <x:c r="J1178" s="8" t="n">
        <x:v>0</x:v>
      </x:c>
      <x:c r="K1178" s="8" t="n">
        <x:v>0</x:v>
      </x:c>
      <x:c r="L1178" s="8" t="n">
        <x:v>0</x:v>
      </x:c>
      <x:c r="M1178" s="21" t="n">
        <x:f>E1178+K1178-I1178-J1178-L1178</x:f>
        <x:v>0</x:v>
      </x:c>
    </x:row>
    <x:row r="1179" ht="36" customHeight="1">
      <x:c r="A1179" s="8" t="str">
        <x:v>Liquidity-first</x:v>
      </x:c>
      <x:c r="B1179" s="8" t="str">
        <x:v>Assumed refinancing</x:v>
      </x:c>
      <x:c r="C1179" s="8" t="str">
        <x:v>Acquisition term</x:v>
      </x:c>
      <x:c r="D1179" s="22" t="n">
        <x:v>4</x:v>
      </x:c>
      <x:c r="E1179" s="8" t="n">
        <x:v>251.77965126246932</x:v>
      </x:c>
      <x:c r="F1179" s="23" t="n">
        <x:v>0.060000000000000005</x:v>
      </x:c>
      <x:c r="G1179" s="8" t="n">
        <x:v>15.10677907574816</x:v>
      </x:c>
      <x:c r="H1179" s="8" t="n">
        <x:v>44.46700507614213</x:v>
      </x:c>
      <x:c r="I1179" s="8" t="n">
        <x:v>44.46700507614213</x:v>
      </x:c>
      <x:c r="J1179" s="8" t="n">
        <x:v>207.31264618632719</x:v>
      </x:c>
      <x:c r="K1179" s="8" t="n">
        <x:v>0</x:v>
      </x:c>
      <x:c r="L1179" s="8" t="n">
        <x:v>0</x:v>
      </x:c>
      <x:c r="M1179" s="21" t="n">
        <x:f>E1179+K1179-I1179-J1179-L1179</x:f>
        <x:v>0</x:v>
      </x:c>
    </x:row>
    <x:row r="1180" ht="36" customHeight="1">
      <x:c r="A1180" s="8" t="str">
        <x:v>Liquidity-first</x:v>
      </x:c>
      <x:c r="B1180" s="8" t="str">
        <x:v>Assumed refinancing</x:v>
      </x:c>
      <x:c r="C1180" s="8" t="str">
        <x:v>Committed revolver</x:v>
      </x:c>
      <x:c r="D1180" s="22" t="n">
        <x:v>4</x:v>
      </x:c>
      <x:c r="E1180" s="8" t="n">
        <x:v>0</x:v>
      </x:c>
      <x:c r="F1180" s="23" t="n">
        <x:v>0.0575</x:v>
      </x:c>
      <x:c r="G1180" s="8" t="n">
        <x:v>0</x:v>
      </x:c>
      <x:c r="H1180" s="8" t="n">
        <x:v>0</x:v>
      </x:c>
      <x:c r="I1180" s="8" t="n">
        <x:v>0</x:v>
      </x:c>
      <x:c r="J1180" s="8" t="n">
        <x:v>0</x:v>
      </x:c>
      <x:c r="K1180" s="8" t="n">
        <x:v>0</x:v>
      </x:c>
      <x:c r="L1180" s="8" t="n">
        <x:v>0</x:v>
      </x:c>
      <x:c r="M1180" s="21" t="n">
        <x:f>E1180+K1180-I1180-J1180-L1180</x:f>
        <x:v>0</x:v>
      </x:c>
    </x:row>
    <x:row r="1181" ht="36" customHeight="1">
      <x:c r="A1181" s="8" t="str">
        <x:v>Liquidity-first</x:v>
      </x:c>
      <x:c r="B1181" s="8" t="str">
        <x:v>Assumed refinancing</x:v>
      </x:c>
      <x:c r="C1181" s="8" t="str">
        <x:v>Refinance Beacon notes at 3</x:v>
      </x:c>
      <x:c r="D1181" s="22" t="n">
        <x:v>4</x:v>
      </x:c>
      <x:c r="E1181" s="8" t="n">
        <x:v>350</x:v>
      </x:c>
      <x:c r="F1181" s="23" t="n">
        <x:v>0.060000000000000005</x:v>
      </x:c>
      <x:c r="G1181" s="8" t="n">
        <x:v>21</x:v>
      </x:c>
      <x:c r="H1181" s="8" t="n">
        <x:v>7</x:v>
      </x:c>
      <x:c r="I1181" s="8" t="n">
        <x:v>7</x:v>
      </x:c>
      <x:c r="J1181" s="8" t="n">
        <x:v>283.68713693557623</x:v>
      </x:c>
      <x:c r="K1181" s="8" t="n">
        <x:v>0</x:v>
      </x:c>
      <x:c r="L1181" s="8" t="n">
        <x:v>0</x:v>
      </x:c>
      <x:c r="M1181" s="21" t="n">
        <x:f>E1181+K1181-I1181-J1181-L1181</x:f>
        <x:v>59.312863064423766</x:v>
      </x:c>
    </x:row>
    <x:row r="1182" ht="36" customHeight="1">
      <x:c r="A1182" s="8" t="str">
        <x:v>Liquidity-first</x:v>
      </x:c>
      <x:c r="B1182" s="8" t="str">
        <x:v>Assumed refinancing</x:v>
      </x:c>
      <x:c r="C1182" s="8" t="str">
        <x:v>Refinance Atlas notes at 4</x:v>
      </x:c>
      <x:c r="D1182" s="22" t="n">
        <x:v>4</x:v>
      </x:c>
      <x:c r="E1182" s="8" t="n">
        <x:v>0</x:v>
      </x:c>
      <x:c r="F1182" s="23" t="n">
        <x:v>0.060000000000000005</x:v>
      </x:c>
      <x:c r="G1182" s="8" t="n">
        <x:v>0</x:v>
      </x:c>
      <x:c r="H1182" s="8" t="n">
        <x:v>0</x:v>
      </x:c>
      <x:c r="I1182" s="8" t="n">
        <x:v>0</x:v>
      </x:c>
      <x:c r="J1182" s="8" t="n">
        <x:v>0</x:v>
      </x:c>
      <x:c r="K1182" s="8" t="n">
        <x:v>900</x:v>
      </x:c>
      <x:c r="L1182" s="8" t="n">
        <x:v>0</x:v>
      </x:c>
      <x:c r="M1182" s="21" t="n">
        <x:f>E1182+K1182-I1182-J1182-L1182</x:f>
        <x:v>900</x:v>
      </x:c>
    </x:row>
    <x:row r="1183" ht="36" customHeight="1">
      <x:c r="A1183" s="8" t="str">
        <x:v>Liquidity-first</x:v>
      </x:c>
      <x:c r="B1183" s="8" t="str">
        <x:v>Assumed refinancing</x:v>
      </x:c>
      <x:c r="C1183" s="8" t="str">
        <x:v>Atlas notes</x:v>
      </x:c>
      <x:c r="D1183" s="22" t="n">
        <x:v>5</x:v>
      </x:c>
      <x:c r="E1183" s="8" t="n">
        <x:v>0</x:v>
      </x:c>
      <x:c r="F1183" s="23" t="n">
        <x:v>0.038</x:v>
      </x:c>
      <x:c r="G1183" s="8" t="n">
        <x:v>0</x:v>
      </x:c>
      <x:c r="H1183" s="8" t="n">
        <x:v>0</x:v>
      </x:c>
      <x:c r="I1183" s="8" t="n">
        <x:v>0</x:v>
      </x:c>
      <x:c r="J1183" s="8" t="n">
        <x:v>0</x:v>
      </x:c>
      <x:c r="K1183" s="8" t="n">
        <x:v>0</x:v>
      </x:c>
      <x:c r="L1183" s="8" t="n">
        <x:v>0</x:v>
      </x:c>
      <x:c r="M1183" s="21" t="n">
        <x:f>E1183+K1183-I1183-J1183-L1183</x:f>
        <x:v>0</x:v>
      </x:c>
    </x:row>
    <x:row r="1184" ht="36" customHeight="1">
      <x:c r="A1184" s="8" t="str">
        <x:v>Liquidity-first</x:v>
      </x:c>
      <x:c r="B1184" s="8" t="str">
        <x:v>Assumed refinancing</x:v>
      </x:c>
      <x:c r="C1184" s="8" t="str">
        <x:v>Atlas finance lease</x:v>
      </x:c>
      <x:c r="D1184" s="22" t="n">
        <x:v>5</x:v>
      </x:c>
      <x:c r="E1184" s="8" t="n">
        <x:v>16</x:v>
      </x:c>
      <x:c r="F1184" s="23" t="n">
        <x:v>0.05</x:v>
      </x:c>
      <x:c r="G1184" s="8" t="n">
        <x:v>0.8</x:v>
      </x:c>
      <x:c r="H1184" s="8" t="n">
        <x:v>16</x:v>
      </x:c>
      <x:c r="I1184" s="8" t="n">
        <x:v>16</x:v>
      </x:c>
      <x:c r="J1184" s="8" t="n">
        <x:v>0</x:v>
      </x:c>
      <x:c r="K1184" s="8" t="n">
        <x:v>0</x:v>
      </x:c>
      <x:c r="L1184" s="8" t="n">
        <x:v>0</x:v>
      </x:c>
      <x:c r="M1184" s="21" t="n">
        <x:f>E1184+K1184-I1184-J1184-L1184</x:f>
        <x:v>0</x:v>
      </x:c>
    </x:row>
    <x:row r="1185" ht="36" customHeight="1">
      <x:c r="A1185" s="8" t="str">
        <x:v>Liquidity-first</x:v>
      </x:c>
      <x:c r="B1185" s="8" t="str">
        <x:v>Assumed refinancing</x:v>
      </x:c>
      <x:c r="C1185" s="8" t="str">
        <x:v>Beacon notes</x:v>
      </x:c>
      <x:c r="D1185" s="22" t="n">
        <x:v>5</x:v>
      </x:c>
      <x:c r="E1185" s="8" t="n">
        <x:v>0</x:v>
      </x:c>
      <x:c r="F1185" s="23" t="n">
        <x:v>0.0475</x:v>
      </x:c>
      <x:c r="G1185" s="8" t="n">
        <x:v>0</x:v>
      </x:c>
      <x:c r="H1185" s="8" t="n">
        <x:v>0</x:v>
      </x:c>
      <x:c r="I1185" s="8" t="n">
        <x:v>0</x:v>
      </x:c>
      <x:c r="J1185" s="8" t="n">
        <x:v>0</x:v>
      </x:c>
      <x:c r="K1185" s="8" t="n">
        <x:v>0</x:v>
      </x:c>
      <x:c r="L1185" s="8" t="n">
        <x:v>0</x:v>
      </x:c>
      <x:c r="M1185" s="21" t="n">
        <x:f>E1185+K1185-I1185-J1185-L1185</x:f>
        <x:v>0</x:v>
      </x:c>
    </x:row>
    <x:row r="1186" ht="36" customHeight="1">
      <x:c r="A1186" s="8" t="str">
        <x:v>Liquidity-first</x:v>
      </x:c>
      <x:c r="B1186" s="8" t="str">
        <x:v>Assumed refinancing</x:v>
      </x:c>
      <x:c r="C1186" s="8" t="str">
        <x:v>Acquisition term</x:v>
      </x:c>
      <x:c r="D1186" s="22" t="n">
        <x:v>5</x:v>
      </x:c>
      <x:c r="E1186" s="8" t="n">
        <x:v>0</x:v>
      </x:c>
      <x:c r="F1186" s="23" t="n">
        <x:v>0.060000000000000005</x:v>
      </x:c>
      <x:c r="G1186" s="8" t="n">
        <x:v>0</x:v>
      </x:c>
      <x:c r="H1186" s="8" t="n">
        <x:v>0</x:v>
      </x:c>
      <x:c r="I1186" s="8" t="n">
        <x:v>0</x:v>
      </x:c>
      <x:c r="J1186" s="8" t="n">
        <x:v>0</x:v>
      </x:c>
      <x:c r="K1186" s="8" t="n">
        <x:v>0</x:v>
      </x:c>
      <x:c r="L1186" s="8" t="n">
        <x:v>0</x:v>
      </x:c>
      <x:c r="M1186" s="21" t="n">
        <x:f>E1186+K1186-I1186-J1186-L1186</x:f>
        <x:v>0</x:v>
      </x:c>
    </x:row>
    <x:row r="1187" ht="36" customHeight="1">
      <x:c r="A1187" s="8" t="str">
        <x:v>Liquidity-first</x:v>
      </x:c>
      <x:c r="B1187" s="8" t="str">
        <x:v>Assumed refinancing</x:v>
      </x:c>
      <x:c r="C1187" s="8" t="str">
        <x:v>Committed revolver</x:v>
      </x:c>
      <x:c r="D1187" s="22" t="n">
        <x:v>5</x:v>
      </x:c>
      <x:c r="E1187" s="8" t="n">
        <x:v>0</x:v>
      </x:c>
      <x:c r="F1187" s="23" t="n">
        <x:v>0.0575</x:v>
      </x:c>
      <x:c r="G1187" s="8" t="n">
        <x:v>0</x:v>
      </x:c>
      <x:c r="H1187" s="8" t="n">
        <x:v>0</x:v>
      </x:c>
      <x:c r="I1187" s="8" t="n">
        <x:v>0</x:v>
      </x:c>
      <x:c r="J1187" s="8" t="n">
        <x:v>0</x:v>
      </x:c>
      <x:c r="K1187" s="8" t="n">
        <x:v>0</x:v>
      </x:c>
      <x:c r="L1187" s="8" t="n">
        <x:v>0</x:v>
      </x:c>
      <x:c r="M1187" s="21" t="n">
        <x:f>E1187+K1187-I1187-J1187-L1187</x:f>
        <x:v>0</x:v>
      </x:c>
    </x:row>
    <x:row r="1188" ht="36" customHeight="1">
      <x:c r="A1188" s="8" t="str">
        <x:v>Liquidity-first</x:v>
      </x:c>
      <x:c r="B1188" s="8" t="str">
        <x:v>Assumed refinancing</x:v>
      </x:c>
      <x:c r="C1188" s="8" t="str">
        <x:v>Refinance Beacon notes at 3</x:v>
      </x:c>
      <x:c r="D1188" s="22" t="n">
        <x:v>5</x:v>
      </x:c>
      <x:c r="E1188" s="8" t="n">
        <x:v>59.312863064423766</x:v>
      </x:c>
      <x:c r="F1188" s="23" t="n">
        <x:v>0.060000000000000005</x:v>
      </x:c>
      <x:c r="G1188" s="8" t="n">
        <x:v>3.558771783865426</x:v>
      </x:c>
      <x:c r="H1188" s="8" t="n">
        <x:v>7</x:v>
      </x:c>
      <x:c r="I1188" s="8" t="n">
        <x:v>7</x:v>
      </x:c>
      <x:c r="J1188" s="8" t="n">
        <x:v>52.312863064423766</x:v>
      </x:c>
      <x:c r="K1188" s="8" t="n">
        <x:v>0</x:v>
      </x:c>
      <x:c r="L1188" s="8" t="n">
        <x:v>0</x:v>
      </x:c>
      <x:c r="M1188" s="21" t="n">
        <x:f>E1188+K1188-I1188-J1188-L1188</x:f>
        <x:v>0</x:v>
      </x:c>
    </x:row>
    <x:row r="1189" ht="36" customHeight="1">
      <x:c r="A1189" s="8" t="str">
        <x:v>Liquidity-first</x:v>
      </x:c>
      <x:c r="B1189" s="8" t="str">
        <x:v>Assumed refinancing</x:v>
      </x:c>
      <x:c r="C1189" s="8" t="str">
        <x:v>Refinance Atlas notes at 4</x:v>
      </x:c>
      <x:c r="D1189" s="22" t="n">
        <x:v>5</x:v>
      </x:c>
      <x:c r="E1189" s="8" t="n">
        <x:v>900</x:v>
      </x:c>
      <x:c r="F1189" s="23" t="n">
        <x:v>0.060000000000000005</x:v>
      </x:c>
      <x:c r="G1189" s="8" t="n">
        <x:v>54.00000000000001</x:v>
      </x:c>
      <x:c r="H1189" s="8" t="n">
        <x:v>18</x:v>
      </x:c>
      <x:c r="I1189" s="8" t="n">
        <x:v>18</x:v>
      </x:c>
      <x:c r="J1189" s="8" t="n">
        <x:v>516.5045122071563</x:v>
      </x:c>
      <x:c r="K1189" s="8" t="n">
        <x:v>0</x:v>
      </x:c>
      <x:c r="L1189" s="8" t="n">
        <x:v>0</x:v>
      </x:c>
      <x:c r="M1189" s="21" t="n">
        <x:f>E1189+K1189-I1189-J1189-L1189</x:f>
        <x:v>365.49548779284373</x:v>
      </x:c>
    </x:row>
    <x:row r="1190" ht="36" customHeight="1">
      <x:c r="A1190" s="8" t="str">
        <x:v>Mixed consideration</x:v>
      </x:c>
      <x:c r="B1190" s="8" t="str">
        <x:v>Assumed refinancing</x:v>
      </x:c>
      <x:c r="C1190" s="8" t="str">
        <x:v>Atlas notes</x:v>
      </x:c>
      <x:c r="D1190" s="22" t="n">
        <x:v>1</x:v>
      </x:c>
      <x:c r="E1190" s="8" t="n">
        <x:v>900</x:v>
      </x:c>
      <x:c r="F1190" s="23" t="n">
        <x:v>0.038</x:v>
      </x:c>
      <x:c r="G1190" s="8" t="n">
        <x:v>34.199999999999996</x:v>
      </x:c>
      <x:c r="H1190" s="8" t="n">
        <x:v>0</x:v>
      </x:c>
      <x:c r="I1190" s="8" t="n">
        <x:v>0</x:v>
      </x:c>
      <x:c r="J1190" s="8" t="n">
        <x:v>0</x:v>
      </x:c>
      <x:c r="K1190" s="8" t="n">
        <x:v>0</x:v>
      </x:c>
      <x:c r="L1190" s="8" t="n">
        <x:v>0</x:v>
      </x:c>
      <x:c r="M1190" s="21" t="n">
        <x:f>E1190+K1190-I1190-J1190-L1190</x:f>
        <x:v>900</x:v>
      </x:c>
    </x:row>
    <x:row r="1191" ht="36" customHeight="1">
      <x:c r="A1191" s="8" t="str">
        <x:v>Mixed consideration</x:v>
      </x:c>
      <x:c r="B1191" s="8" t="str">
        <x:v>Assumed refinancing</x:v>
      </x:c>
      <x:c r="C1191" s="8" t="str">
        <x:v>Atlas finance lease</x:v>
      </x:c>
      <x:c r="D1191" s="22" t="n">
        <x:v>1</x:v>
      </x:c>
      <x:c r="E1191" s="8" t="n">
        <x:v>80</x:v>
      </x:c>
      <x:c r="F1191" s="23" t="n">
        <x:v>0.05</x:v>
      </x:c>
      <x:c r="G1191" s="8" t="n">
        <x:v>4</x:v>
      </x:c>
      <x:c r="H1191" s="8" t="n">
        <x:v>16</x:v>
      </x:c>
      <x:c r="I1191" s="8" t="n">
        <x:v>16</x:v>
      </x:c>
      <x:c r="J1191" s="8" t="n">
        <x:v>31.329218673944126</x:v>
      </x:c>
      <x:c r="K1191" s="8" t="n">
        <x:v>0</x:v>
      </x:c>
      <x:c r="L1191" s="8" t="n">
        <x:v>0</x:v>
      </x:c>
      <x:c r="M1191" s="21" t="n">
        <x:f>E1191+K1191-I1191-J1191-L1191</x:f>
        <x:v>32.670781326055874</x:v>
      </x:c>
    </x:row>
    <x:row r="1192" ht="36" customHeight="1">
      <x:c r="A1192" s="8" t="str">
        <x:v>Mixed consideration</x:v>
      </x:c>
      <x:c r="B1192" s="8" t="str">
        <x:v>Assumed refinancing</x:v>
      </x:c>
      <x:c r="C1192" s="8" t="str">
        <x:v>Beacon notes</x:v>
      </x:c>
      <x:c r="D1192" s="22" t="n">
        <x:v>1</x:v>
      </x:c>
      <x:c r="E1192" s="8" t="n">
        <x:v>350</x:v>
      </x:c>
      <x:c r="F1192" s="23" t="n">
        <x:v>0.0475</x:v>
      </x:c>
      <x:c r="G1192" s="8" t="n">
        <x:v>16.625</x:v>
      </x:c>
      <x:c r="H1192" s="8" t="n">
        <x:v>0</x:v>
      </x:c>
      <x:c r="I1192" s="8" t="n">
        <x:v>0</x:v>
      </x:c>
      <x:c r="J1192" s="8" t="n">
        <x:v>0</x:v>
      </x:c>
      <x:c r="K1192" s="8" t="n">
        <x:v>0</x:v>
      </x:c>
      <x:c r="L1192" s="8" t="n">
        <x:v>0</x:v>
      </x:c>
      <x:c r="M1192" s="21" t="n">
        <x:f>E1192+K1192-I1192-J1192-L1192</x:f>
        <x:v>350</x:v>
      </x:c>
    </x:row>
    <x:row r="1193" ht="36" customHeight="1">
      <x:c r="A1193" s="8" t="str">
        <x:v>Mixed consideration</x:v>
      </x:c>
      <x:c r="B1193" s="8" t="str">
        <x:v>Assumed refinancing</x:v>
      </x:c>
      <x:c r="C1193" s="8" t="str">
        <x:v>Acquisition term</x:v>
      </x:c>
      <x:c r="D1193" s="22" t="n">
        <x:v>1</x:v>
      </x:c>
      <x:c r="E1193" s="8" t="n">
        <x:v>304.56852791878174</x:v>
      </x:c>
      <x:c r="F1193" s="23" t="n">
        <x:v>0.065</x:v>
      </x:c>
      <x:c r="G1193" s="8" t="n">
        <x:v>19.796954314720814</x:v>
      </x:c>
      <x:c r="H1193" s="8" t="n">
        <x:v>6.091370558375635</x:v>
      </x:c>
      <x:c r="I1193" s="8" t="n">
        <x:v>6.091370558375635</x:v>
      </x:c>
      <x:c r="J1193" s="8" t="n">
        <x:v>298.4771573604061</x:v>
      </x:c>
      <x:c r="K1193" s="8" t="n">
        <x:v>0</x:v>
      </x:c>
      <x:c r="L1193" s="8" t="n">
        <x:v>0</x:v>
      </x:c>
      <x:c r="M1193" s="21" t="n">
        <x:f>E1193+K1193-I1193-J1193-L1193</x:f>
        <x:v>0</x:v>
      </x:c>
    </x:row>
    <x:row r="1194" ht="36" customHeight="1">
      <x:c r="A1194" s="8" t="str">
        <x:v>Mixed consideration</x:v>
      </x:c>
      <x:c r="B1194" s="8" t="str">
        <x:v>Assumed refinancing</x:v>
      </x:c>
      <x:c r="C1194" s="8" t="str">
        <x:v>Committed revolver</x:v>
      </x:c>
      <x:c r="D1194" s="22" t="n">
        <x:v>1</x:v>
      </x:c>
      <x:c r="E1194" s="8" t="n">
        <x:v>0</x:v>
      </x:c>
      <x:c r="F1194" s="23" t="n">
        <x:v>0.0625</x:v>
      </x:c>
      <x:c r="G1194" s="8" t="n">
        <x:v>0</x:v>
      </x:c>
      <x:c r="H1194" s="8" t="n">
        <x:v>0</x:v>
      </x:c>
      <x:c r="I1194" s="8" t="n">
        <x:v>0</x:v>
      </x:c>
      <x:c r="J1194" s="8" t="n">
        <x:v>0</x:v>
      </x:c>
      <x:c r="K1194" s="8" t="n">
        <x:v>0</x:v>
      </x:c>
      <x:c r="L1194" s="8" t="n">
        <x:v>0</x:v>
      </x:c>
      <x:c r="M1194" s="21" t="n">
        <x:f>E1194+K1194-I1194-J1194-L1194</x:f>
        <x:v>0</x:v>
      </x:c>
    </x:row>
    <x:row r="1195" ht="36" customHeight="1">
      <x:c r="A1195" s="8" t="str">
        <x:v>Mixed consideration</x:v>
      </x:c>
      <x:c r="B1195" s="8" t="str">
        <x:v>Assumed refinancing</x:v>
      </x:c>
      <x:c r="C1195" s="8" t="str">
        <x:v>Atlas notes</x:v>
      </x:c>
      <x:c r="D1195" s="22" t="n">
        <x:v>2</x:v>
      </x:c>
      <x:c r="E1195" s="8" t="n">
        <x:v>900</x:v>
      </x:c>
      <x:c r="F1195" s="23" t="n">
        <x:v>0.038</x:v>
      </x:c>
      <x:c r="G1195" s="8" t="n">
        <x:v>34.199999999999996</x:v>
      </x:c>
      <x:c r="H1195" s="8" t="n">
        <x:v>0</x:v>
      </x:c>
      <x:c r="I1195" s="8" t="n">
        <x:v>0</x:v>
      </x:c>
      <x:c r="J1195" s="8" t="n">
        <x:v>61.04513201120136</x:v>
      </x:c>
      <x:c r="K1195" s="8" t="n">
        <x:v>0</x:v>
      </x:c>
      <x:c r="L1195" s="8" t="n">
        <x:v>0</x:v>
      </x:c>
      <x:c r="M1195" s="21" t="n">
        <x:f>E1195+K1195-I1195-J1195-L1195</x:f>
        <x:v>838.9548679887987</x:v>
      </x:c>
    </x:row>
    <x:row r="1196" ht="36" customHeight="1">
      <x:c r="A1196" s="8" t="str">
        <x:v>Mixed consideration</x:v>
      </x:c>
      <x:c r="B1196" s="8" t="str">
        <x:v>Assumed refinancing</x:v>
      </x:c>
      <x:c r="C1196" s="8" t="str">
        <x:v>Atlas finance lease</x:v>
      </x:c>
      <x:c r="D1196" s="22" t="n">
        <x:v>2</x:v>
      </x:c>
      <x:c r="E1196" s="8" t="n">
        <x:v>32.670781326055874</x:v>
      </x:c>
      <x:c r="F1196" s="23" t="n">
        <x:v>0.05</x:v>
      </x:c>
      <x:c r="G1196" s="8" t="n">
        <x:v>1.6335390663027938</x:v>
      </x:c>
      <x:c r="H1196" s="8" t="n">
        <x:v>16</x:v>
      </x:c>
      <x:c r="I1196" s="8" t="n">
        <x:v>16</x:v>
      </x:c>
      <x:c r="J1196" s="8" t="n">
        <x:v>16.670781326055874</x:v>
      </x:c>
      <x:c r="K1196" s="8" t="n">
        <x:v>0</x:v>
      </x:c>
      <x:c r="L1196" s="8" t="n">
        <x:v>0</x:v>
      </x:c>
      <x:c r="M1196" s="21" t="n">
        <x:f>E1196+K1196-I1196-J1196-L1196</x:f>
        <x:v>0</x:v>
      </x:c>
    </x:row>
    <x:row r="1197" ht="36" customHeight="1">
      <x:c r="A1197" s="8" t="str">
        <x:v>Mixed consideration</x:v>
      </x:c>
      <x:c r="B1197" s="8" t="str">
        <x:v>Assumed refinancing</x:v>
      </x:c>
      <x:c r="C1197" s="8" t="str">
        <x:v>Beacon notes</x:v>
      </x:c>
      <x:c r="D1197" s="22" t="n">
        <x:v>2</x:v>
      </x:c>
      <x:c r="E1197" s="8" t="n">
        <x:v>350</x:v>
      </x:c>
      <x:c r="F1197" s="23" t="n">
        <x:v>0.0475</x:v>
      </x:c>
      <x:c r="G1197" s="8" t="n">
        <x:v>16.625</x:v>
      </x:c>
      <x:c r="H1197" s="8" t="n">
        <x:v>0</x:v>
      </x:c>
      <x:c r="I1197" s="8" t="n">
        <x:v>0</x:v>
      </x:c>
      <x:c r="J1197" s="8" t="n">
        <x:v>350</x:v>
      </x:c>
      <x:c r="K1197" s="8" t="n">
        <x:v>0</x:v>
      </x:c>
      <x:c r="L1197" s="8" t="n">
        <x:v>0</x:v>
      </x:c>
      <x:c r="M1197" s="21" t="n">
        <x:f>E1197+K1197-I1197-J1197-L1197</x:f>
        <x:v>0</x:v>
      </x:c>
    </x:row>
    <x:row r="1198" ht="36" customHeight="1">
      <x:c r="A1198" s="8" t="str">
        <x:v>Mixed consideration</x:v>
      </x:c>
      <x:c r="B1198" s="8" t="str">
        <x:v>Assumed refinancing</x:v>
      </x:c>
      <x:c r="C1198" s="8" t="str">
        <x:v>Acquisition term</x:v>
      </x:c>
      <x:c r="D1198" s="22" t="n">
        <x:v>2</x:v>
      </x:c>
      <x:c r="E1198" s="8" t="n">
        <x:v>0</x:v>
      </x:c>
      <x:c r="F1198" s="23" t="n">
        <x:v>0.0625</x:v>
      </x:c>
      <x:c r="G1198" s="8" t="n">
        <x:v>0</x:v>
      </x:c>
      <x:c r="H1198" s="8" t="n">
        <x:v>0</x:v>
      </x:c>
      <x:c r="I1198" s="8" t="n">
        <x:v>0</x:v>
      </x:c>
      <x:c r="J1198" s="8" t="n">
        <x:v>0</x:v>
      </x:c>
      <x:c r="K1198" s="8" t="n">
        <x:v>0</x:v>
      </x:c>
      <x:c r="L1198" s="8" t="n">
        <x:v>0</x:v>
      </x:c>
      <x:c r="M1198" s="21" t="n">
        <x:f>E1198+K1198-I1198-J1198-L1198</x:f>
        <x:v>0</x:v>
      </x:c>
    </x:row>
    <x:row r="1199" ht="36" customHeight="1">
      <x:c r="A1199" s="8" t="str">
        <x:v>Mixed consideration</x:v>
      </x:c>
      <x:c r="B1199" s="8" t="str">
        <x:v>Assumed refinancing</x:v>
      </x:c>
      <x:c r="C1199" s="8" t="str">
        <x:v>Committed revolver</x:v>
      </x:c>
      <x:c r="D1199" s="22" t="n">
        <x:v>2</x:v>
      </x:c>
      <x:c r="E1199" s="8" t="n">
        <x:v>0</x:v>
      </x:c>
      <x:c r="F1199" s="23" t="n">
        <x:v>0.06</x:v>
      </x:c>
      <x:c r="G1199" s="8" t="n">
        <x:v>0</x:v>
      </x:c>
      <x:c r="H1199" s="8" t="n">
        <x:v>0</x:v>
      </x:c>
      <x:c r="I1199" s="8" t="n">
        <x:v>0</x:v>
      </x:c>
      <x:c r="J1199" s="8" t="n">
        <x:v>0</x:v>
      </x:c>
      <x:c r="K1199" s="8" t="n">
        <x:v>0</x:v>
      </x:c>
      <x:c r="L1199" s="8" t="n">
        <x:v>0</x:v>
      </x:c>
      <x:c r="M1199" s="21" t="n">
        <x:f>E1199+K1199-I1199-J1199-L1199</x:f>
        <x:v>0</x:v>
      </x:c>
    </x:row>
    <x:row r="1200" ht="36" customHeight="1">
      <x:c r="A1200" s="8" t="str">
        <x:v>Mixed consideration</x:v>
      </x:c>
      <x:c r="B1200" s="8" t="str">
        <x:v>Assumed refinancing</x:v>
      </x:c>
      <x:c r="C1200" s="8" t="str">
        <x:v>Atlas notes</x:v>
      </x:c>
      <x:c r="D1200" s="22" t="n">
        <x:v>3</x:v>
      </x:c>
      <x:c r="E1200" s="8" t="n">
        <x:v>838.9548679887987</x:v>
      </x:c>
      <x:c r="F1200" s="23" t="n">
        <x:v>0.038</x:v>
      </x:c>
      <x:c r="G1200" s="8" t="n">
        <x:v>31.88028498357435</x:v>
      </x:c>
      <x:c r="H1200" s="8" t="n">
        <x:v>0</x:v>
      </x:c>
      <x:c r="I1200" s="8" t="n">
        <x:v>0</x:v>
      </x:c>
      <x:c r="J1200" s="8" t="n">
        <x:v>555.1525793402295</x:v>
      </x:c>
      <x:c r="K1200" s="8" t="n">
        <x:v>0</x:v>
      </x:c>
      <x:c r="L1200" s="8" t="n">
        <x:v>0</x:v>
      </x:c>
      <x:c r="M1200" s="21" t="n">
        <x:f>E1200+K1200-I1200-J1200-L1200</x:f>
        <x:v>283.8022886485692</x:v>
      </x:c>
    </x:row>
    <x:row r="1201" ht="36" customHeight="1">
      <x:c r="A1201" s="8" t="str">
        <x:v>Mixed consideration</x:v>
      </x:c>
      <x:c r="B1201" s="8" t="str">
        <x:v>Assumed refinancing</x:v>
      </x:c>
      <x:c r="C1201" s="8" t="str">
        <x:v>Atlas finance lease</x:v>
      </x:c>
      <x:c r="D1201" s="22" t="n">
        <x:v>3</x:v>
      </x:c>
      <x:c r="E1201" s="8" t="n">
        <x:v>0</x:v>
      </x:c>
      <x:c r="F1201" s="23" t="n">
        <x:v>0.05</x:v>
      </x:c>
      <x:c r="G1201" s="8" t="n">
        <x:v>0</x:v>
      </x:c>
      <x:c r="H1201" s="8" t="n">
        <x:v>0</x:v>
      </x:c>
      <x:c r="I1201" s="8" t="n">
        <x:v>0</x:v>
      </x:c>
      <x:c r="J1201" s="8" t="n">
        <x:v>0</x:v>
      </x:c>
      <x:c r="K1201" s="8" t="n">
        <x:v>0</x:v>
      </x:c>
      <x:c r="L1201" s="8" t="n">
        <x:v>0</x:v>
      </x:c>
      <x:c r="M1201" s="21" t="n">
        <x:f>E1201+K1201-I1201-J1201-L1201</x:f>
        <x:v>0</x:v>
      </x:c>
    </x:row>
    <x:row r="1202" ht="36" customHeight="1">
      <x:c r="A1202" s="8" t="str">
        <x:v>Mixed consideration</x:v>
      </x:c>
      <x:c r="B1202" s="8" t="str">
        <x:v>Assumed refinancing</x:v>
      </x:c>
      <x:c r="C1202" s="8" t="str">
        <x:v>Beacon notes</x:v>
      </x:c>
      <x:c r="D1202" s="22" t="n">
        <x:v>3</x:v>
      </x:c>
      <x:c r="E1202" s="8" t="n">
        <x:v>0</x:v>
      </x:c>
      <x:c r="F1202" s="23" t="n">
        <x:v>0.0475</x:v>
      </x:c>
      <x:c r="G1202" s="8" t="n">
        <x:v>0</x:v>
      </x:c>
      <x:c r="H1202" s="8" t="n">
        <x:v>0</x:v>
      </x:c>
      <x:c r="I1202" s="8" t="n">
        <x:v>0</x:v>
      </x:c>
      <x:c r="J1202" s="8" t="n">
        <x:v>0</x:v>
      </x:c>
      <x:c r="K1202" s="8" t="n">
        <x:v>0</x:v>
      </x:c>
      <x:c r="L1202" s="8" t="n">
        <x:v>0</x:v>
      </x:c>
      <x:c r="M1202" s="21" t="n">
        <x:f>E1202+K1202-I1202-J1202-L1202</x:f>
        <x:v>0</x:v>
      </x:c>
    </x:row>
    <x:row r="1203" ht="36" customHeight="1">
      <x:c r="A1203" s="8" t="str">
        <x:v>Mixed consideration</x:v>
      </x:c>
      <x:c r="B1203" s="8" t="str">
        <x:v>Assumed refinancing</x:v>
      </x:c>
      <x:c r="C1203" s="8" t="str">
        <x:v>Acquisition term</x:v>
      </x:c>
      <x:c r="D1203" s="22" t="n">
        <x:v>3</x:v>
      </x:c>
      <x:c r="E1203" s="8" t="n">
        <x:v>0</x:v>
      </x:c>
      <x:c r="F1203" s="23" t="n">
        <x:v>0.060000000000000005</x:v>
      </x:c>
      <x:c r="G1203" s="8" t="n">
        <x:v>0</x:v>
      </x:c>
      <x:c r="H1203" s="8" t="n">
        <x:v>0</x:v>
      </x:c>
      <x:c r="I1203" s="8" t="n">
        <x:v>0</x:v>
      </x:c>
      <x:c r="J1203" s="8" t="n">
        <x:v>0</x:v>
      </x:c>
      <x:c r="K1203" s="8" t="n">
        <x:v>0</x:v>
      </x:c>
      <x:c r="L1203" s="8" t="n">
        <x:v>0</x:v>
      </x:c>
      <x:c r="M1203" s="21" t="n">
        <x:f>E1203+K1203-I1203-J1203-L1203</x:f>
        <x:v>0</x:v>
      </x:c>
    </x:row>
    <x:row r="1204" ht="36" customHeight="1">
      <x:c r="A1204" s="8" t="str">
        <x:v>Mixed consideration</x:v>
      </x:c>
      <x:c r="B1204" s="8" t="str">
        <x:v>Assumed refinancing</x:v>
      </x:c>
      <x:c r="C1204" s="8" t="str">
        <x:v>Committed revolver</x:v>
      </x:c>
      <x:c r="D1204" s="22" t="n">
        <x:v>3</x:v>
      </x:c>
      <x:c r="E1204" s="8" t="n">
        <x:v>0</x:v>
      </x:c>
      <x:c r="F1204" s="23" t="n">
        <x:v>0.0575</x:v>
      </x:c>
      <x:c r="G1204" s="8" t="n">
        <x:v>0</x:v>
      </x:c>
      <x:c r="H1204" s="8" t="n">
        <x:v>0</x:v>
      </x:c>
      <x:c r="I1204" s="8" t="n">
        <x:v>0</x:v>
      </x:c>
      <x:c r="J1204" s="8" t="n">
        <x:v>0</x:v>
      </x:c>
      <x:c r="K1204" s="8" t="n">
        <x:v>0</x:v>
      </x:c>
      <x:c r="L1204" s="8" t="n">
        <x:v>0</x:v>
      </x:c>
      <x:c r="M1204" s="21" t="n">
        <x:f>E1204+K1204-I1204-J1204-L1204</x:f>
        <x:v>0</x:v>
      </x:c>
    </x:row>
    <x:row r="1205" ht="36" customHeight="1">
      <x:c r="A1205" s="8" t="str">
        <x:v>Mixed consideration</x:v>
      </x:c>
      <x:c r="B1205" s="8" t="str">
        <x:v>Assumed refinancing</x:v>
      </x:c>
      <x:c r="C1205" s="8" t="str">
        <x:v>Atlas notes</x:v>
      </x:c>
      <x:c r="D1205" s="22" t="n">
        <x:v>4</x:v>
      </x:c>
      <x:c r="E1205" s="8" t="n">
        <x:v>283.8022886485692</x:v>
      </x:c>
      <x:c r="F1205" s="23" t="n">
        <x:v>0.038</x:v>
      </x:c>
      <x:c r="G1205" s="8" t="n">
        <x:v>10.784486968645629</x:v>
      </x:c>
      <x:c r="H1205" s="8" t="n">
        <x:v>283.8022886485692</x:v>
      </x:c>
      <x:c r="I1205" s="8" t="n">
        <x:v>0</x:v>
      </x:c>
      <x:c r="J1205" s="8" t="n">
        <x:v>0</x:v>
      </x:c>
      <x:c r="K1205" s="8" t="n">
        <x:v>0</x:v>
      </x:c>
      <x:c r="L1205" s="8" t="n">
        <x:v>283.8022886485692</x:v>
      </x:c>
      <x:c r="M1205" s="21" t="n">
        <x:f>E1205+K1205-I1205-J1205-L1205</x:f>
        <x:v>0</x:v>
      </x:c>
    </x:row>
    <x:row r="1206" ht="36" customHeight="1">
      <x:c r="A1206" s="8" t="str">
        <x:v>Mixed consideration</x:v>
      </x:c>
      <x:c r="B1206" s="8" t="str">
        <x:v>Assumed refinancing</x:v>
      </x:c>
      <x:c r="C1206" s="8" t="str">
        <x:v>Atlas finance lease</x:v>
      </x:c>
      <x:c r="D1206" s="22" t="n">
        <x:v>4</x:v>
      </x:c>
      <x:c r="E1206" s="8" t="n">
        <x:v>0</x:v>
      </x:c>
      <x:c r="F1206" s="23" t="n">
        <x:v>0.05</x:v>
      </x:c>
      <x:c r="G1206" s="8" t="n">
        <x:v>0</x:v>
      </x:c>
      <x:c r="H1206" s="8" t="n">
        <x:v>0</x:v>
      </x:c>
      <x:c r="I1206" s="8" t="n">
        <x:v>0</x:v>
      </x:c>
      <x:c r="J1206" s="8" t="n">
        <x:v>0</x:v>
      </x:c>
      <x:c r="K1206" s="8" t="n">
        <x:v>0</x:v>
      </x:c>
      <x:c r="L1206" s="8" t="n">
        <x:v>0</x:v>
      </x:c>
      <x:c r="M1206" s="21" t="n">
        <x:f>E1206+K1206-I1206-J1206-L1206</x:f>
        <x:v>0</x:v>
      </x:c>
    </x:row>
    <x:row r="1207" ht="36" customHeight="1">
      <x:c r="A1207" s="8" t="str">
        <x:v>Mixed consideration</x:v>
      </x:c>
      <x:c r="B1207" s="8" t="str">
        <x:v>Assumed refinancing</x:v>
      </x:c>
      <x:c r="C1207" s="8" t="str">
        <x:v>Beacon notes</x:v>
      </x:c>
      <x:c r="D1207" s="22" t="n">
        <x:v>4</x:v>
      </x:c>
      <x:c r="E1207" s="8" t="n">
        <x:v>0</x:v>
      </x:c>
      <x:c r="F1207" s="23" t="n">
        <x:v>0.0475</x:v>
      </x:c>
      <x:c r="G1207" s="8" t="n">
        <x:v>0</x:v>
      </x:c>
      <x:c r="H1207" s="8" t="n">
        <x:v>0</x:v>
      </x:c>
      <x:c r="I1207" s="8" t="n">
        <x:v>0</x:v>
      </x:c>
      <x:c r="J1207" s="8" t="n">
        <x:v>0</x:v>
      </x:c>
      <x:c r="K1207" s="8" t="n">
        <x:v>0</x:v>
      </x:c>
      <x:c r="L1207" s="8" t="n">
        <x:v>0</x:v>
      </x:c>
      <x:c r="M1207" s="21" t="n">
        <x:f>E1207+K1207-I1207-J1207-L1207</x:f>
        <x:v>0</x:v>
      </x:c>
    </x:row>
    <x:row r="1208" ht="36" customHeight="1">
      <x:c r="A1208" s="8" t="str">
        <x:v>Mixed consideration</x:v>
      </x:c>
      <x:c r="B1208" s="8" t="str">
        <x:v>Assumed refinancing</x:v>
      </x:c>
      <x:c r="C1208" s="8" t="str">
        <x:v>Acquisition term</x:v>
      </x:c>
      <x:c r="D1208" s="22" t="n">
        <x:v>4</x:v>
      </x:c>
      <x:c r="E1208" s="8" t="n">
        <x:v>0</x:v>
      </x:c>
      <x:c r="F1208" s="23" t="n">
        <x:v>0.060000000000000005</x:v>
      </x:c>
      <x:c r="G1208" s="8" t="n">
        <x:v>0</x:v>
      </x:c>
      <x:c r="H1208" s="8" t="n">
        <x:v>0</x:v>
      </x:c>
      <x:c r="I1208" s="8" t="n">
        <x:v>0</x:v>
      </x:c>
      <x:c r="J1208" s="8" t="n">
        <x:v>0</x:v>
      </x:c>
      <x:c r="K1208" s="8" t="n">
        <x:v>0</x:v>
      </x:c>
      <x:c r="L1208" s="8" t="n">
        <x:v>0</x:v>
      </x:c>
      <x:c r="M1208" s="21" t="n">
        <x:f>E1208+K1208-I1208-J1208-L1208</x:f>
        <x:v>0</x:v>
      </x:c>
    </x:row>
    <x:row r="1209" ht="36" customHeight="1">
      <x:c r="A1209" s="8" t="str">
        <x:v>Mixed consideration</x:v>
      </x:c>
      <x:c r="B1209" s="8" t="str">
        <x:v>Assumed refinancing</x:v>
      </x:c>
      <x:c r="C1209" s="8" t="str">
        <x:v>Committed revolver</x:v>
      </x:c>
      <x:c r="D1209" s="22" t="n">
        <x:v>4</x:v>
      </x:c>
      <x:c r="E1209" s="8" t="n">
        <x:v>0</x:v>
      </x:c>
      <x:c r="F1209" s="23" t="n">
        <x:v>0.0575</x:v>
      </x:c>
      <x:c r="G1209" s="8" t="n">
        <x:v>0</x:v>
      </x:c>
      <x:c r="H1209" s="8" t="n">
        <x:v>0</x:v>
      </x:c>
      <x:c r="I1209" s="8" t="n">
        <x:v>0</x:v>
      </x:c>
      <x:c r="J1209" s="8" t="n">
        <x:v>0</x:v>
      </x:c>
      <x:c r="K1209" s="8" t="n">
        <x:v>0</x:v>
      </x:c>
      <x:c r="L1209" s="8" t="n">
        <x:v>0</x:v>
      </x:c>
      <x:c r="M1209" s="21" t="n">
        <x:f>E1209+K1209-I1209-J1209-L1209</x:f>
        <x:v>0</x:v>
      </x:c>
    </x:row>
    <x:row r="1210" ht="36" customHeight="1">
      <x:c r="A1210" s="8" t="str">
        <x:v>Mixed consideration</x:v>
      </x:c>
      <x:c r="B1210" s="8" t="str">
        <x:v>Assumed refinancing</x:v>
      </x:c>
      <x:c r="C1210" s="8" t="str">
        <x:v>Refinance Atlas notes at 4</x:v>
      </x:c>
      <x:c r="D1210" s="22" t="n">
        <x:v>4</x:v>
      </x:c>
      <x:c r="E1210" s="8" t="n">
        <x:v>0</x:v>
      </x:c>
      <x:c r="F1210" s="23" t="n">
        <x:v>0.060000000000000005</x:v>
      </x:c>
      <x:c r="G1210" s="8" t="n">
        <x:v>0</x:v>
      </x:c>
      <x:c r="H1210" s="8" t="n">
        <x:v>0</x:v>
      </x:c>
      <x:c r="I1210" s="8" t="n">
        <x:v>0</x:v>
      </x:c>
      <x:c r="J1210" s="8" t="n">
        <x:v>283.8022886485692</x:v>
      </x:c>
      <x:c r="K1210" s="8" t="n">
        <x:v>283.8022886485692</x:v>
      </x:c>
      <x:c r="L1210" s="8" t="n">
        <x:v>0</x:v>
      </x:c>
      <x:c r="M1210" s="21" t="n">
        <x:f>E1210+K1210-I1210-J1210-L1210</x:f>
        <x:v>0</x:v>
      </x:c>
    </x:row>
    <x:row r="1211" ht="36" customHeight="1">
      <x:c r="A1211" s="8" t="str">
        <x:v>Mixed consideration</x:v>
      </x:c>
      <x:c r="B1211" s="8" t="str">
        <x:v>Assumed refinancing</x:v>
      </x:c>
      <x:c r="C1211" s="8" t="str">
        <x:v>Atlas notes</x:v>
      </x:c>
      <x:c r="D1211" s="22" t="n">
        <x:v>5</x:v>
      </x:c>
      <x:c r="E1211" s="8" t="n">
        <x:v>0</x:v>
      </x:c>
      <x:c r="F1211" s="23" t="n">
        <x:v>0.038</x:v>
      </x:c>
      <x:c r="G1211" s="8" t="n">
        <x:v>0</x:v>
      </x:c>
      <x:c r="H1211" s="8" t="n">
        <x:v>0</x:v>
      </x:c>
      <x:c r="I1211" s="8" t="n">
        <x:v>0</x:v>
      </x:c>
      <x:c r="J1211" s="8" t="n">
        <x:v>0</x:v>
      </x:c>
      <x:c r="K1211" s="8" t="n">
        <x:v>0</x:v>
      </x:c>
      <x:c r="L1211" s="8" t="n">
        <x:v>0</x:v>
      </x:c>
      <x:c r="M1211" s="21" t="n">
        <x:f>E1211+K1211-I1211-J1211-L1211</x:f>
        <x:v>0</x:v>
      </x:c>
    </x:row>
    <x:row r="1212" ht="36" customHeight="1">
      <x:c r="A1212" s="8" t="str">
        <x:v>Mixed consideration</x:v>
      </x:c>
      <x:c r="B1212" s="8" t="str">
        <x:v>Assumed refinancing</x:v>
      </x:c>
      <x:c r="C1212" s="8" t="str">
        <x:v>Atlas finance lease</x:v>
      </x:c>
      <x:c r="D1212" s="22" t="n">
        <x:v>5</x:v>
      </x:c>
      <x:c r="E1212" s="8" t="n">
        <x:v>0</x:v>
      </x:c>
      <x:c r="F1212" s="23" t="n">
        <x:v>0.05</x:v>
      </x:c>
      <x:c r="G1212" s="8" t="n">
        <x:v>0</x:v>
      </x:c>
      <x:c r="H1212" s="8" t="n">
        <x:v>0</x:v>
      </x:c>
      <x:c r="I1212" s="8" t="n">
        <x:v>0</x:v>
      </x:c>
      <x:c r="J1212" s="8" t="n">
        <x:v>0</x:v>
      </x:c>
      <x:c r="K1212" s="8" t="n">
        <x:v>0</x:v>
      </x:c>
      <x:c r="L1212" s="8" t="n">
        <x:v>0</x:v>
      </x:c>
      <x:c r="M1212" s="21" t="n">
        <x:f>E1212+K1212-I1212-J1212-L1212</x:f>
        <x:v>0</x:v>
      </x:c>
    </x:row>
    <x:row r="1213" ht="36" customHeight="1">
      <x:c r="A1213" s="8" t="str">
        <x:v>Mixed consideration</x:v>
      </x:c>
      <x:c r="B1213" s="8" t="str">
        <x:v>Assumed refinancing</x:v>
      </x:c>
      <x:c r="C1213" s="8" t="str">
        <x:v>Beacon notes</x:v>
      </x:c>
      <x:c r="D1213" s="22" t="n">
        <x:v>5</x:v>
      </x:c>
      <x:c r="E1213" s="8" t="n">
        <x:v>0</x:v>
      </x:c>
      <x:c r="F1213" s="23" t="n">
        <x:v>0.0475</x:v>
      </x:c>
      <x:c r="G1213" s="8" t="n">
        <x:v>0</x:v>
      </x:c>
      <x:c r="H1213" s="8" t="n">
        <x:v>0</x:v>
      </x:c>
      <x:c r="I1213" s="8" t="n">
        <x:v>0</x:v>
      </x:c>
      <x:c r="J1213" s="8" t="n">
        <x:v>0</x:v>
      </x:c>
      <x:c r="K1213" s="8" t="n">
        <x:v>0</x:v>
      </x:c>
      <x:c r="L1213" s="8" t="n">
        <x:v>0</x:v>
      </x:c>
      <x:c r="M1213" s="21" t="n">
        <x:f>E1213+K1213-I1213-J1213-L1213</x:f>
        <x:v>0</x:v>
      </x:c>
    </x:row>
    <x:row r="1214" ht="36" customHeight="1">
      <x:c r="A1214" s="8" t="str">
        <x:v>Mixed consideration</x:v>
      </x:c>
      <x:c r="B1214" s="8" t="str">
        <x:v>Assumed refinancing</x:v>
      </x:c>
      <x:c r="C1214" s="8" t="str">
        <x:v>Acquisition term</x:v>
      </x:c>
      <x:c r="D1214" s="22" t="n">
        <x:v>5</x:v>
      </x:c>
      <x:c r="E1214" s="8" t="n">
        <x:v>0</x:v>
      </x:c>
      <x:c r="F1214" s="23" t="n">
        <x:v>0.060000000000000005</x:v>
      </x:c>
      <x:c r="G1214" s="8" t="n">
        <x:v>0</x:v>
      </x:c>
      <x:c r="H1214" s="8" t="n">
        <x:v>0</x:v>
      </x:c>
      <x:c r="I1214" s="8" t="n">
        <x:v>0</x:v>
      </x:c>
      <x:c r="J1214" s="8" t="n">
        <x:v>0</x:v>
      </x:c>
      <x:c r="K1214" s="8" t="n">
        <x:v>0</x:v>
      </x:c>
      <x:c r="L1214" s="8" t="n">
        <x:v>0</x:v>
      </x:c>
      <x:c r="M1214" s="21" t="n">
        <x:f>E1214+K1214-I1214-J1214-L1214</x:f>
        <x:v>0</x:v>
      </x:c>
    </x:row>
    <x:row r="1215" ht="36" customHeight="1">
      <x:c r="A1215" s="8" t="str">
        <x:v>Mixed consideration</x:v>
      </x:c>
      <x:c r="B1215" s="8" t="str">
        <x:v>Assumed refinancing</x:v>
      </x:c>
      <x:c r="C1215" s="8" t="str">
        <x:v>Committed revolver</x:v>
      </x:c>
      <x:c r="D1215" s="22" t="n">
        <x:v>5</x:v>
      </x:c>
      <x:c r="E1215" s="8" t="n">
        <x:v>0</x:v>
      </x:c>
      <x:c r="F1215" s="23" t="n">
        <x:v>0.0575</x:v>
      </x:c>
      <x:c r="G1215" s="8" t="n">
        <x:v>0</x:v>
      </x:c>
      <x:c r="H1215" s="8" t="n">
        <x:v>0</x:v>
      </x:c>
      <x:c r="I1215" s="8" t="n">
        <x:v>0</x:v>
      </x:c>
      <x:c r="J1215" s="8" t="n">
        <x:v>0</x:v>
      </x:c>
      <x:c r="K1215" s="8" t="n">
        <x:v>0</x:v>
      </x:c>
      <x:c r="L1215" s="8" t="n">
        <x:v>0</x:v>
      </x:c>
      <x:c r="M1215" s="21" t="n">
        <x:f>E1215+K1215-I1215-J1215-L1215</x:f>
        <x:v>0</x:v>
      </x:c>
    </x:row>
    <x:row r="1216" ht="36" customHeight="1">
      <x:c r="A1216" s="8" t="str">
        <x:v>Mixed consideration</x:v>
      </x:c>
      <x:c r="B1216" s="8" t="str">
        <x:v>Assumed refinancing</x:v>
      </x:c>
      <x:c r="C1216" s="8" t="str">
        <x:v>Refinance Atlas notes at 4</x:v>
      </x:c>
      <x:c r="D1216" s="22" t="n">
        <x:v>5</x:v>
      </x:c>
      <x:c r="E1216" s="8" t="n">
        <x:v>0</x:v>
      </x:c>
      <x:c r="F1216" s="23" t="n">
        <x:v>0.060000000000000005</x:v>
      </x:c>
      <x:c r="G1216" s="8" t="n">
        <x:v>0</x:v>
      </x:c>
      <x:c r="H1216" s="8" t="n">
        <x:v>0</x:v>
      </x:c>
      <x:c r="I1216" s="8" t="n">
        <x:v>0</x:v>
      </x:c>
      <x:c r="J1216" s="8" t="n">
        <x:v>0</x:v>
      </x:c>
      <x:c r="K1216" s="8" t="n">
        <x:v>0</x:v>
      </x:c>
      <x:c r="L1216" s="8" t="n">
        <x:v>0</x:v>
      </x:c>
      <x:c r="M1216" s="21" t="n">
        <x:f>E1216+K1216-I1216-J1216-L1216</x:f>
        <x:v>0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 ht="42" customHeight="1">
      <x:c r="A2" s="5" t="str">
        <x:v>Fictional Atlas / Beacon - illustrative only | Scenarios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42" customHeight="1">
      <x:c r="A4" s="7" t="str">
        <x:v>Structure</x:v>
      </x:c>
      <x:c r="B4" s="7" t="str">
        <x:v>Scenario</x:v>
      </x:c>
      <x:c r="C4" s="7" t="str">
        <x:v>Year</x:v>
      </x:c>
      <x:c r="D4" s="7" t="str">
        <x:v>EBITDA</x:v>
      </x:c>
      <x:c r="E4" s="7" t="str">
        <x:v>Interest</x:v>
      </x:c>
      <x:c r="F4" s="7" t="str">
        <x:v>Closing cash</x:v>
      </x:c>
      <x:c r="G4" s="7" t="str">
        <x:v>Closing debt</x:v>
      </x:c>
      <x:c r="H4" s="7" t="str">
        <x:v>Leverage</x:v>
      </x:c>
      <x:c r="I4" s="7" t="str">
        <x:v>Coverage</x:v>
      </x:c>
      <x:c r="J4" s="7" t="str">
        <x:v>Maturity gap</x:v>
      </x:c>
      <x:c r="K4" s="7" t="str">
        <x:v>Scenario feasible</x:v>
      </x:c>
    </x:row>
    <x:row r="5" ht="36" customHeight="1">
      <x:c r="A5" s="8" t="str">
        <x:v>Cash-first</x:v>
      </x:c>
      <x:c r="B5" s="8" t="str">
        <x:v>Base</x:v>
      </x:c>
      <x:c r="C5" s="22" t="n">
        <x:v>1</x:v>
      </x:c>
      <x:c r="D5" s="8" t="n">
        <x:v>1577.2999999999993</x:v>
      </x:c>
      <x:c r="E5" s="8" t="n">
        <x:v>141.93159898477157</x:v>
      </x:c>
      <x:c r="F5" s="8" t="n">
        <x:v>750</x:v>
      </x:c>
      <x:c r="G5" s="8" t="n">
        <x:v>2368.6860097524514</x:v>
      </x:c>
      <x:c r="H5" s="8" t="n">
        <x:v>1.0262385150272315</x:v>
      </x:c>
      <x:c r="I5" s="8" t="n">
        <x:v>11.113099628851742</x:v>
      </x:c>
      <x:c r="J5" s="8" t="n">
        <x:v>0</x:v>
      </x:c>
      <x:c r="K5" s="14" t="b">
        <x:v>0</x:v>
      </x:c>
    </x:row>
    <x:row r="6" ht="36" customHeight="1">
      <x:c r="A6" s="8" t="str">
        <x:v>Cash-first</x:v>
      </x:c>
      <x:c r="B6" s="8" t="str">
        <x:v>Base</x:v>
      </x:c>
      <x:c r="C6" s="22" t="n">
        <x:v>2</x:v>
      </x:c>
      <x:c r="D6" s="8" t="n">
        <x:v>1668.0644999999975</x:v>
      </x:c>
      <x:c r="E6" s="8" t="n">
        <x:v>119.94287560952822</x:v>
      </x:c>
      <x:c r="F6" s="8" t="n">
        <x:v>750</x:v>
      </x:c>
      <x:c r="G6" s="8" t="n">
        <x:v>1975.583348822613</x:v>
      </x:c>
      <x:c r="H6" s="8" t="n">
        <x:v>0.7347337880655184</x:v>
      </x:c>
      <x:c r="I6" s="8" t="n">
        <x:v>13.907157815945235</x:v>
      </x:c>
      <x:c r="J6" s="8" t="n">
        <x:v>0</x:v>
      </x:c>
      <x:c r="K6" s="14" t="b">
        <x:v>0</x:v>
      </x:c>
    </x:row>
    <x:row r="7" ht="36" customHeight="1">
      <x:c r="A7" s="8" t="str">
        <x:v>Cash-first</x:v>
      </x:c>
      <x:c r="B7" s="8" t="str">
        <x:v>Base</x:v>
      </x:c>
      <x:c r="C7" s="22" t="n">
        <x:v>3</x:v>
      </x:c>
      <x:c r="D7" s="8" t="n">
        <x:v>1760.3347524999979</x:v>
      </x:c>
      <x:c r="E7" s="8" t="n">
        <x:v>93.88000092935678</x:v>
      </x:c>
      <x:c r="F7" s="8" t="n">
        <x:v>750</x:v>
      </x:c>
      <x:c r="G7" s="8" t="n">
        <x:v>1466.9305564417205</x:v>
      </x:c>
      <x:c r="H7" s="8" t="n">
        <x:v>0.40726944430515144</x:v>
      </x:c>
      <x:c r="I7" s="8" t="n">
        <x:v>18.750902589195988</x:v>
      </x:c>
      <x:c r="J7" s="8" t="n">
        <x:v>0</x:v>
      </x:c>
      <x:c r="K7" s="14" t="b">
        <x:v>0</x:v>
      </x:c>
    </x:row>
    <x:row r="8" ht="36" customHeight="1">
      <x:c r="A8" s="8" t="str">
        <x:v>Cash-first</x:v>
      </x:c>
      <x:c r="B8" s="8" t="str">
        <x:v>Base</x:v>
      </x:c>
      <x:c r="C8" s="22" t="n">
        <x:v>4</x:v>
      </x:c>
      <x:c r="D8" s="8" t="n">
        <x:v>1814.1531341124974</x:v>
      </x:c>
      <x:c r="E8" s="8" t="n">
        <x:v>67.89583338650323</x:v>
      </x:c>
      <x:c r="F8" s="8" t="n">
        <x:v>749.9999999999999</x:v>
      </x:c>
      <x:c r="G8" s="8" t="n">
        <x:v>891.9555589767409</x:v>
      </x:c>
      <x:c r="H8" s="8" t="n">
        <x:v>0.0782489395781835</x:v>
      </x:c>
      <x:c r="I8" s="8" t="n">
        <x:v>26.71965338116207</x:v>
      </x:c>
      <x:c r="J8" s="8" t="n">
        <x:v>0</x:v>
      </x:c>
      <x:c r="K8" s="14" t="b">
        <x:v>0</x:v>
      </x:c>
    </x:row>
    <x:row r="9" ht="36" customHeight="1">
      <x:c r="A9" s="8" t="str">
        <x:v>Cash-first</x:v>
      </x:c>
      <x:c r="B9" s="8" t="str">
        <x:v>Base</x:v>
      </x:c>
      <x:c r="C9" s="22" t="n">
        <x:v>5</x:v>
      </x:c>
      <x:c r="D9" s="8" t="n">
        <x:v>1869.56317552131</x:v>
      </x:c>
      <x:c r="E9" s="8" t="n">
        <x:v>52.43776595612478</x:v>
      </x:c>
      <x:c r="F9" s="8" t="n">
        <x:v>472.30257066564457</x:v>
      </x:c>
      <x:c r="G9" s="8" t="n">
        <x:v>0</x:v>
      </x:c>
      <x:c r="H9" s="8" t="n">
        <x:v>-0.2526272323126751</x:v>
      </x:c>
      <x:c r="I9" s="8" t="n">
        <x:v>35.652990577165184</x:v>
      </x:c>
      <x:c r="J9" s="8" t="n">
        <x:v>0</x:v>
      </x:c>
      <x:c r="K9" s="14" t="b">
        <x:v>0</x:v>
      </x:c>
    </x:row>
    <x:row r="10" ht="36" customHeight="1">
      <x:c r="A10" s="8" t="str">
        <x:v>Liquidity-first</x:v>
      </x:c>
      <x:c r="B10" s="8" t="str">
        <x:v>Base</x:v>
      </x:c>
      <x:c r="C10" s="22" t="n">
        <x:v>1</x:v>
      </x:c>
      <x:c r="D10" s="8" t="n">
        <x:v>1577.2999999999993</x:v>
      </x:c>
      <x:c r="E10" s="8" t="n">
        <x:v>199.34276649746192</x:v>
      </x:c>
      <x:c r="F10" s="8" t="n">
        <x:v>750</x:v>
      </x:c>
      <x:c r="G10" s="8" t="n">
        <x:v>2424.9931163514366</x:v>
      </x:c>
      <x:c r="H10" s="8" t="n">
        <x:v>1.0619369278840027</x:v>
      </x:c>
      <x:c r="I10" s="8" t="n">
        <x:v>7.912501806380227</x:v>
      </x:c>
      <x:c r="J10" s="8" t="n">
        <x:v>0</x:v>
      </x:c>
      <x:c r="K10" s="14" t="b">
        <x:v>0</x:v>
      </x:c>
    </x:row>
    <x:row r="11" ht="36" customHeight="1">
      <x:c r="A11" s="8" t="str">
        <x:v>Liquidity-first</x:v>
      </x:c>
      <x:c r="B11" s="8" t="str">
        <x:v>Base</x:v>
      </x:c>
      <x:c r="C11" s="22" t="n">
        <x:v>2</x:v>
      </x:c>
      <x:c r="D11" s="8" t="n">
        <x:v>1668.0644999999975</x:v>
      </x:c>
      <x:c r="E11" s="8" t="n">
        <x:v>123.46206977196476</x:v>
      </x:c>
      <x:c r="F11" s="8" t="n">
        <x:v>750</x:v>
      </x:c>
      <x:c r="G11" s="8" t="n">
        <x:v>2034.5298510434254</x:v>
      </x:c>
      <x:c r="H11" s="8" t="n">
        <x:v>0.7700720511967177</x:v>
      </x:c>
      <x:c r="I11" s="8" t="n">
        <x:v>13.510744660938565</x:v>
      </x:c>
      <x:c r="J11" s="8" t="n">
        <x:v>0</x:v>
      </x:c>
      <x:c r="K11" s="14" t="b">
        <x:v>0</x:v>
      </x:c>
    </x:row>
    <x:row r="12" ht="36" customHeight="1">
      <x:c r="A12" s="8" t="str">
        <x:v>Liquidity-first</x:v>
      </x:c>
      <x:c r="B12" s="8" t="str">
        <x:v>Base</x:v>
      </x:c>
      <x:c r="C12" s="22" t="n">
        <x:v>3</x:v>
      </x:c>
      <x:c r="D12" s="8" t="n">
        <x:v>1760.3347524999979</x:v>
      </x:c>
      <x:c r="E12" s="8" t="n">
        <x:v>97.41679106260553</x:v>
      </x:c>
      <x:c r="F12" s="8" t="n">
        <x:v>750</x:v>
      </x:c>
      <x:c r="G12" s="8" t="n">
        <x:v>1528.5296512624693</x:v>
      </x:c>
      <x:c r="H12" s="8" t="n">
        <x:v>0.4422622743525427</x:v>
      </x:c>
      <x:c r="I12" s="8" t="n">
        <x:v>18.070136916835082</x:v>
      </x:c>
      <x:c r="J12" s="8" t="n">
        <x:v>0</x:v>
      </x:c>
      <x:c r="K12" s="14" t="b">
        <x:v>0</x:v>
      </x:c>
    </x:row>
    <x:row r="13" ht="36" customHeight="1">
      <x:c r="A13" s="8" t="str">
        <x:v>Liquidity-first</x:v>
      </x:c>
      <x:c r="B13" s="8" t="str">
        <x:v>Base</x:v>
      </x:c>
      <x:c r="C13" s="22" t="n">
        <x:v>4</x:v>
      </x:c>
      <x:c r="D13" s="8" t="n">
        <x:v>1814.1531341124974</x:v>
      </x:c>
      <x:c r="E13" s="8" t="n">
        <x:v>71.59177907574815</x:v>
      </x:c>
      <x:c r="F13" s="8" t="n">
        <x:v>750</x:v>
      </x:c>
      <x:c r="G13" s="8" t="n">
        <x:v>956.3266130644236</x:v>
      </x:c>
      <x:c r="H13" s="8" t="n">
        <x:v>0.11373164105320177</x:v>
      </x:c>
      <x:c r="I13" s="8" t="n">
        <x:v>25.34024377565783</x:v>
      </x:c>
      <x:c r="J13" s="8" t="n">
        <x:v>0</x:v>
      </x:c>
      <x:c r="K13" s="14" t="b">
        <x:v>0</x:v>
      </x:c>
    </x:row>
    <x:row r="14" ht="36" customHeight="1">
      <x:c r="A14" s="8" t="str">
        <x:v>Liquidity-first</x:v>
      </x:c>
      <x:c r="B14" s="8" t="str">
        <x:v>Base</x:v>
      </x:c>
      <x:c r="C14" s="22" t="n">
        <x:v>5</x:v>
      </x:c>
      <x:c r="D14" s="8" t="n">
        <x:v>1869.56317552131</x:v>
      </x:c>
      <x:c r="E14" s="8" t="n">
        <x:v>56.24893686667018</x:v>
      </x:c>
      <x:c r="F14" s="8" t="n">
        <x:v>405.07313839505287</x:v>
      </x:c>
      <x:c r="G14" s="8" t="n">
        <x:v>0</x:v>
      </x:c>
      <x:c r="H14" s="8" t="n">
        <x:v>-0.21666726414960652</x:v>
      </x:c>
      <x:c r="I14" s="8" t="n">
        <x:v>33.237306865956135</x:v>
      </x:c>
      <x:c r="J14" s="8" t="n">
        <x:v>0</x:v>
      </x:c>
      <x:c r="K14" s="14" t="b">
        <x:v>0</x:v>
      </x:c>
    </x:row>
    <x:row r="15" ht="36" customHeight="1">
      <x:c r="A15" s="8" t="str">
        <x:v>Mixed consideration</x:v>
      </x:c>
      <x:c r="B15" s="8" t="str">
        <x:v>Base</x:v>
      </x:c>
      <x:c r="C15" s="22" t="n">
        <x:v>1</x:v>
      </x:c>
      <x:c r="D15" s="8" t="n">
        <x:v>1577.2999999999993</x:v>
      </x:c>
      <x:c r="E15" s="8" t="n">
        <x:v>74.62195431472081</x:v>
      </x:c>
      <x:c r="F15" s="8" t="n">
        <x:v>750</x:v>
      </x:c>
      <x:c r="G15" s="8" t="n">
        <x:v>1282.670781326056</x:v>
      </x:c>
      <x:c r="H15" s="8" t="n">
        <x:v>0.3377105061345693</x:v>
      </x:c>
      <x:c r="I15" s="8" t="n">
        <x:v>21.13721108599862</x:v>
      </x:c>
      <x:c r="J15" s="8" t="n">
        <x:v>0</x:v>
      </x:c>
      <x:c r="K15" s="14" t="b">
        <x:v>1</x:v>
      </x:c>
    </x:row>
    <x:row r="16" ht="36" customHeight="1">
      <x:c r="A16" s="8" t="str">
        <x:v>Mixed consideration</x:v>
      </x:c>
      <x:c r="B16" s="8" t="str">
        <x:v>Base</x:v>
      </x:c>
      <x:c r="C16" s="22" t="n">
        <x:v>2</x:v>
      </x:c>
      <x:c r="D16" s="8" t="n">
        <x:v>1668.0644999999975</x:v>
      </x:c>
      <x:c r="E16" s="8" t="n">
        <x:v>52.45853906630279</x:v>
      </x:c>
      <x:c r="F16" s="8" t="n">
        <x:v>750</x:v>
      </x:c>
      <x:c r="G16" s="8" t="n">
        <x:v>838.9548679887987</x:v>
      </x:c>
      <x:c r="H16" s="8" t="n">
        <x:v>0.05332819443660532</x:v>
      </x:c>
      <x:c r="I16" s="8" t="n">
        <x:v>31.797768860694283</x:v>
      </x:c>
      <x:c r="J16" s="8" t="n">
        <x:v>0</x:v>
      </x:c>
      <x:c r="K16" s="14" t="b">
        <x:v>1</x:v>
      </x:c>
    </x:row>
    <x:row r="17" ht="36" customHeight="1">
      <x:c r="A17" s="8" t="str">
        <x:v>Mixed consideration</x:v>
      </x:c>
      <x:c r="B17" s="8" t="str">
        <x:v>Base</x:v>
      </x:c>
      <x:c r="C17" s="22" t="n">
        <x:v>3</x:v>
      </x:c>
      <x:c r="D17" s="8" t="n">
        <x:v>1760.3347524999979</x:v>
      </x:c>
      <x:c r="E17" s="8" t="n">
        <x:v>31.88028498357435</x:v>
      </x:c>
      <x:c r="F17" s="8" t="n">
        <x:v>750</x:v>
      </x:c>
      <x:c r="G17" s="8" t="n">
        <x:v>283.8022886485692</x:v>
      </x:c>
      <x:c r="H17" s="8" t="n">
        <x:v>-0.26483469163427276</x:v>
      </x:c>
      <x:c r="I17" s="8" t="n">
        <x:v>55.21703314154731</x:v>
      </x:c>
      <x:c r="J17" s="8" t="n">
        <x:v>0</x:v>
      </x:c>
      <x:c r="K17" s="14" t="b">
        <x:v>1</x:v>
      </x:c>
    </x:row>
    <x:row r="18" ht="36" customHeight="1">
      <x:c r="A18" s="8" t="str">
        <x:v>Mixed consideration</x:v>
      </x:c>
      <x:c r="B18" s="8" t="str">
        <x:v>Base</x:v>
      </x:c>
      <x:c r="C18" s="22" t="n">
        <x:v>4</x:v>
      </x:c>
      <x:c r="D18" s="8" t="n">
        <x:v>1814.1531341124974</x:v>
      </x:c>
      <x:c r="E18" s="8" t="n">
        <x:v>10.784486968645629</x:v>
      </x:c>
      <x:c r="F18" s="8" t="n">
        <x:v>1084.0062186298035</x:v>
      </x:c>
      <x:c r="G18" s="8" t="n">
        <x:v>0</x:v>
      </x:c>
      <x:c r="H18" s="8" t="n">
        <x:v>-0.5975274072770658</x:v>
      </x:c>
      <x:c r="I18" s="8" t="n">
        <x:v>168.21877010810908</x:v>
      </x:c>
      <x:c r="J18" s="8" t="n">
        <x:v>0</x:v>
      </x:c>
      <x:c r="K18" s="14" t="b">
        <x:v>1</x:v>
      </x:c>
    </x:row>
    <x:row r="19" ht="36" customHeight="1">
      <x:c r="A19" s="8" t="str">
        <x:v>Mixed consideration</x:v>
      </x:c>
      <x:c r="B19" s="8" t="str">
        <x:v>Base</x:v>
      </x:c>
      <x:c r="C19" s="22" t="n">
        <x:v>5</x:v>
      </x:c>
      <x:c r="D19" s="8" t="n">
        <x:v>1869.56317552131</x:v>
      </x:c>
      <x:c r="E19" s="8" t="n">
        <x:v>0</x:v>
      </x:c>
      <x:c r="F19" s="8" t="n">
        <x:v>1737.5926727392825</x:v>
      </x:c>
      <x:c r="G19" s="8" t="n">
        <x:v>0</x:v>
      </x:c>
      <x:c r="H19" s="8" t="n">
        <x:v>-0.929411049324274</x:v>
      </x:c>
      <x:c r="I19" s="8"/>
      <x:c r="J19" s="8" t="n">
        <x:v>0</x:v>
      </x:c>
      <x:c r="K19" s="14" t="b">
        <x:v>1</x:v>
      </x:c>
    </x:row>
    <x:row r="20" ht="36" customHeight="1">
      <x:c r="A20" s="8" t="str">
        <x:v>Cash-first</x:v>
      </x:c>
      <x:c r="B20" s="8" t="str">
        <x:v>Moderate revenue</x:v>
      </x:c>
      <x:c r="C20" s="22" t="n">
        <x:v>1</x:v>
      </x:c>
      <x:c r="D20" s="8" t="n">
        <x:v>1381.1149999999984</x:v>
      </x:c>
      <x:c r="E20" s="8" t="n">
        <x:v>141.93159898477157</x:v>
      </x:c>
      <x:c r="F20" s="8" t="n">
        <x:v>750</x:v>
      </x:c>
      <x:c r="G20" s="8" t="n">
        <x:v>2426.422645026425</x:v>
      </x:c>
      <x:c r="H20" s="8" t="n">
        <x:v>1.2138182881414126</x:v>
      </x:c>
      <x:c r="I20" s="8" t="n">
        <x:v>9.730849295569367</x:v>
      </x:c>
      <x:c r="J20" s="8" t="n">
        <x:v>0</x:v>
      </x:c>
      <x:c r="K20" s="14" t="b">
        <x:v>0</x:v>
      </x:c>
    </x:row>
    <x:row r="21" ht="36" customHeight="1">
      <x:c r="A21" s="8" t="str">
        <x:v>Cash-first</x:v>
      </x:c>
      <x:c r="B21" s="8" t="str">
        <x:v>Moderate revenue</x:v>
      </x:c>
      <x:c r="C21" s="22" t="n">
        <x:v>2</x:v>
      </x:c>
      <x:c r="D21" s="8" t="n">
        <x:v>1466.9748750000003</x:v>
      </x:c>
      <x:c r="E21" s="8" t="n">
        <x:v>123.55141531415154</x:v>
      </x:c>
      <x:c r="F21" s="8" t="n">
        <x:v>750</x:v>
      </x:c>
      <x:c r="G21" s="8" t="n">
        <x:v>2160.4441797569007</x:v>
      </x:c>
      <x:c r="H21" s="8" t="n">
        <x:v>0.9614644420933933</x:v>
      </x:c>
      <x:c r="I21" s="8" t="n">
        <x:v>11.873395956411787</x:v>
      </x:c>
      <x:c r="J21" s="8" t="n">
        <x:v>0</x:v>
      </x:c>
      <x:c r="K21" s="14" t="b">
        <x:v>0</x:v>
      </x:c>
    </x:row>
    <x:row r="22" ht="36" customHeight="1">
      <x:c r="A22" s="8" t="str">
        <x:v>Cash-first</x:v>
      </x:c>
      <x:c r="B22" s="8" t="str">
        <x:v>Moderate revenue</x:v>
      </x:c>
      <x:c r="C22" s="22" t="n">
        <x:v>3</x:v>
      </x:c>
      <x:c r="D22" s="8" t="n">
        <x:v>1554.2178868749986</x:v>
      </x:c>
      <x:c r="E22" s="8" t="n">
        <x:v>104.97165078541403</x:v>
      </x:c>
      <x:c r="F22" s="8" t="n">
        <x:v>749.9999999999999</x:v>
      </x:c>
      <x:c r="G22" s="8" t="n">
        <x:v>1787.6383604219463</x:v>
      </x:c>
      <x:c r="H22" s="8" t="n">
        <x:v>0.6676273443926725</x:v>
      </x:c>
      <x:c r="I22" s="8" t="n">
        <x:v>14.806072641957153</x:v>
      </x:c>
      <x:c r="J22" s="8" t="n">
        <x:v>0</x:v>
      </x:c>
      <x:c r="K22" s="14" t="b">
        <x:v>0</x:v>
      </x:c>
    </x:row>
    <x:row r="23" ht="36" customHeight="1">
      <x:c r="A23" s="8" t="str">
        <x:v>Cash-first</x:v>
      </x:c>
      <x:c r="B23" s="8" t="str">
        <x:v>Moderate revenue</x:v>
      </x:c>
      <x:c r="C23" s="22" t="n">
        <x:v>4</x:v>
      </x:c>
      <x:c r="D23" s="8" t="n">
        <x:v>1602.8833468468733</x:v>
      </x:c>
      <x:c r="E23" s="8" t="n">
        <x:v>87.08831109751205</x:v>
      </x:c>
      <x:c r="F23" s="8" t="n">
        <x:v>749.9999999999999</x:v>
      </x:c>
      <x:c r="G23" s="8" t="n">
        <x:v>1357.774162785465</x:v>
      </x:c>
      <x:c r="H23" s="8" t="n">
        <x:v>0.3791755426126634</x:v>
      </x:c>
      <x:c r="I23" s="8" t="n">
        <x:v>18.4052638826827</x:v>
      </x:c>
      <x:c r="J23" s="8" t="n">
        <x:v>0</x:v>
      </x:c>
      <x:c r="K23" s="14" t="b">
        <x:v>0</x:v>
      </x:c>
    </x:row>
    <x:row r="24" ht="36" customHeight="1">
      <x:c r="A24" s="8" t="str">
        <x:v>Cash-first</x:v>
      </x:c>
      <x:c r="B24" s="8" t="str">
        <x:v>Moderate revenue</x:v>
      </x:c>
      <x:c r="C24" s="22" t="n">
        <x:v>5</x:v>
      </x:c>
      <x:c r="D24" s="8" t="n">
        <x:v>1653.0116435740458</x:v>
      </x:c>
      <x:c r="E24" s="8" t="n">
        <x:v>79.97411465727222</x:v>
      </x:c>
      <x:c r="F24" s="8" t="n">
        <x:v>0</x:v>
      </x:c>
      <x:c r="G24" s="8" t="n">
        <x:v>148.15264725281372</x:v>
      </x:c>
      <x:c r="H24" s="8" t="n">
        <x:v>0.08962589454753427</x:v>
      </x:c>
      <x:c r="I24" s="8" t="n">
        <x:v>20.669333454430856</x:v>
      </x:c>
      <x:c r="J24" s="8" t="n">
        <x:v>148.15264725281372</x:v>
      </x:c>
      <x:c r="K24" s="14" t="b">
        <x:v>0</x:v>
      </x:c>
    </x:row>
    <x:row r="25" ht="36" customHeight="1">
      <x:c r="A25" s="8" t="str">
        <x:v>Liquidity-first</x:v>
      </x:c>
      <x:c r="B25" s="8" t="str">
        <x:v>Moderate revenue</x:v>
      </x:c>
      <x:c r="C25" s="22" t="n">
        <x:v>1</x:v>
      </x:c>
      <x:c r="D25" s="8" t="n">
        <x:v>1381.1149999999984</x:v>
      </x:c>
      <x:c r="E25" s="8" t="n">
        <x:v>199.34276649746192</x:v>
      </x:c>
      <x:c r="F25" s="8" t="n">
        <x:v>750</x:v>
      </x:c>
      <x:c r="G25" s="8" t="n">
        <x:v>2482.72975162541</x:v>
      </x:c>
      <x:c r="H25" s="8" t="n">
        <x:v>1.2545875988787405</x:v>
      </x:c>
      <x:c r="I25" s="8" t="n">
        <x:v>6.928342694680035</x:v>
      </x:c>
      <x:c r="J25" s="8" t="n">
        <x:v>0</x:v>
      </x:c>
      <x:c r="K25" s="14" t="b">
        <x:v>0</x:v>
      </x:c>
    </x:row>
    <x:row r="26" ht="36" customHeight="1">
      <x:c r="A26" s="8" t="str">
        <x:v>Liquidity-first</x:v>
      </x:c>
      <x:c r="B26" s="8" t="str">
        <x:v>Moderate revenue</x:v>
      </x:c>
      <x:c r="C26" s="22" t="n">
        <x:v>2</x:v>
      </x:c>
      <x:c r="D26" s="8" t="n">
        <x:v>1466.9748750000003</x:v>
      </x:c>
      <x:c r="E26" s="8" t="n">
        <x:v>127.07060947658812</x:v>
      </x:c>
      <x:c r="F26" s="8" t="n">
        <x:v>750</x:v>
      </x:c>
      <x:c r="G26" s="8" t="n">
        <x:v>2219.390681977713</x:v>
      </x:c>
      <x:c r="H26" s="8" t="n">
        <x:v>1.0016467950602854</x:v>
      </x:c>
      <x:c r="I26" s="8" t="n">
        <x:v>11.54456471911611</x:v>
      </x:c>
      <x:c r="J26" s="8" t="n">
        <x:v>0</x:v>
      </x:c>
      <x:c r="K26" s="14" t="b">
        <x:v>0</x:v>
      </x:c>
    </x:row>
    <x:row r="27" ht="36" customHeight="1">
      <x:c r="A27" s="8" t="str">
        <x:v>Liquidity-first</x:v>
      </x:c>
      <x:c r="B27" s="8" t="str">
        <x:v>Moderate revenue</x:v>
      </x:c>
      <x:c r="C27" s="22" t="n">
        <x:v>3</x:v>
      </x:c>
      <x:c r="D27" s="8" t="n">
        <x:v>1554.2178868749986</x:v>
      </x:c>
      <x:c r="E27" s="8" t="n">
        <x:v>108.50844091866279</x:v>
      </x:c>
      <x:c r="F27" s="8" t="n">
        <x:v>750</x:v>
      </x:c>
      <x:c r="G27" s="8" t="n">
        <x:v>1849.237455242696</x:v>
      </x:c>
      <x:c r="H27" s="8" t="n">
        <x:v>0.7072608445221841</x:v>
      </x:c>
      <x:c r="I27" s="8" t="n">
        <x:v>14.323474503149761</x:v>
      </x:c>
      <x:c r="J27" s="8" t="n">
        <x:v>0</x:v>
      </x:c>
      <x:c r="K27" s="14" t="b">
        <x:v>0</x:v>
      </x:c>
    </x:row>
    <x:row r="28" ht="36" customHeight="1">
      <x:c r="A28" s="8" t="str">
        <x:v>Liquidity-first</x:v>
      </x:c>
      <x:c r="B28" s="8" t="str">
        <x:v>Moderate revenue</x:v>
      </x:c>
      <x:c r="C28" s="22" t="n">
        <x:v>4</x:v>
      </x:c>
      <x:c r="D28" s="8" t="n">
        <x:v>1602.8833468468733</x:v>
      </x:c>
      <x:c r="E28" s="8" t="n">
        <x:v>90.73346286870894</x:v>
      </x:c>
      <x:c r="F28" s="8" t="n">
        <x:v>750</x:v>
      </x:c>
      <x:c r="G28" s="8" t="n">
        <x:v>1422.107121434612</x:v>
      </x:c>
      <x:c r="H28" s="8" t="n">
        <x:v>0.41931131342574224</x:v>
      </x:c>
      <x:c r="I28" s="8" t="n">
        <x:v>17.665845611626672</x:v>
      </x:c>
      <x:c r="J28" s="8" t="n">
        <x:v>0</x:v>
      </x:c>
      <x:c r="K28" s="14" t="b">
        <x:v>0</x:v>
      </x:c>
    </x:row>
    <x:row r="29" ht="36" customHeight="1">
      <x:c r="A29" s="8" t="str">
        <x:v>Liquidity-first</x:v>
      </x:c>
      <x:c r="B29" s="8" t="str">
        <x:v>Moderate revenue</x:v>
      </x:c>
      <x:c r="C29" s="22" t="n">
        <x:v>5</x:v>
      </x:c>
      <x:c r="D29" s="8" t="n">
        <x:v>1653.0116435740458</x:v>
      </x:c>
      <x:c r="E29" s="8" t="n">
        <x:v>83.73230116205377</x:v>
      </x:c>
      <x:c r="F29" s="8" t="n">
        <x:v>0</x:v>
      </x:c>
      <x:c r="G29" s="8" t="n">
        <x:v>215.3042457805468</x:v>
      </x:c>
      <x:c r="H29" s="8" t="n">
        <x:v>0.13024968494173972</x:v>
      </x:c>
      <x:c r="I29" s="8" t="n">
        <x:v>19.74162444639902</x:v>
      </x:c>
      <x:c r="J29" s="8" t="n">
        <x:v>215.3042457805468</x:v>
      </x:c>
      <x:c r="K29" s="14" t="b">
        <x:v>0</x:v>
      </x:c>
    </x:row>
    <x:row r="30" ht="36" customHeight="1">
      <x:c r="A30" s="8" t="str">
        <x:v>Mixed consideration</x:v>
      </x:c>
      <x:c r="B30" s="8" t="str">
        <x:v>Moderate revenue</x:v>
      </x:c>
      <x:c r="C30" s="22" t="n">
        <x:v>1</x:v>
      </x:c>
      <x:c r="D30" s="8" t="n">
        <x:v>1381.1149999999984</x:v>
      </x:c>
      <x:c r="E30" s="8" t="n">
        <x:v>74.62195431472081</x:v>
      </x:c>
      <x:c r="F30" s="8" t="n">
        <x:v>750</x:v>
      </x:c>
      <x:c r="G30" s="8" t="n">
        <x:v>1340.407416600029</x:v>
      </x:c>
      <x:c r="H30" s="8" t="n">
        <x:v>0.42748606495478625</x:v>
      </x:c>
      <x:c r="I30" s="8" t="n">
        <x:v>18.508159062346394</x:v>
      </x:c>
      <x:c r="J30" s="8" t="n">
        <x:v>0</x:v>
      </x:c>
      <x:c r="K30" s="14" t="b">
        <x:v>1</x:v>
      </x:c>
    </x:row>
    <x:row r="31" ht="36" customHeight="1">
      <x:c r="A31" s="8" t="str">
        <x:v>Mixed consideration</x:v>
      </x:c>
      <x:c r="B31" s="8" t="str">
        <x:v>Moderate revenue</x:v>
      </x:c>
      <x:c r="C31" s="22" t="n">
        <x:v>2</x:v>
      </x:c>
      <x:c r="D31" s="8" t="n">
        <x:v>1466.9748750000003</x:v>
      </x:c>
      <x:c r="E31" s="8" t="n">
        <x:v>55.67546353750181</x:v>
      </x:c>
      <x:c r="F31" s="8" t="n">
        <x:v>750</x:v>
      </x:c>
      <x:c r="G31" s="8" t="n">
        <x:v>1023.5219874980176</x:v>
      </x:c>
      <x:c r="H31" s="8" t="n">
        <x:v>0.18645308257104096</x:v>
      </x:c>
      <x:c r="I31" s="8" t="n">
        <x:v>26.34867824696021</x:v>
      </x:c>
      <x:c r="J31" s="8" t="n">
        <x:v>0</x:v>
      </x:c>
      <x:c r="K31" s="14" t="b">
        <x:v>1</x:v>
      </x:c>
    </x:row>
    <x:row r="32" ht="36" customHeight="1">
      <x:c r="A32" s="8" t="str">
        <x:v>Mixed consideration</x:v>
      </x:c>
      <x:c r="B32" s="8" t="str">
        <x:v>Moderate revenue</x:v>
      </x:c>
      <x:c r="C32" s="22" t="n">
        <x:v>3</x:v>
      </x:c>
      <x:c r="D32" s="8" t="n">
        <x:v>1554.2178868749986</x:v>
      </x:c>
      <x:c r="E32" s="8" t="n">
        <x:v>40.067294406155824</x:v>
      </x:c>
      <x:c r="F32" s="8" t="n">
        <x:v>750</x:v>
      </x:c>
      <x:c r="G32" s="8" t="n">
        <x:v>602.0379008786203</x:v>
      </x:c>
      <x:c r="H32" s="8" t="n">
        <x:v>-0.09520035792335456</x:v>
      </x:c>
      <x:c r="I32" s="8" t="n">
        <x:v>38.79018810504492</x:v>
      </x:c>
      <x:c r="J32" s="8" t="n">
        <x:v>0</x:v>
      </x:c>
      <x:c r="K32" s="14" t="b">
        <x:v>1</x:v>
      </x:c>
    </x:row>
    <x:row r="33" ht="36" customHeight="1">
      <x:c r="A33" s="8" t="str">
        <x:v>Mixed consideration</x:v>
      </x:c>
      <x:c r="B33" s="8" t="str">
        <x:v>Moderate revenue</x:v>
      </x:c>
      <x:c r="C33" s="22" t="n">
        <x:v>4</x:v>
      </x:c>
      <x:c r="D33" s="8" t="n">
        <x:v>1602.8833468468733</x:v>
      </x:c>
      <x:c r="E33" s="8" t="n">
        <x:v>22.877440233387574</x:v>
      </x:c>
      <x:c r="F33" s="8" t="n">
        <x:v>750</x:v>
      </x:c>
      <x:c r="G33" s="8" t="n">
        <x:v>124.01555009404547</x:v>
      </x:c>
      <x:c r="H33" s="8" t="n">
        <x:v>-0.39053649857761985</x:v>
      </x:c>
      <x:c r="I33" s="8" t="n">
        <x:v>70.06392894024957</x:v>
      </x:c>
      <x:c r="J33" s="8" t="n">
        <x:v>0</x:v>
      </x:c>
      <x:c r="K33" s="14" t="b">
        <x:v>1</x:v>
      </x:c>
    </x:row>
    <x:row r="34" ht="36" customHeight="1">
      <x:c r="A34" s="8" t="str">
        <x:v>Mixed consideration</x:v>
      </x:c>
      <x:c r="B34" s="8" t="str">
        <x:v>Moderate revenue</x:v>
      </x:c>
      <x:c r="C34" s="22" t="n">
        <x:v>5</x:v>
      </x:c>
      <x:c r="D34" s="8" t="n">
        <x:v>1653.0116435740458</x:v>
      </x:c>
      <x:c r="E34" s="8" t="n">
        <x:v>7.130894130407615</x:v>
      </x:c>
      <x:c r="F34" s="8" t="n">
        <x:v>1140.2383808337545</x:v>
      </x:c>
      <x:c r="G34" s="8" t="n">
        <x:v>0</x:v>
      </x:c>
      <x:c r="H34" s="8" t="n">
        <x:v>-0.6897945245977803</x:v>
      </x:c>
      <x:c r="I34" s="8" t="n">
        <x:v>231.80987031139063</x:v>
      </x:c>
      <x:c r="J34" s="8" t="n">
        <x:v>0</x:v>
      </x:c>
      <x:c r="K34" s="14" t="b">
        <x:v>1</x:v>
      </x:c>
    </x:row>
    <x:row r="35" ht="36" customHeight="1">
      <x:c r="A35" s="8" t="str">
        <x:v>Cash-first</x:v>
      </x:c>
      <x:c r="B35" s="8" t="str">
        <x:v>Moderate margin</x:v>
      </x:c>
      <x:c r="C35" s="22" t="n">
        <x:v>1</x:v>
      </x:c>
      <x:c r="D35" s="8" t="n">
        <x:v>1409.199999999999</x:v>
      </x:c>
      <x:c r="E35" s="8" t="n">
        <x:v>141.93159898477157</x:v>
      </x:c>
      <x:c r="F35" s="8" t="n">
        <x:v>750</x:v>
      </x:c>
      <x:c r="G35" s="8" t="n">
        <x:v>2510.880187834644</x:v>
      </x:c>
      <x:c r="H35" s="8" t="n">
        <x:v>1.2495601673535661</x:v>
      </x:c>
      <x:c r="I35" s="8" t="n">
        <x:v>9.92872630252829</x:v>
      </x:c>
      <x:c r="J35" s="8" t="n">
        <x:v>0</x:v>
      </x:c>
      <x:c r="K35" s="14" t="b">
        <x:v>0</x:v>
      </x:c>
    </x:row>
    <x:row r="36" ht="36" customHeight="1">
      <x:c r="A36" s="8" t="str">
        <x:v>Cash-first</x:v>
      </x:c>
      <x:c r="B36" s="8" t="str">
        <x:v>Moderate margin</x:v>
      </x:c>
      <x:c r="C36" s="22" t="n">
        <x:v>2</x:v>
      </x:c>
      <x:c r="D36" s="8" t="n">
        <x:v>1495.761999999998</x:v>
      </x:c>
      <x:c r="E36" s="8" t="n">
        <x:v>128.83001173966525</x:v>
      </x:c>
      <x:c r="F36" s="8" t="n">
        <x:v>750</x:v>
      </x:c>
      <x:c r="G36" s="8" t="n">
        <x:v>2254.072733454462</x:v>
      </x:c>
      <x:c r="H36" s="8" t="n">
        <x:v>1.0055561870501217</x:v>
      </x:c>
      <x:c r="I36" s="8" t="n">
        <x:v>11.610353673044573</x:v>
      </x:c>
      <x:c r="J36" s="8" t="n">
        <x:v>0</x:v>
      </x:c>
      <x:c r="K36" s="14" t="b">
        <x:v>0</x:v>
      </x:c>
    </x:row>
    <x:row r="37" ht="36" customHeight="1">
      <x:c r="A37" s="8" t="str">
        <x:v>Cash-first</x:v>
      </x:c>
      <x:c r="B37" s="8" t="str">
        <x:v>Moderate margin</x:v>
      </x:c>
      <x:c r="C37" s="22" t="n">
        <x:v>3</x:v>
      </x:c>
      <x:c r="D37" s="8" t="n">
        <x:v>1583.724689999998</x:v>
      </x:c>
      <x:c r="E37" s="8" t="n">
        <x:v>110.58936400726773</x:v>
      </x:c>
      <x:c r="F37" s="8" t="n">
        <x:v>749.9999999999999</x:v>
      </x:c>
      <x:c r="G37" s="8" t="n">
        <x:v>1890.8225641953593</x:v>
      </x:c>
      <x:c r="H37" s="8" t="n">
        <x:v>0.7203414655329778</x:v>
      </x:c>
      <x:c r="I37" s="8" t="n">
        <x:v>14.3207685858101</x:v>
      </x:c>
      <x:c r="J37" s="8" t="n">
        <x:v>0</x:v>
      </x:c>
      <x:c r="K37" s="14" t="b">
        <x:v>0</x:v>
      </x:c>
    </x:row>
    <x:row r="38" ht="36" customHeight="1">
      <x:c r="A38" s="8" t="str">
        <x:v>Cash-first</x:v>
      </x:c>
      <x:c r="B38" s="8" t="str">
        <x:v>Moderate margin</x:v>
      </x:c>
      <x:c r="C38" s="22" t="n">
        <x:v>4</x:v>
      </x:c>
      <x:c r="D38" s="8" t="n">
        <x:v>1633.1278200499964</x:v>
      </x:c>
      <x:c r="E38" s="8" t="n">
        <x:v>93.25547419872717</x:v>
      </x:c>
      <x:c r="F38" s="8" t="n">
        <x:v>749.9999999999999</x:v>
      </x:c>
      <x:c r="G38" s="8" t="n">
        <x:v>1471.0596631732378</x:v>
      </x:c>
      <x:c r="H38" s="8" t="n">
        <x:v>0.44152065399949125</x:v>
      </x:c>
      <x:c r="I38" s="8" t="n">
        <x:v>17.51240700969259</x:v>
      </x:c>
      <x:c r="J38" s="8" t="n">
        <x:v>0</x:v>
      </x:c>
      <x:c r="K38" s="14" t="b">
        <x:v>0</x:v>
      </x:c>
    </x:row>
    <x:row r="39" ht="36" customHeight="1">
      <x:c r="A39" s="8" t="str">
        <x:v>Cash-first</x:v>
      </x:c>
      <x:c r="B39" s="8" t="str">
        <x:v>Moderate margin</x:v>
      </x:c>
      <x:c r="C39" s="22" t="n">
        <x:v>5</x:v>
      </x:c>
      <x:c r="D39" s="8" t="n">
        <x:v>1684.0122286072467</x:v>
      </x:c>
      <x:c r="E39" s="8" t="n">
        <x:v>86.72210231381307</x:v>
      </x:c>
      <x:c r="F39" s="8" t="n">
        <x:v>0</x:v>
      </x:c>
      <x:c r="G39" s="8" t="n">
        <x:v>272.11196077865213</x:v>
      </x:c>
      <x:c r="H39" s="8" t="n">
        <x:v>0.16158550167043673</x:v>
      </x:c>
      <x:c r="I39" s="8" t="n">
        <x:v>19.418489447055503</x:v>
      </x:c>
      <x:c r="J39" s="8" t="n">
        <x:v>272.11196077865213</x:v>
      </x:c>
      <x:c r="K39" s="14" t="b">
        <x:v>0</x:v>
      </x:c>
    </x:row>
    <x:row r="40" ht="36" customHeight="1">
      <x:c r="A40" s="8" t="str">
        <x:v>Liquidity-first</x:v>
      </x:c>
      <x:c r="B40" s="8" t="str">
        <x:v>Moderate margin</x:v>
      </x:c>
      <x:c r="C40" s="22" t="n">
        <x:v>1</x:v>
      </x:c>
      <x:c r="D40" s="8" t="n">
        <x:v>1409.199999999999</x:v>
      </x:c>
      <x:c r="E40" s="8" t="n">
        <x:v>199.34276649746192</x:v>
      </x:c>
      <x:c r="F40" s="8" t="n">
        <x:v>750</x:v>
      </x:c>
      <x:c r="G40" s="8" t="n">
        <x:v>2567.187294433629</x:v>
      </x:c>
      <x:c r="H40" s="8" t="n">
        <x:v>1.2895169560272712</x:v>
      </x:c>
      <x:c r="I40" s="8" t="n">
        <x:v>7.069230676187797</x:v>
      </x:c>
      <x:c r="J40" s="8" t="n">
        <x:v>0</x:v>
      </x:c>
      <x:c r="K40" s="14" t="b">
        <x:v>0</x:v>
      </x:c>
    </x:row>
    <x:row r="41" ht="36" customHeight="1">
      <x:c r="A41" s="8" t="str">
        <x:v>Liquidity-first</x:v>
      </x:c>
      <x:c r="B41" s="8" t="str">
        <x:v>Moderate margin</x:v>
      </x:c>
      <x:c r="C41" s="22" t="n">
        <x:v>2</x:v>
      </x:c>
      <x:c r="D41" s="8" t="n">
        <x:v>1495.761999999998</x:v>
      </x:c>
      <x:c r="E41" s="8" t="n">
        <x:v>132.3492059021018</x:v>
      </x:c>
      <x:c r="F41" s="8" t="n">
        <x:v>750</x:v>
      </x:c>
      <x:c r="G41" s="8" t="n">
        <x:v>2313.0192356752746</x:v>
      </x:c>
      <x:c r="H41" s="8" t="n">
        <x:v>1.0449651987918378</x:v>
      </x:c>
      <x:c r="I41" s="8" t="n">
        <x:v>11.3016318443679</x:v>
      </x:c>
      <x:c r="J41" s="8" t="n">
        <x:v>0</x:v>
      </x:c>
      <x:c r="K41" s="14" t="b">
        <x:v>0</x:v>
      </x:c>
    </x:row>
    <x:row r="42" ht="36" customHeight="1">
      <x:c r="A42" s="8" t="str">
        <x:v>Liquidity-first</x:v>
      </x:c>
      <x:c r="B42" s="8" t="str">
        <x:v>Moderate margin</x:v>
      </x:c>
      <x:c r="C42" s="22" t="n">
        <x:v>3</x:v>
      </x:c>
      <x:c r="D42" s="8" t="n">
        <x:v>1583.724689999998</x:v>
      </x:c>
      <x:c r="E42" s="8" t="n">
        <x:v>114.12615414051646</x:v>
      </x:c>
      <x:c r="F42" s="8" t="n">
        <x:v>750</x:v>
      </x:c>
      <x:c r="G42" s="8" t="n">
        <x:v>1952.4216590161086</x:v>
      </x:c>
      <x:c r="H42" s="8" t="n">
        <x:v>0.7592365432000117</x:v>
      </x:c>
      <x:c r="I42" s="8" t="n">
        <x:v>13.876965380346173</x:v>
      </x:c>
      <x:c r="J42" s="8" t="n">
        <x:v>0</x:v>
      </x:c>
      <x:c r="K42" s="14" t="b">
        <x:v>0</x:v>
      </x:c>
    </x:row>
    <x:row r="43" ht="36" customHeight="1">
      <x:c r="A43" s="8" t="str">
        <x:v>Liquidity-first</x:v>
      </x:c>
      <x:c r="B43" s="8" t="str">
        <x:v>Moderate margin</x:v>
      </x:c>
      <x:c r="C43" s="22" t="n">
        <x:v>4</x:v>
      </x:c>
      <x:c r="D43" s="8" t="n">
        <x:v>1633.1278200499964</x:v>
      </x:c>
      <x:c r="E43" s="8" t="n">
        <x:v>96.90062596992408</x:v>
      </x:c>
      <x:c r="F43" s="8" t="n">
        <x:v>750</x:v>
      </x:c>
      <x:c r="G43" s="8" t="n">
        <x:v>1535.3926218223849</x:v>
      </x:c>
      <x:c r="H43" s="8" t="n">
        <x:v>0.4809131362408246</x:v>
      </x:c>
      <x:c r="I43" s="8" t="n">
        <x:v>16.853635399186018</x:v>
      </x:c>
      <x:c r="J43" s="8" t="n">
        <x:v>0</x:v>
      </x:c>
      <x:c r="K43" s="14" t="b">
        <x:v>0</x:v>
      </x:c>
    </x:row>
    <x:row r="44" ht="36" customHeight="1">
      <x:c r="A44" s="8" t="str">
        <x:v>Liquidity-first</x:v>
      </x:c>
      <x:c r="B44" s="8" t="str">
        <x:v>Moderate margin</x:v>
      </x:c>
      <x:c r="C44" s="22" t="n">
        <x:v>5</x:v>
      </x:c>
      <x:c r="D44" s="8" t="n">
        <x:v>1684.0122286072467</x:v>
      </x:c>
      <x:c r="E44" s="8" t="n">
        <x:v>90.4802888185946</x:v>
      </x:c>
      <x:c r="F44" s="8" t="n">
        <x:v>0</x:v>
      </x:c>
      <x:c r="G44" s="8" t="n">
        <x:v>339.26355930638533</x:v>
      </x:c>
      <x:c r="H44" s="8" t="n">
        <x:v>0.20146145826207654</x:v>
      </x:c>
      <x:c r="I44" s="8" t="n">
        <x:v>18.61192366420879</x:v>
      </x:c>
      <x:c r="J44" s="8" t="n">
        <x:v>339.26355930638533</x:v>
      </x:c>
      <x:c r="K44" s="14" t="b">
        <x:v>0</x:v>
      </x:c>
    </x:row>
    <x:row r="45" ht="36" customHeight="1">
      <x:c r="A45" s="8" t="str">
        <x:v>Mixed consideration</x:v>
      </x:c>
      <x:c r="B45" s="8" t="str">
        <x:v>Moderate margin</x:v>
      </x:c>
      <x:c r="C45" s="22" t="n">
        <x:v>1</x:v>
      </x:c>
      <x:c r="D45" s="8" t="n">
        <x:v>1409.199999999999</x:v>
      </x:c>
      <x:c r="E45" s="8" t="n">
        <x:v>74.62195431472081</x:v>
      </x:c>
      <x:c r="F45" s="8" t="n">
        <x:v>750</x:v>
      </x:c>
      <x:c r="G45" s="8" t="n">
        <x:v>1424.864959408248</x:v>
      </x:c>
      <x:c r="H45" s="8" t="n">
        <x:v>0.47889934672739753</x:v>
      </x:c>
      <x:c r="I45" s="8" t="n">
        <x:v>18.884522831667564</x:v>
      </x:c>
      <x:c r="J45" s="8" t="n">
        <x:v>0</x:v>
      </x:c>
      <x:c r="K45" s="14" t="b">
        <x:v>1</x:v>
      </x:c>
    </x:row>
    <x:row r="46" ht="36" customHeight="1">
      <x:c r="A46" s="8" t="str">
        <x:v>Mixed consideration</x:v>
      </x:c>
      <x:c r="B46" s="8" t="str">
        <x:v>Moderate margin</x:v>
      </x:c>
      <x:c r="C46" s="22" t="n">
        <x:v>2</x:v>
      </x:c>
      <x:c r="D46" s="8" t="n">
        <x:v>1495.761999999998</x:v>
      </x:c>
      <x:c r="E46" s="8" t="n">
        <x:v>60.954059963015496</x:v>
      </x:c>
      <x:c r="F46" s="8" t="n">
        <x:v>750</x:v>
      </x:c>
      <x:c r="G46" s="8" t="n">
        <x:v>1117.1505411955789</x:v>
      </x:c>
      <x:c r="H46" s="8" t="n">
        <x:v>0.24546053529610953</x:v>
      </x:c>
      <x:c r="I46" s="8" t="n">
        <x:v>24.53916934995908</x:v>
      </x:c>
      <x:c r="J46" s="8" t="n">
        <x:v>0</x:v>
      </x:c>
      <x:c r="K46" s="14" t="b">
        <x:v>1</x:v>
      </x:c>
    </x:row>
    <x:row r="47" ht="36" customHeight="1">
      <x:c r="A47" s="8" t="str">
        <x:v>Mixed consideration</x:v>
      </x:c>
      <x:c r="B47" s="8" t="str">
        <x:v>Moderate margin</x:v>
      </x:c>
      <x:c r="C47" s="22" t="n">
        <x:v>3</x:v>
      </x:c>
      <x:c r="D47" s="8" t="n">
        <x:v>1583.724689999998</x:v>
      </x:c>
      <x:c r="E47" s="8" t="n">
        <x:v>44.51465070678999</x:v>
      </x:c>
      <x:c r="F47" s="8" t="n">
        <x:v>750</x:v>
      </x:c>
      <x:c r="G47" s="8" t="n">
        <x:v>704.344336961118</x:v>
      </x:c>
      <x:c r="H47" s="8" t="n">
        <x:v>-0.02882803010344058</x:v>
      </x:c>
      <x:c r="I47" s="8" t="n">
        <x:v>35.57760568383897</x:v>
      </x:c>
      <x:c r="J47" s="8" t="n">
        <x:v>0</x:v>
      </x:c>
      <x:c r="K47" s="14" t="b">
        <x:v>1</x:v>
      </x:c>
    </x:row>
    <x:row r="48" ht="36" customHeight="1">
      <x:c r="A48" s="8" t="str">
        <x:v>Mixed consideration</x:v>
      </x:c>
      <x:c r="B48" s="8" t="str">
        <x:v>Moderate margin</x:v>
      </x:c>
      <x:c r="C48" s="22" t="n">
        <x:v>4</x:v>
      </x:c>
      <x:c r="D48" s="8" t="n">
        <x:v>1633.1278200499964</x:v>
      </x:c>
      <x:c r="E48" s="8" t="n">
        <x:v>26.76508480452248</x:v>
      </x:c>
      <x:c r="F48" s="8" t="n">
        <x:v>750</x:v>
      </x:c>
      <x:c r="G48" s="8" t="n">
        <x:v>234.7136438933428</x:v>
      </x:c>
      <x:c r="H48" s="8" t="n">
        <x:v>-0.31552114279143334</x:v>
      </x:c>
      <x:c r="I48" s="8" t="n">
        <x:v>61.017098655859584</x:v>
      </x:c>
      <x:c r="J48" s="8" t="n">
        <x:v>0</x:v>
      </x:c>
      <x:c r="K48" s="14" t="b">
        <x:v>1</x:v>
      </x:c>
    </x:row>
    <x:row r="49" ht="36" customHeight="1">
      <x:c r="A49" s="8" t="str">
        <x:v>Mixed consideration</x:v>
      </x:c>
      <x:c r="B49" s="8" t="str">
        <x:v>Moderate margin</x:v>
      </x:c>
      <x:c r="C49" s="22" t="n">
        <x:v>5</x:v>
      </x:c>
      <x:c r="D49" s="8" t="n">
        <x:v>1684.0122286072467</x:v>
      </x:c>
      <x:c r="E49" s="8" t="n">
        <x:v>13.496034523867213</x:v>
      </x:c>
      <x:c r="F49" s="8" t="n">
        <x:v>1019.1536093437023</x:v>
      </x:c>
      <x:c r="G49" s="8" t="n">
        <x:v>0</x:v>
      </x:c>
      <x:c r="H49" s="8" t="n">
        <x:v>-0.6051937106101586</x:v>
      </x:c>
      <x:c r="I49" s="8" t="n">
        <x:v>124.77829881282065</x:v>
      </x:c>
      <x:c r="J49" s="8" t="n">
        <x:v>0</x:v>
      </x:c>
      <x:c r="K49" s="14" t="b">
        <x:v>1</x:v>
      </x:c>
    </x:row>
    <x:row r="50" ht="36" customHeight="1">
      <x:c r="A50" s="8" t="str">
        <x:v>Cash-first</x:v>
      </x:c>
      <x:c r="B50" s="8" t="str">
        <x:v>Moderate inventory</x:v>
      </x:c>
      <x:c r="C50" s="22" t="n">
        <x:v>1</x:v>
      </x:c>
      <x:c r="D50" s="8" t="n">
        <x:v>1577.2999999999993</x:v>
      </x:c>
      <x:c r="E50" s="8" t="n">
        <x:v>141.93159898477157</x:v>
      </x:c>
      <x:c r="F50" s="8" t="n">
        <x:v>750</x:v>
      </x:c>
      <x:c r="G50" s="8" t="n">
        <x:v>2675.6805303003966</x:v>
      </x:c>
      <x:c r="H50" s="8" t="n">
        <x:v>1.2208714450646025</x:v>
      </x:c>
      <x:c r="I50" s="8" t="n">
        <x:v>11.113099628851742</x:v>
      </x:c>
      <x:c r="J50" s="8" t="n">
        <x:v>0</x:v>
      </x:c>
      <x:c r="K50" s="14" t="b">
        <x:v>0</x:v>
      </x:c>
    </x:row>
    <x:row r="51" ht="36" customHeight="1">
      <x:c r="A51" s="8" t="str">
        <x:v>Cash-first</x:v>
      </x:c>
      <x:c r="B51" s="8" t="str">
        <x:v>Moderate inventory</x:v>
      </x:c>
      <x:c r="C51" s="22" t="n">
        <x:v>2</x:v>
      </x:c>
      <x:c r="D51" s="8" t="n">
        <x:v>1668.0644999999975</x:v>
      </x:c>
      <x:c r="E51" s="8" t="n">
        <x:v>139.00908054898827</x:v>
      </x:c>
      <x:c r="F51" s="8" t="n">
        <x:v>749.9999999999999</x:v>
      </x:c>
      <x:c r="G51" s="8" t="n">
        <x:v>2304.552386088852</x:v>
      </x:c>
      <x:c r="H51" s="8" t="n">
        <x:v>0.9319498053515642</x:v>
      </x:c>
      <x:c r="I51" s="8" t="n">
        <x:v>11.999680117387395</x:v>
      </x:c>
      <x:c r="J51" s="8" t="n">
        <x:v>0</x:v>
      </x:c>
      <x:c r="K51" s="14" t="b">
        <x:v>0</x:v>
      </x:c>
    </x:row>
    <x:row r="52" ht="36" customHeight="1">
      <x:c r="A52" s="8" t="str">
        <x:v>Cash-first</x:v>
      </x:c>
      <x:c r="B52" s="8" t="str">
        <x:v>Moderate inventory</x:v>
      </x:c>
      <x:c r="C52" s="22" t="n">
        <x:v>3</x:v>
      </x:c>
      <x:c r="D52" s="8" t="n">
        <x:v>1760.3347524999979</x:v>
      </x:c>
      <x:c r="E52" s="8" t="n">
        <x:v>113.61814316533113</x:v>
      </x:c>
      <x:c r="F52" s="8" t="n">
        <x:v>750</x:v>
      </x:c>
      <x:c r="G52" s="8" t="n">
        <x:v>1818.5699349739816</x:v>
      </x:c>
      <x:c r="H52" s="8" t="n">
        <x:v>0.6070265518853255</x:v>
      </x:c>
      <x:c r="I52" s="8" t="n">
        <x:v>15.493430040820607</x:v>
      </x:c>
      <x:c r="J52" s="8" t="n">
        <x:v>0</x:v>
      </x:c>
      <x:c r="K52" s="14" t="b">
        <x:v>0</x:v>
      </x:c>
    </x:row>
    <x:row r="53" ht="36" customHeight="1">
      <x:c r="A53" s="8" t="str">
        <x:v>Cash-first</x:v>
      </x:c>
      <x:c r="B53" s="8" t="str">
        <x:v>Moderate inventory</x:v>
      </x:c>
      <x:c r="C53" s="22" t="n">
        <x:v>4</x:v>
      </x:c>
      <x:c r="D53" s="8" t="n">
        <x:v>1814.1531341124974</x:v>
      </x:c>
      <x:c r="E53" s="8" t="n">
        <x:v>88.9941960984389</x:v>
      </x:c>
      <x:c r="F53" s="8" t="n">
        <x:v>749.9999999999999</x:v>
      </x:c>
      <x:c r="G53" s="8" t="n">
        <x:v>1267.482112496721</x:v>
      </x:c>
      <x:c r="H53" s="8" t="n">
        <x:v>0.28524720585391966</x:v>
      </x:c>
      <x:c r="I53" s="8" t="n">
        <x:v>20.385072438946615</x:v>
      </x:c>
      <x:c r="J53" s="8" t="n">
        <x:v>0</x:v>
      </x:c>
      <x:c r="K53" s="14" t="b">
        <x:v>0</x:v>
      </x:c>
    </x:row>
    <x:row r="54" ht="36" customHeight="1">
      <x:c r="A54" s="8" t="str">
        <x:v>Cash-first</x:v>
      </x:c>
      <x:c r="B54" s="8" t="str">
        <x:v>Moderate inventory</x:v>
      </x:c>
      <x:c r="C54" s="22" t="n">
        <x:v>5</x:v>
      </x:c>
      <x:c r="D54" s="8" t="n">
        <x:v>1869.56317552131</x:v>
      </x:c>
      <x:c r="E54" s="8" t="n">
        <x:v>74.90964122985427</x:v>
      </x:c>
      <x:c r="F54" s="8" t="n">
        <x:v>71.65712266275546</x:v>
      </x:c>
      <x:c r="G54" s="8" t="n">
        <x:v>0</x:v>
      </x:c>
      <x:c r="H54" s="8" t="n">
        <x:v>-0.03832827026172814</x:v>
      </x:c>
      <x:c r="I54" s="8" t="n">
        <x:v>24.957577487051424</x:v>
      </x:c>
      <x:c r="J54" s="8" t="n">
        <x:v>0</x:v>
      </x:c>
      <x:c r="K54" s="14" t="b">
        <x:v>0</x:v>
      </x:c>
    </x:row>
    <x:row r="55" ht="36" customHeight="1">
      <x:c r="A55" s="8" t="str">
        <x:v>Liquidity-first</x:v>
      </x:c>
      <x:c r="B55" s="8" t="str">
        <x:v>Moderate inventory</x:v>
      </x:c>
      <x:c r="C55" s="22" t="n">
        <x:v>1</x:v>
      </x:c>
      <x:c r="D55" s="8" t="n">
        <x:v>1577.2999999999993</x:v>
      </x:c>
      <x:c r="E55" s="8" t="n">
        <x:v>199.34276649746192</x:v>
      </x:c>
      <x:c r="F55" s="8" t="n">
        <x:v>750</x:v>
      </x:c>
      <x:c r="G55" s="8" t="n">
        <x:v>2731.987636899382</x:v>
      </x:c>
      <x:c r="H55" s="8" t="n">
        <x:v>1.2565698579213738</x:v>
      </x:c>
      <x:c r="I55" s="8" t="n">
        <x:v>7.912501806380227</x:v>
      </x:c>
      <x:c r="J55" s="8" t="n">
        <x:v>0</x:v>
      </x:c>
      <x:c r="K55" s="14" t="b">
        <x:v>0</x:v>
      </x:c>
    </x:row>
    <x:row r="56" ht="36" customHeight="1">
      <x:c r="A56" s="8" t="str">
        <x:v>Liquidity-first</x:v>
      </x:c>
      <x:c r="B56" s="8" t="str">
        <x:v>Moderate inventory</x:v>
      </x:c>
      <x:c r="C56" s="22" t="n">
        <x:v>2</x:v>
      </x:c>
      <x:c r="D56" s="8" t="n">
        <x:v>1668.0644999999975</x:v>
      </x:c>
      <x:c r="E56" s="8" t="n">
        <x:v>142.64922730621134</x:v>
      </x:c>
      <x:c r="F56" s="8" t="n">
        <x:v>750</x:v>
      </x:c>
      <x:c r="G56" s="8" t="n">
        <x:v>2363.589602755754</x:v>
      </x:c>
      <x:c r="H56" s="8" t="n">
        <x:v>0.967342451539348</x:v>
      </x:c>
      <x:c r="I56" s="8" t="n">
        <x:v>11.69347028020926</x:v>
      </x:c>
      <x:c r="J56" s="8" t="n">
        <x:v>0</x:v>
      </x:c>
      <x:c r="K56" s="14" t="b">
        <x:v>0</x:v>
      </x:c>
    </x:row>
    <x:row r="57" ht="36" customHeight="1">
      <x:c r="A57" s="8" t="str">
        <x:v>Liquidity-first</x:v>
      </x:c>
      <x:c r="B57" s="8" t="str">
        <x:v>Moderate inventory</x:v>
      </x:c>
      <x:c r="C57" s="22" t="n">
        <x:v>3</x:v>
      </x:c>
      <x:c r="D57" s="8" t="n">
        <x:v>1760.3347524999979</x:v>
      </x:c>
      <x:c r="E57" s="8" t="n">
        <x:v>117.16037616534524</x:v>
      </x:c>
      <x:c r="F57" s="8" t="n">
        <x:v>750</x:v>
      </x:c>
      <x:c r="G57" s="8" t="n">
        <x:v>1880.2638263908939</x:v>
      </x:c>
      <x:c r="H57" s="8" t="n">
        <x:v>0.6420732333925193</x:v>
      </x:c>
      <x:c r="I57" s="8" t="n">
        <x:v>15.025000858785956</x:v>
      </x:c>
      <x:c r="J57" s="8" t="n">
        <x:v>0</x:v>
      </x:c>
      <x:c r="K57" s="14" t="b">
        <x:v>0</x:v>
      </x:c>
    </x:row>
    <x:row r="58" ht="36" customHeight="1">
      <x:c r="A58" s="8" t="str">
        <x:v>Liquidity-first</x:v>
      </x:c>
      <x:c r="B58" s="8" t="str">
        <x:v>Moderate inventory</x:v>
      </x:c>
      <x:c r="C58" s="22" t="n">
        <x:v>4</x:v>
      </x:c>
      <x:c r="D58" s="8" t="n">
        <x:v>1814.1531341124974</x:v>
      </x:c>
      <x:c r="E58" s="8" t="n">
        <x:v>92.69582958345364</x:v>
      </x:c>
      <x:c r="F58" s="8" t="n">
        <x:v>750</x:v>
      </x:c>
      <x:c r="G58" s="8" t="n">
        <x:v>1331.9522290273942</x:v>
      </x:c>
      <x:c r="H58" s="8" t="n">
        <x:v>0.32078451266579067</x:v>
      </x:c>
      <x:c r="I58" s="8" t="n">
        <x:v>19.57103293928907</x:v>
      </x:c>
      <x:c r="J58" s="8" t="n">
        <x:v>0</x:v>
      </x:c>
      <x:c r="K58" s="14" t="b">
        <x:v>0</x:v>
      </x:c>
    </x:row>
    <x:row r="59" ht="36" customHeight="1">
      <x:c r="A59" s="8" t="str">
        <x:v>Liquidity-first</x:v>
      </x:c>
      <x:c r="B59" s="8" t="str">
        <x:v>Moderate inventory</x:v>
      </x:c>
      <x:c r="C59" s="22" t="n">
        <x:v>5</x:v>
      </x:c>
      <x:c r="D59" s="8" t="n">
        <x:v>1869.56317552131</x:v>
      </x:c>
      <x:c r="E59" s="8" t="n">
        <x:v>78.72674522236204</x:v>
      </x:c>
      <x:c r="F59" s="8" t="n">
        <x:v>4.324178137701665</x:v>
      </x:c>
      <x:c r="G59" s="8" t="n">
        <x:v>0</x:v>
      </x:c>
      <x:c r="H59" s="8" t="n">
        <x:v>-0.0023129350183611255</x:v>
      </x:c>
      <x:c r="I59" s="8" t="n">
        <x:v>23.74749737513939</x:v>
      </x:c>
      <x:c r="J59" s="8" t="n">
        <x:v>0</x:v>
      </x:c>
      <x:c r="K59" s="14" t="b">
        <x:v>0</x:v>
      </x:c>
    </x:row>
    <x:row r="60" ht="36" customHeight="1">
      <x:c r="A60" s="8" t="str">
        <x:v>Mixed consideration</x:v>
      </x:c>
      <x:c r="B60" s="8" t="str">
        <x:v>Moderate inventory</x:v>
      </x:c>
      <x:c r="C60" s="22" t="n">
        <x:v>1</x:v>
      </x:c>
      <x:c r="D60" s="8" t="n">
        <x:v>1577.2999999999993</x:v>
      </x:c>
      <x:c r="E60" s="8" t="n">
        <x:v>74.62195431472081</x:v>
      </x:c>
      <x:c r="F60" s="8" t="n">
        <x:v>750</x:v>
      </x:c>
      <x:c r="G60" s="8" t="n">
        <x:v>1589.665301874001</x:v>
      </x:c>
      <x:c r="H60" s="8" t="n">
        <x:v>0.5323434361719402</x:v>
      </x:c>
      <x:c r="I60" s="8" t="n">
        <x:v>21.13721108599862</x:v>
      </x:c>
      <x:c r="J60" s="8" t="n">
        <x:v>0</x:v>
      </x:c>
      <x:c r="K60" s="14" t="b">
        <x:v>1</x:v>
      </x:c>
    </x:row>
    <x:row r="61" ht="36" customHeight="1">
      <x:c r="A61" s="8" t="str">
        <x:v>Mixed consideration</x:v>
      </x:c>
      <x:c r="B61" s="8" t="str">
        <x:v>Moderate inventory</x:v>
      </x:c>
      <x:c r="C61" s="22" t="n">
        <x:v>2</x:v>
      </x:c>
      <x:c r="D61" s="8" t="n">
        <x:v>1668.0644999999975</x:v>
      </x:c>
      <x:c r="E61" s="8" t="n">
        <x:v>71.25408136712505</x:v>
      </x:c>
      <x:c r="F61" s="8" t="n">
        <x:v>750</x:v>
      </x:c>
      <x:c r="G61" s="8" t="n">
        <x:v>1167.720908276059</x:v>
      </x:c>
      <x:c r="H61" s="8" t="n">
        <x:v>0.2504225156018005</x:v>
      </x:c>
      <x:c r="I61" s="8" t="n">
        <x:v>23.410090594047052</x:v>
      </x:c>
      <x:c r="J61" s="8" t="n">
        <x:v>0</x:v>
      </x:c>
      <x:c r="K61" s="14" t="b">
        <x:v>1</x:v>
      </x:c>
    </x:row>
    <x:row r="62" ht="36" customHeight="1">
      <x:c r="A62" s="8" t="str">
        <x:v>Mixed consideration</x:v>
      </x:c>
      <x:c r="B62" s="8" t="str">
        <x:v>Moderate inventory</x:v>
      </x:c>
      <x:c r="C62" s="22" t="n">
        <x:v>3</x:v>
      </x:c>
      <x:c r="D62" s="8" t="n">
        <x:v>1760.3347524999979</x:v>
      </x:c>
      <x:c r="E62" s="8" t="n">
        <x:v>46.9167431431128</x:v>
      </x:c>
      <x:c r="F62" s="8" t="n">
        <x:v>750</x:v>
      </x:c>
      <x:c r="G62" s="8" t="n">
        <x:v>631.7124071445244</x:v>
      </x:c>
      <x:c r="H62" s="8" t="n">
        <x:v>-0.0671960788636852</x:v>
      </x:c>
      <x:c r="I62" s="8" t="n">
        <x:v>37.52039537634463</x:v>
      </x:c>
      <x:c r="J62" s="8" t="n">
        <x:v>0</x:v>
      </x:c>
      <x:c r="K62" s="14" t="b">
        <x:v>1</x:v>
      </x:c>
    </x:row>
    <x:row r="63" ht="36" customHeight="1">
      <x:c r="A63" s="8" t="str">
        <x:v>Mixed consideration</x:v>
      </x:c>
      <x:c r="B63" s="8" t="str">
        <x:v>Moderate inventory</x:v>
      </x:c>
      <x:c r="C63" s="22" t="n">
        <x:v>4</x:v>
      </x:c>
      <x:c r="D63" s="8" t="n">
        <x:v>1814.1531341124974</x:v>
      </x:c>
      <x:c r="E63" s="8" t="n">
        <x:v>24.005071471491927</x:v>
      </x:c>
      <x:c r="F63" s="8" t="n">
        <x:v>750</x:v>
      </x:c>
      <x:c r="G63" s="8" t="n">
        <x:v>31.882741197053065</x:v>
      </x:c>
      <x:c r="H63" s="8" t="n">
        <x:v>-0.3958415887279865</x:v>
      </x:c>
      <x:c r="I63" s="8" t="n">
        <x:v>75.57374433427366</x:v>
      </x:c>
      <x:c r="J63" s="8" t="n">
        <x:v>0</x:v>
      </x:c>
      <x:c r="K63" s="14" t="b">
        <x:v>1</x:v>
      </x:c>
    </x:row>
    <x:row r="64" ht="36" customHeight="1">
      <x:c r="A64" s="8" t="str">
        <x:v>Mixed consideration</x:v>
      </x:c>
      <x:c r="B64" s="8" t="str">
        <x:v>Moderate inventory</x:v>
      </x:c>
      <x:c r="C64" s="22" t="n">
        <x:v>5</x:v>
      </x:c>
      <x:c r="D64" s="8" t="n">
        <x:v>1869.56317552131</x:v>
      </x:c>
      <x:c r="E64" s="8" t="n">
        <x:v>1.8332576188305514</x:v>
      </x:c>
      <x:c r="F64" s="8" t="n">
        <x:v>1362.0637816706915</x:v>
      </x:c>
      <x:c r="G64" s="8" t="n">
        <x:v>0</x:v>
      </x:c>
      <x:c r="H64" s="8" t="n">
        <x:v>-0.7285465393759122</x:v>
      </x:c>
      <x:c r="I64" s="8" t="n">
        <x:v>1019.8038487978129</x:v>
      </x:c>
      <x:c r="J64" s="8" t="n">
        <x:v>0</x:v>
      </x:c>
      <x:c r="K64" s="14" t="b">
        <x:v>1</x:v>
      </x:c>
    </x:row>
    <x:row r="65" ht="36" customHeight="1">
      <x:c r="A65" s="8" t="str">
        <x:v>Cash-first</x:v>
      </x:c>
      <x:c r="B65" s="8" t="str">
        <x:v>Moderate benchmark</x:v>
      </x:c>
      <x:c r="C65" s="22" t="n">
        <x:v>1</x:v>
      </x:c>
      <x:c r="D65" s="8" t="n">
        <x:v>1577.2999999999993</x:v>
      </x:c>
      <x:c r="E65" s="8" t="n">
        <x:v>155.33261421319799</x:v>
      </x:c>
      <x:c r="F65" s="8" t="n">
        <x:v>750</x:v>
      </x:c>
      <x:c r="G65" s="8" t="n">
        <x:v>2378.736771173771</x:v>
      </x:c>
      <x:c r="H65" s="8" t="n">
        <x:v>1.0326106455168782</x:v>
      </x:c>
      <x:c r="I65" s="8" t="n">
        <x:v>10.15433885529741</x:v>
      </x:c>
      <x:c r="J65" s="8" t="n">
        <x:v>0</x:v>
      </x:c>
      <x:c r="K65" s="14" t="b">
        <x:v>0</x:v>
      </x:c>
    </x:row>
    <x:row r="66" ht="36" customHeight="1">
      <x:c r="A66" s="8" t="str">
        <x:v>Cash-first</x:v>
      </x:c>
      <x:c r="B66" s="8" t="str">
        <x:v>Moderate benchmark</x:v>
      </x:c>
      <x:c r="C66" s="22" t="n">
        <x:v>2</x:v>
      </x:c>
      <x:c r="D66" s="8" t="n">
        <x:v>1668.0644999999975</x:v>
      </x:c>
      <x:c r="E66" s="8" t="n">
        <x:v>131.2184159100984</x:v>
      </x:c>
      <x:c r="F66" s="8" t="n">
        <x:v>750</x:v>
      </x:c>
      <x:c r="G66" s="8" t="n">
        <x:v>1994.0907654693606</x:v>
      </x:c>
      <x:c r="H66" s="8" t="n">
        <x:v>0.7458289325558829</x:v>
      </x:c>
      <x:c r="I66" s="8" t="n">
        <x:v>12.712121910866822</x:v>
      </x:c>
      <x:c r="J66" s="8" t="n">
        <x:v>0</x:v>
      </x:c>
      <x:c r="K66" s="14" t="b">
        <x:v>0</x:v>
      </x:c>
    </x:row>
    <x:row r="67" ht="36" customHeight="1">
      <x:c r="A67" s="8" t="str">
        <x:v>Cash-first</x:v>
      </x:c>
      <x:c r="B67" s="8" t="str">
        <x:v>Moderate benchmark</x:v>
      </x:c>
      <x:c r="C67" s="22" t="n">
        <x:v>3</x:v>
      </x:c>
      <x:c r="D67" s="8" t="n">
        <x:v>1760.3347524999979</x:v>
      </x:c>
      <x:c r="E67" s="8" t="n">
        <x:v>101.95135358285523</x:v>
      </x:c>
      <x:c r="F67" s="8" t="n">
        <x:v>750</x:v>
      </x:c>
      <x:c r="G67" s="8" t="n">
        <x:v>1491.4914875785917</x:v>
      </x:c>
      <x:c r="H67" s="8" t="n">
        <x:v>0.421221865060346</x:v>
      </x:c>
      <x:c r="I67" s="8" t="n">
        <x:v>17.26641864611817</x:v>
      </x:c>
      <x:c r="J67" s="8" t="n">
        <x:v>0</x:v>
      </x:c>
      <x:c r="K67" s="14" t="b">
        <x:v>0</x:v>
      </x:c>
    </x:row>
    <x:row r="68" ht="36" customHeight="1">
      <x:c r="A68" s="8" t="str">
        <x:v>Cash-first</x:v>
      </x:c>
      <x:c r="B68" s="8" t="str">
        <x:v>Moderate benchmark</x:v>
      </x:c>
      <x:c r="C68" s="22" t="n">
        <x:v>4</x:v>
      </x:c>
      <x:c r="D68" s="8" t="n">
        <x:v>1814.1531341124974</x:v>
      </x:c>
      <x:c r="E68" s="8" t="n">
        <x:v>74.9644041305014</x:v>
      </x:c>
      <x:c r="F68" s="8" t="n">
        <x:v>749.9999999999999</x:v>
      </x:c>
      <x:c r="G68" s="8" t="n">
        <x:v>921.8179181716108</x:v>
      </x:c>
      <x:c r="H68" s="8" t="n">
        <x:v>0.09470971052047712</x:v>
      </x:c>
      <x:c r="I68" s="8" t="n">
        <x:v>24.200194147536184</x:v>
      </x:c>
      <x:c r="J68" s="8" t="n">
        <x:v>0</x:v>
      </x:c>
      <x:c r="K68" s="14" t="b">
        <x:v>0</x:v>
      </x:c>
    </x:row>
    <x:row r="69" ht="36" customHeight="1">
      <x:c r="A69" s="8" t="str">
        <x:v>Cash-first</x:v>
      </x:c>
      <x:c r="B69" s="8" t="str">
        <x:v>Moderate benchmark</x:v>
      </x:c>
      <x:c r="C69" s="22" t="n">
        <x:v>5</x:v>
      </x:c>
      <x:c r="D69" s="8" t="n">
        <x:v>1869.56317552131</x:v>
      </x:c>
      <x:c r="E69" s="8" t="n">
        <x:v>63.27443311938808</x:v>
      </x:c>
      <x:c r="F69" s="8" t="n">
        <x:v>434.312711098327</x:v>
      </x:c>
      <x:c r="G69" s="8" t="n">
        <x:v>0</x:v>
      </x:c>
      <x:c r="H69" s="8" t="n">
        <x:v>-0.2323070526767425</x:v>
      </x:c>
      <x:c r="I69" s="8" t="n">
        <x:v>29.54689727514054</x:v>
      </x:c>
      <x:c r="J69" s="8" t="n">
        <x:v>0</x:v>
      </x:c>
      <x:c r="K69" s="14" t="b">
        <x:v>0</x:v>
      </x:c>
    </x:row>
    <x:row r="70" ht="36" customHeight="1">
      <x:c r="A70" s="8" t="str">
        <x:v>Liquidity-first</x:v>
      </x:c>
      <x:c r="B70" s="8" t="str">
        <x:v>Moderate benchmark</x:v>
      </x:c>
      <x:c r="C70" s="22" t="n">
        <x:v>1</x:v>
      </x:c>
      <x:c r="D70" s="8" t="n">
        <x:v>1577.2999999999993</x:v>
      </x:c>
      <x:c r="E70" s="8" t="n">
        <x:v>221.57626903553302</x:v>
      </x:c>
      <x:c r="F70" s="8" t="n">
        <x:v>750</x:v>
      </x:c>
      <x:c r="G70" s="8" t="n">
        <x:v>2441.6682432549896</x:v>
      </x:c>
      <x:c r="H70" s="8" t="n">
        <x:v>1.0725088716509164</x:v>
      </x:c>
      <x:c r="I70" s="8" t="n">
        <x:v>7.118542102300026</x:v>
      </x:c>
      <x:c r="J70" s="8" t="n">
        <x:v>0</x:v>
      </x:c>
      <x:c r="K70" s="14" t="b">
        <x:v>0</x:v>
      </x:c>
    </x:row>
    <x:row r="71" ht="36" customHeight="1">
      <x:c r="A71" s="8" t="str">
        <x:v>Liquidity-first</x:v>
      </x:c>
      <x:c r="B71" s="8" t="str">
        <x:v>Moderate benchmark</x:v>
      </x:c>
      <x:c r="C71" s="22" t="n">
        <x:v>2</x:v>
      </x:c>
      <x:c r="D71" s="8" t="n">
        <x:v>1668.0644999999975</x:v>
      </x:c>
      <x:c r="E71" s="8" t="n">
        <x:v>135.78094763598676</x:v>
      </x:c>
      <x:c r="F71" s="8" t="n">
        <x:v>750</x:v>
      </x:c>
      <x:c r="G71" s="8" t="n">
        <x:v>2060.444136344995</x:v>
      </x:c>
      <x:c r="H71" s="8" t="n">
        <x:v>0.7856075927189848</x:v>
      </x:c>
      <x:c r="I71" s="8" t="n">
        <x:v>12.284967287692586</x:v>
      </x:c>
      <x:c r="J71" s="8" t="n">
        <x:v>0</x:v>
      </x:c>
      <x:c r="K71" s="14" t="b">
        <x:v>0</x:v>
      </x:c>
    </x:row>
    <x:row r="72" ht="36" customHeight="1">
      <x:c r="A72" s="8" t="str">
        <x:v>Liquidity-first</x:v>
      </x:c>
      <x:c r="B72" s="8" t="str">
        <x:v>Moderate benchmark</x:v>
      </x:c>
      <x:c r="C72" s="22" t="n">
        <x:v>3</x:v>
      </x:c>
      <x:c r="D72" s="8" t="n">
        <x:v>1760.3347524999979</x:v>
      </x:c>
      <x:c r="E72" s="8" t="n">
        <x:v>106.59608954414966</x:v>
      </x:c>
      <x:c r="F72" s="8" t="n">
        <x:v>750</x:v>
      </x:c>
      <x:c r="G72" s="8" t="n">
        <x:v>1561.3284104251973</x:v>
      </x:c>
      <x:c r="H72" s="8" t="n">
        <x:v>0.46089438913420433</x:v>
      </x:c>
      <x:c r="I72" s="8" t="n">
        <x:v>16.51406500958844</x:v>
      </x:c>
      <x:c r="J72" s="8" t="n">
        <x:v>0</x:v>
      </x:c>
      <x:c r="K72" s="14" t="b">
        <x:v>0</x:v>
      </x:c>
    </x:row>
    <x:row r="73" ht="36" customHeight="1">
      <x:c r="A73" s="8" t="str">
        <x:v>Liquidity-first</x:v>
      </x:c>
      <x:c r="B73" s="8" t="str">
        <x:v>Moderate benchmark</x:v>
      </x:c>
      <x:c r="C73" s="22" t="n">
        <x:v>4</x:v>
      </x:c>
      <x:c r="D73" s="8" t="n">
        <x:v>1814.1531341124974</x:v>
      </x:c>
      <x:c r="E73" s="8" t="n">
        <x:v>79.85298872976381</x:v>
      </x:c>
      <x:c r="F73" s="8" t="n">
        <x:v>750</x:v>
      </x:c>
      <x:c r="G73" s="8" t="n">
        <x:v>995.3212794676631</x:v>
      </x:c>
      <x:c r="H73" s="8" t="n">
        <x:v>0.13522633500709233</x:v>
      </x:c>
      <x:c r="I73" s="8" t="n">
        <x:v>22.71866292008058</x:v>
      </x:c>
      <x:c r="J73" s="8" t="n">
        <x:v>0</x:v>
      </x:c>
      <x:c r="K73" s="14" t="b">
        <x:v>0</x:v>
      </x:c>
    </x:row>
    <x:row r="74" ht="36" customHeight="1">
      <x:c r="A74" s="8" t="str">
        <x:v>Liquidity-first</x:v>
      </x:c>
      <x:c r="B74" s="8" t="str">
        <x:v>Moderate benchmark</x:v>
      </x:c>
      <x:c r="C74" s="22" t="n">
        <x:v>5</x:v>
      </x:c>
      <x:c r="D74" s="8" t="n">
        <x:v>1869.56317552131</x:v>
      </x:c>
      <x:c r="E74" s="8" t="n">
        <x:v>68.3663398774399</x:v>
      </x:c>
      <x:c r="F74" s="8" t="n">
        <x:v>356.99041973373596</x:v>
      </x:c>
      <x:c r="G74" s="8" t="n">
        <x:v>0</x:v>
      </x:c>
      <x:c r="H74" s="8" t="n">
        <x:v>-0.19094857259059594</x:v>
      </x:c>
      <x:c r="I74" s="8" t="n">
        <x:v>27.346252247419848</x:v>
      </x:c>
      <x:c r="J74" s="8" t="n">
        <x:v>0</x:v>
      </x:c>
      <x:c r="K74" s="14" t="b">
        <x:v>0</x:v>
      </x:c>
    </x:row>
    <x:row r="75" ht="36" customHeight="1">
      <x:c r="A75" s="8" t="str">
        <x:v>Mixed consideration</x:v>
      </x:c>
      <x:c r="B75" s="8" t="str">
        <x:v>Moderate benchmark</x:v>
      </x:c>
      <x:c r="C75" s="22" t="n">
        <x:v>1</x:v>
      </x:c>
      <x:c r="D75" s="8" t="n">
        <x:v>1577.2999999999993</x:v>
      </x:c>
      <x:c r="E75" s="8" t="n">
        <x:v>77.66763959390863</x:v>
      </x:c>
      <x:c r="F75" s="8" t="n">
        <x:v>750</x:v>
      </x:c>
      <x:c r="G75" s="8" t="n">
        <x:v>1284.9550452854467</x:v>
      </x:c>
      <x:c r="H75" s="8" t="n">
        <x:v>0.33915871760948896</x:v>
      </x:c>
      <x:c r="I75" s="8" t="n">
        <x:v>20.30832928935444</x:v>
      </x:c>
      <x:c r="J75" s="8" t="n">
        <x:v>0</x:v>
      </x:c>
      <x:c r="K75" s="14" t="b">
        <x:v>1</x:v>
      </x:c>
    </x:row>
    <x:row r="76" ht="36" customHeight="1">
      <x:c r="A76" s="8" t="str">
        <x:v>Mixed consideration</x:v>
      </x:c>
      <x:c r="B76" s="8" t="str">
        <x:v>Moderate benchmark</x:v>
      </x:c>
      <x:c r="C76" s="22" t="n">
        <x:v>2</x:v>
      </x:c>
      <x:c r="D76" s="8" t="n">
        <x:v>1668.0644999999975</x:v>
      </x:c>
      <x:c r="E76" s="8" t="n">
        <x:v>52.572752264272324</x:v>
      </x:c>
      <x:c r="F76" s="8" t="n">
        <x:v>750</x:v>
      </x:c>
      <x:c r="G76" s="8" t="n">
        <x:v>841.3247918466666</x:v>
      </x:c>
      <x:c r="H76" s="8" t="n">
        <x:v>0.05474895715763193</x:v>
      </x:c>
      <x:c r="I76" s="8" t="n">
        <x:v>31.72868887698675</x:v>
      </x:c>
      <x:c r="J76" s="8" t="n">
        <x:v>0</x:v>
      </x:c>
      <x:c r="K76" s="14" t="b">
        <x:v>1</x:v>
      </x:c>
    </x:row>
    <x:row r="77" ht="36" customHeight="1">
      <x:c r="A77" s="8" t="str">
        <x:v>Mixed consideration</x:v>
      </x:c>
      <x:c r="B77" s="8" t="str">
        <x:v>Moderate benchmark</x:v>
      </x:c>
      <x:c r="C77" s="22" t="n">
        <x:v>3</x:v>
      </x:c>
      <x:c r="D77" s="8" t="n">
        <x:v>1760.3347524999979</x:v>
      </x:c>
      <x:c r="E77" s="8" t="n">
        <x:v>31.97034209017333</x:v>
      </x:c>
      <x:c r="F77" s="8" t="n">
        <x:v>750</x:v>
      </x:c>
      <x:c r="G77" s="8" t="n">
        <x:v>286.23975533638645</x:v>
      </x:c>
      <x:c r="H77" s="8" t="n">
        <x:v>-0.2634500307427261</x:v>
      </x:c>
      <x:c r="I77" s="8" t="n">
        <x:v>55.06149254002099</x:v>
      </x:c>
      <x:c r="J77" s="8" t="n">
        <x:v>0</x:v>
      </x:c>
      <x:c r="K77" s="14" t="b">
        <x:v>1</x:v>
      </x:c>
    </x:row>
    <x:row r="78" ht="36" customHeight="1">
      <x:c r="A78" s="8" t="str">
        <x:v>Mixed consideration</x:v>
      </x:c>
      <x:c r="B78" s="8" t="str">
        <x:v>Moderate benchmark</x:v>
      </x:c>
      <x:c r="C78" s="22" t="n">
        <x:v>4</x:v>
      </x:c>
      <x:c r="D78" s="8" t="n">
        <x:v>1814.1531341124974</x:v>
      </x:c>
      <x:c r="E78" s="8" t="n">
        <x:v>10.877110702782685</x:v>
      </x:c>
      <x:c r="F78" s="8" t="n">
        <x:v>1081.4992841413832</x:v>
      </x:c>
      <x:c r="G78" s="8" t="n">
        <x:v>0</x:v>
      </x:c>
      <x:c r="H78" s="8" t="n">
        <x:v>-0.5961455313806593</x:v>
      </x:c>
      <x:c r="I78" s="8" t="n">
        <x:v>166.78630784261335</x:v>
      </x:c>
      <x:c r="J78" s="8" t="n">
        <x:v>0</x:v>
      </x:c>
      <x:c r="K78" s="14" t="b">
        <x:v>1</x:v>
      </x:c>
    </x:row>
    <x:row r="79" ht="36" customHeight="1">
      <x:c r="A79" s="8" t="str">
        <x:v>Mixed consideration</x:v>
      </x:c>
      <x:c r="B79" s="8" t="str">
        <x:v>Moderate benchmark</x:v>
      </x:c>
      <x:c r="C79" s="22" t="n">
        <x:v>5</x:v>
      </x:c>
      <x:c r="D79" s="8" t="n">
        <x:v>1869.56317552131</x:v>
      </x:c>
      <x:c r="E79" s="8" t="n">
        <x:v>0</x:v>
      </x:c>
      <x:c r="F79" s="8" t="n">
        <x:v>1735.0857382508623</x:v>
      </x:c>
      <x:c r="G79" s="8" t="n">
        <x:v>0</x:v>
      </x:c>
      <x:c r="H79" s="8" t="n">
        <x:v>-0.9280701294124762</x:v>
      </x:c>
      <x:c r="I79" s="8"/>
      <x:c r="J79" s="8" t="n">
        <x:v>0</x:v>
      </x:c>
      <x:c r="K79" s="14" t="b">
        <x:v>1</x:v>
      </x:c>
    </x:row>
    <x:row r="80" ht="36" customHeight="1">
      <x:c r="A80" s="8" t="str">
        <x:v>Cash-first</x:v>
      </x:c>
      <x:c r="B80" s="8" t="str">
        <x:v>Moderate spread</x:v>
      </x:c>
      <x:c r="C80" s="22" t="n">
        <x:v>1</x:v>
      </x:c>
      <x:c r="D80" s="8" t="n">
        <x:v>1577.2999999999993</x:v>
      </x:c>
      <x:c r="E80" s="8" t="n">
        <x:v>155.33261421319799</x:v>
      </x:c>
      <x:c r="F80" s="8" t="n">
        <x:v>750</x:v>
      </x:c>
      <x:c r="G80" s="8" t="n">
        <x:v>2378.736771173771</x:v>
      </x:c>
      <x:c r="H80" s="8" t="n">
        <x:v>1.0326106455168782</x:v>
      </x:c>
      <x:c r="I80" s="8" t="n">
        <x:v>10.15433885529741</x:v>
      </x:c>
      <x:c r="J80" s="8" t="n">
        <x:v>0</x:v>
      </x:c>
      <x:c r="K80" s="14" t="b">
        <x:v>0</x:v>
      </x:c>
    </x:row>
    <x:row r="81" ht="36" customHeight="1">
      <x:c r="A81" s="8" t="str">
        <x:v>Cash-first</x:v>
      </x:c>
      <x:c r="B81" s="8" t="str">
        <x:v>Moderate spread</x:v>
      </x:c>
      <x:c r="C81" s="22" t="n">
        <x:v>2</x:v>
      </x:c>
      <x:c r="D81" s="8" t="n">
        <x:v>1668.0644999999975</x:v>
      </x:c>
      <x:c r="E81" s="8" t="n">
        <x:v>131.2184159100984</x:v>
      </x:c>
      <x:c r="F81" s="8" t="n">
        <x:v>750</x:v>
      </x:c>
      <x:c r="G81" s="8" t="n">
        <x:v>1994.0907654693606</x:v>
      </x:c>
      <x:c r="H81" s="8" t="n">
        <x:v>0.7458289325558829</x:v>
      </x:c>
      <x:c r="I81" s="8" t="n">
        <x:v>12.712121910866822</x:v>
      </x:c>
      <x:c r="J81" s="8" t="n">
        <x:v>0</x:v>
      </x:c>
      <x:c r="K81" s="14" t="b">
        <x:v>0</x:v>
      </x:c>
    </x:row>
    <x:row r="82" ht="36" customHeight="1">
      <x:c r="A82" s="8" t="str">
        <x:v>Cash-first</x:v>
      </x:c>
      <x:c r="B82" s="8" t="str">
        <x:v>Moderate spread</x:v>
      </x:c>
      <x:c r="C82" s="22" t="n">
        <x:v>3</x:v>
      </x:c>
      <x:c r="D82" s="8" t="n">
        <x:v>1760.3347524999979</x:v>
      </x:c>
      <x:c r="E82" s="8" t="n">
        <x:v>101.95135358285523</x:v>
      </x:c>
      <x:c r="F82" s="8" t="n">
        <x:v>750</x:v>
      </x:c>
      <x:c r="G82" s="8" t="n">
        <x:v>1491.4914875785917</x:v>
      </x:c>
      <x:c r="H82" s="8" t="n">
        <x:v>0.421221865060346</x:v>
      </x:c>
      <x:c r="I82" s="8" t="n">
        <x:v>17.26641864611817</x:v>
      </x:c>
      <x:c r="J82" s="8" t="n">
        <x:v>0</x:v>
      </x:c>
      <x:c r="K82" s="14" t="b">
        <x:v>0</x:v>
      </x:c>
    </x:row>
    <x:row r="83" ht="36" customHeight="1">
      <x:c r="A83" s="8" t="str">
        <x:v>Cash-first</x:v>
      </x:c>
      <x:c r="B83" s="8" t="str">
        <x:v>Moderate spread</x:v>
      </x:c>
      <x:c r="C83" s="22" t="n">
        <x:v>4</x:v>
      </x:c>
      <x:c r="D83" s="8" t="n">
        <x:v>1814.1531341124974</x:v>
      </x:c>
      <x:c r="E83" s="8" t="n">
        <x:v>74.9644041305014</x:v>
      </x:c>
      <x:c r="F83" s="8" t="n">
        <x:v>749.9999999999999</x:v>
      </x:c>
      <x:c r="G83" s="8" t="n">
        <x:v>921.8179181716108</x:v>
      </x:c>
      <x:c r="H83" s="8" t="n">
        <x:v>0.09470971052047712</x:v>
      </x:c>
      <x:c r="I83" s="8" t="n">
        <x:v>24.200194147536184</x:v>
      </x:c>
      <x:c r="J83" s="8" t="n">
        <x:v>0</x:v>
      </x:c>
      <x:c r="K83" s="14" t="b">
        <x:v>0</x:v>
      </x:c>
    </x:row>
    <x:row r="84" ht="36" customHeight="1">
      <x:c r="A84" s="8" t="str">
        <x:v>Cash-first</x:v>
      </x:c>
      <x:c r="B84" s="8" t="str">
        <x:v>Moderate spread</x:v>
      </x:c>
      <x:c r="C84" s="22" t="n">
        <x:v>5</x:v>
      </x:c>
      <x:c r="D84" s="8" t="n">
        <x:v>1869.56317552131</x:v>
      </x:c>
      <x:c r="E84" s="8" t="n">
        <x:v>59.54314850888936</x:v>
      </x:c>
      <x:c r="F84" s="8" t="n">
        <x:v>437.11117455620126</x:v>
      </x:c>
      <x:c r="G84" s="8" t="n">
        <x:v>0</x:v>
      </x:c>
      <x:c r="H84" s="8" t="n">
        <x:v>-0.23380390685878638</x:v>
      </x:c>
      <x:c r="I84" s="8" t="n">
        <x:v>31.39846014763895</x:v>
      </x:c>
      <x:c r="J84" s="8" t="n">
        <x:v>0</x:v>
      </x:c>
      <x:c r="K84" s="14" t="b">
        <x:v>0</x:v>
      </x:c>
    </x:row>
    <x:row r="85" ht="36" customHeight="1">
      <x:c r="A85" s="8" t="str">
        <x:v>Liquidity-first</x:v>
      </x:c>
      <x:c r="B85" s="8" t="str">
        <x:v>Moderate spread</x:v>
      </x:c>
      <x:c r="C85" s="22" t="n">
        <x:v>1</x:v>
      </x:c>
      <x:c r="D85" s="8" t="n">
        <x:v>1577.2999999999993</x:v>
      </x:c>
      <x:c r="E85" s="8" t="n">
        <x:v>221.576269035533</x:v>
      </x:c>
      <x:c r="F85" s="8" t="n">
        <x:v>750</x:v>
      </x:c>
      <x:c r="G85" s="8" t="n">
        <x:v>2441.6682432549896</x:v>
      </x:c>
      <x:c r="H85" s="8" t="n">
        <x:v>1.0725088716509164</x:v>
      </x:c>
      <x:c r="I85" s="8" t="n">
        <x:v>7.118542102300027</x:v>
      </x:c>
      <x:c r="J85" s="8" t="n">
        <x:v>0</x:v>
      </x:c>
      <x:c r="K85" s="14" t="b">
        <x:v>0</x:v>
      </x:c>
    </x:row>
    <x:row r="86" ht="36" customHeight="1">
      <x:c r="A86" s="8" t="str">
        <x:v>Liquidity-first</x:v>
      </x:c>
      <x:c r="B86" s="8" t="str">
        <x:v>Moderate spread</x:v>
      </x:c>
      <x:c r="C86" s="22" t="n">
        <x:v>2</x:v>
      </x:c>
      <x:c r="D86" s="8" t="n">
        <x:v>1668.0644999999975</x:v>
      </x:c>
      <x:c r="E86" s="8" t="n">
        <x:v>135.78094763598676</x:v>
      </x:c>
      <x:c r="F86" s="8" t="n">
        <x:v>750</x:v>
      </x:c>
      <x:c r="G86" s="8" t="n">
        <x:v>2060.444136344995</x:v>
      </x:c>
      <x:c r="H86" s="8" t="n">
        <x:v>0.7856075927189848</x:v>
      </x:c>
      <x:c r="I86" s="8" t="n">
        <x:v>12.284967287692586</x:v>
      </x:c>
      <x:c r="J86" s="8" t="n">
        <x:v>0</x:v>
      </x:c>
      <x:c r="K86" s="14" t="b">
        <x:v>0</x:v>
      </x:c>
    </x:row>
    <x:row r="87" ht="36" customHeight="1">
      <x:c r="A87" s="8" t="str">
        <x:v>Liquidity-first</x:v>
      </x:c>
      <x:c r="B87" s="8" t="str">
        <x:v>Moderate spread</x:v>
      </x:c>
      <x:c r="C87" s="22" t="n">
        <x:v>3</x:v>
      </x:c>
      <x:c r="D87" s="8" t="n">
        <x:v>1760.3347524999979</x:v>
      </x:c>
      <x:c r="E87" s="8" t="n">
        <x:v>106.59608954414966</x:v>
      </x:c>
      <x:c r="F87" s="8" t="n">
        <x:v>750</x:v>
      </x:c>
      <x:c r="G87" s="8" t="n">
        <x:v>1561.3284104251973</x:v>
      </x:c>
      <x:c r="H87" s="8" t="n">
        <x:v>0.46089438913420433</x:v>
      </x:c>
      <x:c r="I87" s="8" t="n">
        <x:v>16.51406500958844</x:v>
      </x:c>
      <x:c r="J87" s="8" t="n">
        <x:v>0</x:v>
      </x:c>
      <x:c r="K87" s="14" t="b">
        <x:v>0</x:v>
      </x:c>
    </x:row>
    <x:row r="88" ht="36" customHeight="1">
      <x:c r="A88" s="8" t="str">
        <x:v>Liquidity-first</x:v>
      </x:c>
      <x:c r="B88" s="8" t="str">
        <x:v>Moderate spread</x:v>
      </x:c>
      <x:c r="C88" s="22" t="n">
        <x:v>4</x:v>
      </x:c>
      <x:c r="D88" s="8" t="n">
        <x:v>1814.1531341124974</x:v>
      </x:c>
      <x:c r="E88" s="8" t="n">
        <x:v>79.85298872976381</x:v>
      </x:c>
      <x:c r="F88" s="8" t="n">
        <x:v>750</x:v>
      </x:c>
      <x:c r="G88" s="8" t="n">
        <x:v>995.3212794676631</x:v>
      </x:c>
      <x:c r="H88" s="8" t="n">
        <x:v>0.13522633500709233</x:v>
      </x:c>
      <x:c r="I88" s="8" t="n">
        <x:v>22.71866292008058</x:v>
      </x:c>
      <x:c r="J88" s="8" t="n">
        <x:v>0</x:v>
      </x:c>
      <x:c r="K88" s="14" t="b">
        <x:v>0</x:v>
      </x:c>
    </x:row>
    <x:row r="89" ht="36" customHeight="1">
      <x:c r="A89" s="8" t="str">
        <x:v>Liquidity-first</x:v>
      </x:c>
      <x:c r="B89" s="8" t="str">
        <x:v>Moderate spread</x:v>
      </x:c>
      <x:c r="C89" s="22" t="n">
        <x:v>5</x:v>
      </x:c>
      <x:c r="D89" s="8" t="n">
        <x:v>1869.56317552131</x:v>
      </x:c>
      <x:c r="E89" s="8" t="n">
        <x:v>64.42174113625381</x:v>
      </x:c>
      <x:c r="F89" s="8" t="n">
        <x:v>359.94886878962575</x:v>
      </x:c>
      <x:c r="G89" s="8" t="n">
        <x:v>0</x:v>
      </x:c>
      <x:c r="H89" s="8" t="n">
        <x:v>-0.19253100055806213</x:v>
      </x:c>
      <x:c r="I89" s="8" t="n">
        <x:v>29.020686844944642</x:v>
      </x:c>
      <x:c r="J89" s="8" t="n">
        <x:v>0</x:v>
      </x:c>
      <x:c r="K89" s="14" t="b">
        <x:v>0</x:v>
      </x:c>
    </x:row>
    <x:row r="90" ht="36" customHeight="1">
      <x:c r="A90" s="8" t="str">
        <x:v>Mixed consideration</x:v>
      </x:c>
      <x:c r="B90" s="8" t="str">
        <x:v>Moderate spread</x:v>
      </x:c>
      <x:c r="C90" s="22" t="n">
        <x:v>1</x:v>
      </x:c>
      <x:c r="D90" s="8" t="n">
        <x:v>1577.2999999999993</x:v>
      </x:c>
      <x:c r="E90" s="8" t="n">
        <x:v>77.66763959390863</x:v>
      </x:c>
      <x:c r="F90" s="8" t="n">
        <x:v>750</x:v>
      </x:c>
      <x:c r="G90" s="8" t="n">
        <x:v>1284.9550452854467</x:v>
      </x:c>
      <x:c r="H90" s="8" t="n">
        <x:v>0.33915871760948896</x:v>
      </x:c>
      <x:c r="I90" s="8" t="n">
        <x:v>20.30832928935444</x:v>
      </x:c>
      <x:c r="J90" s="8" t="n">
        <x:v>0</x:v>
      </x:c>
      <x:c r="K90" s="14" t="b">
        <x:v>1</x:v>
      </x:c>
    </x:row>
    <x:row r="91" ht="36" customHeight="1">
      <x:c r="A91" s="8" t="str">
        <x:v>Mixed consideration</x:v>
      </x:c>
      <x:c r="B91" s="8" t="str">
        <x:v>Moderate spread</x:v>
      </x:c>
      <x:c r="C91" s="22" t="n">
        <x:v>2</x:v>
      </x:c>
      <x:c r="D91" s="8" t="n">
        <x:v>1668.0644999999975</x:v>
      </x:c>
      <x:c r="E91" s="8" t="n">
        <x:v>52.572752264272324</x:v>
      </x:c>
      <x:c r="F91" s="8" t="n">
        <x:v>750</x:v>
      </x:c>
      <x:c r="G91" s="8" t="n">
        <x:v>841.3247918466666</x:v>
      </x:c>
      <x:c r="H91" s="8" t="n">
        <x:v>0.05474895715763193</x:v>
      </x:c>
      <x:c r="I91" s="8" t="n">
        <x:v>31.72868887698675</x:v>
      </x:c>
      <x:c r="J91" s="8" t="n">
        <x:v>0</x:v>
      </x:c>
      <x:c r="K91" s="14" t="b">
        <x:v>1</x:v>
      </x:c>
    </x:row>
    <x:row r="92" ht="36" customHeight="1">
      <x:c r="A92" s="8" t="str">
        <x:v>Mixed consideration</x:v>
      </x:c>
      <x:c r="B92" s="8" t="str">
        <x:v>Moderate spread</x:v>
      </x:c>
      <x:c r="C92" s="22" t="n">
        <x:v>3</x:v>
      </x:c>
      <x:c r="D92" s="8" t="n">
        <x:v>1760.3347524999979</x:v>
      </x:c>
      <x:c r="E92" s="8" t="n">
        <x:v>31.97034209017333</x:v>
      </x:c>
      <x:c r="F92" s="8" t="n">
        <x:v>750</x:v>
      </x:c>
      <x:c r="G92" s="8" t="n">
        <x:v>286.23975533638645</x:v>
      </x:c>
      <x:c r="H92" s="8" t="n">
        <x:v>-0.2634500307427261</x:v>
      </x:c>
      <x:c r="I92" s="8" t="n">
        <x:v>55.06149254002099</x:v>
      </x:c>
      <x:c r="J92" s="8" t="n">
        <x:v>0</x:v>
      </x:c>
      <x:c r="K92" s="14" t="b">
        <x:v>1</x:v>
      </x:c>
    </x:row>
    <x:row r="93" ht="36" customHeight="1">
      <x:c r="A93" s="8" t="str">
        <x:v>Mixed consideration</x:v>
      </x:c>
      <x:c r="B93" s="8" t="str">
        <x:v>Moderate spread</x:v>
      </x:c>
      <x:c r="C93" s="22" t="n">
        <x:v>4</x:v>
      </x:c>
      <x:c r="D93" s="8" t="n">
        <x:v>1814.1531341124974</x:v>
      </x:c>
      <x:c r="E93" s="8" t="n">
        <x:v>10.877110702782685</x:v>
      </x:c>
      <x:c r="F93" s="8" t="n">
        <x:v>1081.4992841413832</x:v>
      </x:c>
      <x:c r="G93" s="8" t="n">
        <x:v>0</x:v>
      </x:c>
      <x:c r="H93" s="8" t="n">
        <x:v>-0.5961455313806593</x:v>
      </x:c>
      <x:c r="I93" s="8" t="n">
        <x:v>166.78630784261335</x:v>
      </x:c>
      <x:c r="J93" s="8" t="n">
        <x:v>0</x:v>
      </x:c>
      <x:c r="K93" s="14" t="b">
        <x:v>1</x:v>
      </x:c>
    </x:row>
    <x:row r="94" ht="36" customHeight="1">
      <x:c r="A94" s="8" t="str">
        <x:v>Mixed consideration</x:v>
      </x:c>
      <x:c r="B94" s="8" t="str">
        <x:v>Moderate spread</x:v>
      </x:c>
      <x:c r="C94" s="22" t="n">
        <x:v>5</x:v>
      </x:c>
      <x:c r="D94" s="8" t="n">
        <x:v>1869.56317552131</x:v>
      </x:c>
      <x:c r="E94" s="8" t="n">
        <x:v>0</x:v>
      </x:c>
      <x:c r="F94" s="8" t="n">
        <x:v>1735.0857382508623</x:v>
      </x:c>
      <x:c r="G94" s="8" t="n">
        <x:v>0</x:v>
      </x:c>
      <x:c r="H94" s="8" t="n">
        <x:v>-0.9280701294124762</x:v>
      </x:c>
      <x:c r="I94" s="8"/>
      <x:c r="J94" s="8" t="n">
        <x:v>0</x:v>
      </x:c>
      <x:c r="K94" s="14" t="b">
        <x:v>1</x:v>
      </x:c>
    </x:row>
    <x:row r="95" ht="36" customHeight="1">
      <x:c r="A95" s="8" t="str">
        <x:v>Cash-first</x:v>
      </x:c>
      <x:c r="B95" s="8" t="str">
        <x:v>Moderate synergies</x:v>
      </x:c>
      <x:c r="C95" s="22" t="n">
        <x:v>1</x:v>
      </x:c>
      <x:c r="D95" s="8" t="n">
        <x:v>1557.2999999999993</x:v>
      </x:c>
      <x:c r="E95" s="8" t="n">
        <x:v>141.93159898477157</x:v>
      </x:c>
      <x:c r="F95" s="8" t="n">
        <x:v>750</x:v>
      </x:c>
      <x:c r="G95" s="8" t="n">
        <x:v>2383.6860097524514</x:v>
      </x:c>
      <x:c r="H95" s="8" t="n">
        <x:v>1.0490502855920196</x:v>
      </x:c>
      <x:c r="I95" s="8" t="n">
        <x:v>10.972186681044075</x:v>
      </x:c>
      <x:c r="J95" s="8" t="n">
        <x:v>0</x:v>
      </x:c>
      <x:c r="K95" s="14" t="b">
        <x:v>0</x:v>
      </x:c>
    </x:row>
    <x:row r="96" ht="36" customHeight="1">
      <x:c r="A96" s="8" t="str">
        <x:v>Cash-first</x:v>
      </x:c>
      <x:c r="B96" s="8" t="str">
        <x:v>Moderate synergies</x:v>
      </x:c>
      <x:c r="C96" s="22" t="n">
        <x:v>2</x:v>
      </x:c>
      <x:c r="D96" s="8" t="n">
        <x:v>1618.0644999999975</x:v>
      </x:c>
      <x:c r="E96" s="8" t="n">
        <x:v>120.88037560952822</x:v>
      </x:c>
      <x:c r="F96" s="8" t="n">
        <x:v>750</x:v>
      </x:c>
      <x:c r="G96" s="8" t="n">
        <x:v>2028.786473822613</x:v>
      </x:c>
      <x:c r="H96" s="8" t="n">
        <x:v>0.7903186021463391</x:v>
      </x:c>
      <x:c r="I96" s="8" t="n">
        <x:v>13.385667374386086</x:v>
      </x:c>
      <x:c r="J96" s="8" t="n">
        <x:v>0</x:v>
      </x:c>
      <x:c r="K96" s="14" t="b">
        <x:v>0</x:v>
      </x:c>
    </x:row>
    <x:row r="97" ht="36" customHeight="1">
      <x:c r="A97" s="8" t="str">
        <x:v>Cash-first</x:v>
      </x:c>
      <x:c r="B97" s="8" t="str">
        <x:v>Moderate synergies</x:v>
      </x:c>
      <x:c r="C97" s="22" t="n">
        <x:v>3</x:v>
      </x:c>
      <x:c r="D97" s="8" t="n">
        <x:v>1690.3347524999979</x:v>
      </x:c>
      <x:c r="E97" s="8" t="n">
        <x:v>97.07218842935677</x:v>
      </x:c>
      <x:c r="F97" s="8" t="n">
        <x:v>750</x:v>
      </x:c>
      <x:c r="G97" s="8" t="n">
        <x:v>1575.0278220667203</x:v>
      </x:c>
      <x:c r="H97" s="8" t="n">
        <x:v>0.48808546404580966</x:v>
      </x:c>
      <x:c r="I97" s="8" t="n">
        <x:v>17.413172401383747</x:v>
      </x:c>
      <x:c r="J97" s="8" t="n">
        <x:v>0</x:v>
      </x:c>
      <x:c r="K97" s="14" t="b">
        <x:v>0</x:v>
      </x:c>
    </x:row>
    <x:row r="98" ht="36" customHeight="1">
      <x:c r="A98" s="8" t="str">
        <x:v>Cash-first</x:v>
      </x:c>
      <x:c r="B98" s="8" t="str">
        <x:v>Moderate synergies</x:v>
      </x:c>
      <x:c r="C98" s="22" t="n">
        <x:v>4</x:v>
      </x:c>
      <x:c r="D98" s="8" t="n">
        <x:v>1764.1531341124974</x:v>
      </x:c>
      <x:c r="E98" s="8" t="n">
        <x:v>74.38166932400321</x:v>
      </x:c>
      <x:c r="F98" s="8" t="n">
        <x:v>749.9999999999999</x:v>
      </x:c>
      <x:c r="G98" s="8" t="n">
        <x:v>1042.4172015548656</x:v>
      </x:c>
      <x:c r="H98" s="8" t="n">
        <x:v>0.16575499932548302</x:v>
      </x:c>
      <x:c r="I98" s="8" t="n">
        <x:v>23.71757921199544</x:v>
      </x:c>
      <x:c r="J98" s="8" t="n">
        <x:v>0</x:v>
      </x:c>
      <x:c r="K98" s="14" t="b">
        <x:v>0</x:v>
      </x:c>
    </x:row>
    <x:row r="99" ht="36" customHeight="1">
      <x:c r="A99" s="8" t="str">
        <x:v>Cash-first</x:v>
      </x:c>
      <x:c r="B99" s="8" t="str">
        <x:v>Moderate synergies</x:v>
      </x:c>
      <x:c r="C99" s="22" t="n">
        <x:v>5</x:v>
      </x:c>
      <x:c r="D99" s="8" t="n">
        <x:v>1819.56317552131</x:v>
      </x:c>
      <x:c r="E99" s="8" t="n">
        <x:v>61.35955356842945</x:v>
      </x:c>
      <x:c r="F99" s="8" t="n">
        <x:v>277.64958737829136</x:v>
      </x:c>
      <x:c r="G99" s="8" t="n">
        <x:v>0</x:v>
      </x:c>
      <x:c r="H99" s="8" t="n">
        <x:v>-0.1525913423142035</x:v>
      </x:c>
      <x:c r="I99" s="8" t="n">
        <x:v>29.65411365798311</x:v>
      </x:c>
      <x:c r="J99" s="8" t="n">
        <x:v>0</x:v>
      </x:c>
      <x:c r="K99" s="14" t="b">
        <x:v>0</x:v>
      </x:c>
    </x:row>
    <x:row r="100" ht="36" customHeight="1">
      <x:c r="A100" s="8" t="str">
        <x:v>Liquidity-first</x:v>
      </x:c>
      <x:c r="B100" s="8" t="str">
        <x:v>Moderate synergies</x:v>
      </x:c>
      <x:c r="C100" s="22" t="n">
        <x:v>1</x:v>
      </x:c>
      <x:c r="D100" s="8" t="n">
        <x:v>1557.2999999999993</x:v>
      </x:c>
      <x:c r="E100" s="8" t="n">
        <x:v>199.34276649746192</x:v>
      </x:c>
      <x:c r="F100" s="8" t="n">
        <x:v>750</x:v>
      </x:c>
      <x:c r="G100" s="8" t="n">
        <x:v>2439.9931163514366</x:v>
      </x:c>
      <x:c r="H100" s="8" t="n">
        <x:v>1.0852071639064005</x:v>
      </x:c>
      <x:c r="I100" s="8" t="n">
        <x:v>7.812172106178867</x:v>
      </x:c>
      <x:c r="J100" s="8" t="n">
        <x:v>0</x:v>
      </x:c>
      <x:c r="K100" s="14" t="b">
        <x:v>0</x:v>
      </x:c>
    </x:row>
    <x:row r="101" ht="36" customHeight="1">
      <x:c r="A101" s="8" t="str">
        <x:v>Liquidity-first</x:v>
      </x:c>
      <x:c r="B101" s="8" t="str">
        <x:v>Moderate synergies</x:v>
      </x:c>
      <x:c r="C101" s="22" t="n">
        <x:v>2</x:v>
      </x:c>
      <x:c r="D101" s="8" t="n">
        <x:v>1618.0644999999975</x:v>
      </x:c>
      <x:c r="E101" s="8" t="n">
        <x:v>124.39956977196476</x:v>
      </x:c>
      <x:c r="F101" s="8" t="n">
        <x:v>750</x:v>
      </x:c>
      <x:c r="G101" s="8" t="n">
        <x:v>2087.7329760434254</x:v>
      </x:c>
      <x:c r="H101" s="8" t="n">
        <x:v>0.8267488570717839</x:v>
      </x:c>
      <x:c r="I101" s="8" t="n">
        <x:v>13.00699434062393</x:v>
      </x:c>
      <x:c r="J101" s="8" t="n">
        <x:v>0</x:v>
      </x:c>
      <x:c r="K101" s="14" t="b">
        <x:v>0</x:v>
      </x:c>
    </x:row>
    <x:row r="102" ht="36" customHeight="1">
      <x:c r="A102" s="8" t="str">
        <x:v>Liquidity-first</x:v>
      </x:c>
      <x:c r="B102" s="8" t="str">
        <x:v>Moderate synergies</x:v>
      </x:c>
      <x:c r="C102" s="22" t="n">
        <x:v>3</x:v>
      </x:c>
      <x:c r="D102" s="8" t="n">
        <x:v>1690.3347524999979</x:v>
      </x:c>
      <x:c r="E102" s="8" t="n">
        <x:v>100.60897856260553</x:v>
      </x:c>
      <x:c r="F102" s="8" t="n">
        <x:v>750</x:v>
      </x:c>
      <x:c r="G102" s="8" t="n">
        <x:v>1636.6269168874694</x:v>
      </x:c>
      <x:c r="H102" s="8" t="n">
        <x:v>0.5245274142155286</x:v>
      </x:c>
      <x:c r="I102" s="8" t="n">
        <x:v>16.80103283672799</x:v>
      </x:c>
      <x:c r="J102" s="8" t="n">
        <x:v>0</x:v>
      </x:c>
      <x:c r="K102" s="14" t="b">
        <x:v>0</x:v>
      </x:c>
    </x:row>
    <x:row r="103" ht="36" customHeight="1">
      <x:c r="A103" s="8" t="str">
        <x:v>Liquidity-first</x:v>
      </x:c>
      <x:c r="B103" s="8" t="str">
        <x:v>Moderate synergies</x:v>
      </x:c>
      <x:c r="C103" s="22" t="n">
        <x:v>4</x:v>
      </x:c>
      <x:c r="D103" s="8" t="n">
        <x:v>1764.1531341124974</x:v>
      </x:c>
      <x:c r="E103" s="8" t="n">
        <x:v>78.07761501324816</x:v>
      </x:c>
      <x:c r="F103" s="8" t="n">
        <x:v>750</x:v>
      </x:c>
      <x:c r="G103" s="8" t="n">
        <x:v>1106.7882556425488</x:v>
      </x:c>
      <x:c r="H103" s="8" t="n">
        <x:v>0.20224335900524892</x:v>
      </x:c>
      <x:c r="I103" s="8" t="n">
        <x:v>22.594864530802546</x:v>
      </x:c>
      <x:c r="J103" s="8" t="n">
        <x:v>0</x:v>
      </x:c>
      <x:c r="K103" s="14" t="b">
        <x:v>0</x:v>
      </x:c>
    </x:row>
    <x:row r="104" ht="36" customHeight="1">
      <x:c r="A104" s="8" t="str">
        <x:v>Liquidity-first</x:v>
      </x:c>
      <x:c r="B104" s="8" t="str">
        <x:v>Moderate synergies</x:v>
      </x:c>
      <x:c r="C104" s="22" t="n">
        <x:v>5</x:v>
      </x:c>
      <x:c r="D104" s="8" t="n">
        <x:v>1819.56317552131</x:v>
      </x:c>
      <x:c r="E104" s="8" t="n">
        <x:v>65.17072447897488</x:v>
      </x:c>
      <x:c r="F104" s="8" t="n">
        <x:v>210.42015510769897</x:v>
      </x:c>
      <x:c r="G104" s="8" t="n">
        <x:v>0</x:v>
      </x:c>
      <x:c r="H104" s="8" t="n">
        <x:v>-0.11564322576896127</x:v>
      </x:c>
      <x:c r="I104" s="8" t="n">
        <x:v>27.91994703247975</x:v>
      </x:c>
      <x:c r="J104" s="8" t="n">
        <x:v>0</x:v>
      </x:c>
      <x:c r="K104" s="14" t="b">
        <x:v>0</x:v>
      </x:c>
    </x:row>
    <x:row r="105" ht="36" customHeight="1">
      <x:c r="A105" s="8" t="str">
        <x:v>Mixed consideration</x:v>
      </x:c>
      <x:c r="B105" s="8" t="str">
        <x:v>Moderate synergies</x:v>
      </x:c>
      <x:c r="C105" s="22" t="n">
        <x:v>1</x:v>
      </x:c>
      <x:c r="D105" s="8" t="n">
        <x:v>1557.2999999999993</x:v>
      </x:c>
      <x:c r="E105" s="8" t="n">
        <x:v>74.62195431472081</x:v>
      </x:c>
      <x:c r="F105" s="8" t="n">
        <x:v>750</x:v>
      </x:c>
      <x:c r="G105" s="8" t="n">
        <x:v>1297.670781326056</x:v>
      </x:c>
      <x:c r="H105" s="8" t="n">
        <x:v>0.3516796900571863</x:v>
      </x:c>
      <x:c r="I105" s="8" t="n">
        <x:v>20.869193447172798</x:v>
      </x:c>
      <x:c r="J105" s="8" t="n">
        <x:v>0</x:v>
      </x:c>
      <x:c r="K105" s="14" t="b">
        <x:v>1</x:v>
      </x:c>
    </x:row>
    <x:row r="106" ht="36" customHeight="1">
      <x:c r="A106" s="8" t="str">
        <x:v>Mixed consideration</x:v>
      </x:c>
      <x:c r="B106" s="8" t="str">
        <x:v>Moderate synergies</x:v>
      </x:c>
      <x:c r="C106" s="22" t="n">
        <x:v>2</x:v>
      </x:c>
      <x:c r="D106" s="8" t="n">
        <x:v>1618.0644999999975</x:v>
      </x:c>
      <x:c r="E106" s="8" t="n">
        <x:v>53.20853906630279</x:v>
      </x:c>
      <x:c r="F106" s="8" t="n">
        <x:v>750</x:v>
      </x:c>
      <x:c r="G106" s="8" t="n">
        <x:v>892.0173679887987</x:v>
      </x:c>
      <x:c r="H106" s="8" t="n">
        <x:v>0.08776990533368659</x:v>
      </x:c>
      <x:c r="I106" s="8" t="n">
        <x:v>30.409865190693143</x:v>
      </x:c>
      <x:c r="J106" s="8" t="n">
        <x:v>0</x:v>
      </x:c>
      <x:c r="K106" s="14" t="b">
        <x:v>1</x:v>
      </x:c>
    </x:row>
    <x:row r="107" ht="36" customHeight="1">
      <x:c r="A107" s="8" t="str">
        <x:v>Mixed consideration</x:v>
      </x:c>
      <x:c r="B107" s="8" t="str">
        <x:v>Moderate synergies</x:v>
      </x:c>
      <x:c r="C107" s="22" t="n">
        <x:v>3</x:v>
      </x:c>
      <x:c r="D107" s="8" t="n">
        <x:v>1690.3347524999979</x:v>
      </x:c>
      <x:c r="E107" s="8" t="n">
        <x:v>33.89665998357435</x:v>
      </x:c>
      <x:c r="F107" s="8" t="n">
        <x:v>750</x:v>
      </x:c>
      <x:c r="G107" s="8" t="n">
        <x:v>390.87706989856906</x:v>
      </x:c>
      <x:c r="H107" s="8" t="n">
        <x:v>-0.21245669212579915</x:v>
      </x:c>
      <x:c r="I107" s="8" t="n">
        <x:v>49.86729528275354</x:v>
      </x:c>
      <x:c r="J107" s="8" t="n">
        <x:v>0</x:v>
      </x:c>
      <x:c r="K107" s="14" t="b">
        <x:v>1</x:v>
      </x:c>
    </x:row>
    <x:row r="108" ht="36" customHeight="1">
      <x:c r="A108" s="8" t="str">
        <x:v>Mixed consideration</x:v>
      </x:c>
      <x:c r="B108" s="8" t="str">
        <x:v>Moderate synergies</x:v>
      </x:c>
      <x:c r="C108" s="22" t="n">
        <x:v>4</x:v>
      </x:c>
      <x:c r="D108" s="8" t="n">
        <x:v>1764.1531341124974</x:v>
      </x:c>
      <x:c r="E108" s="8" t="n">
        <x:v>14.853328656145624</x:v>
      </x:c>
      <x:c r="F108" s="8" t="n">
        <x:v>936.3798061141786</x:v>
      </x:c>
      <x:c r="G108" s="8" t="n">
        <x:v>0</x:v>
      </x:c>
      <x:c r="H108" s="8" t="n">
        <x:v>-0.5307814769635906</x:v>
      </x:c>
      <x:c r="I108" s="8" t="n">
        <x:v>118.77156797325506</x:v>
      </x:c>
      <x:c r="J108" s="8" t="n">
        <x:v>0</x:v>
      </x:c>
      <x:c r="K108" s="14" t="b">
        <x:v>1</x:v>
      </x:c>
    </x:row>
    <x:row r="109" ht="36" customHeight="1">
      <x:c r="A109" s="8" t="str">
        <x:v>Mixed consideration</x:v>
      </x:c>
      <x:c r="B109" s="8" t="str">
        <x:v>Moderate synergies</x:v>
      </x:c>
      <x:c r="C109" s="22" t="n">
        <x:v>5</x:v>
      </x:c>
      <x:c r="D109" s="8" t="n">
        <x:v>1819.56317552131</x:v>
      </x:c>
      <x:c r="E109" s="8" t="n">
        <x:v>0</x:v>
      </x:c>
      <x:c r="F109" s="8" t="n">
        <x:v>1552.4662602236576</x:v>
      </x:c>
      <x:c r="G109" s="8" t="n">
        <x:v>0</x:v>
      </x:c>
      <x:c r="H109" s="8" t="n">
        <x:v>-0.8532082211319052</x:v>
      </x:c>
      <x:c r="I109" s="8"/>
      <x:c r="J109" s="8" t="n">
        <x:v>0</x:v>
      </x:c>
      <x:c r="K109" s="14" t="b">
        <x:v>1</x:v>
      </x:c>
    </x:row>
    <x:row r="110" ht="36" customHeight="1">
      <x:c r="A110" s="8" t="str">
        <x:v>Cash-first</x:v>
      </x:c>
      <x:c r="B110" s="8" t="str">
        <x:v>Moderate combined</x:v>
      </x:c>
      <x:c r="C110" s="22" t="n">
        <x:v>1</x:v>
      </x:c>
      <x:c r="D110" s="8" t="n">
        <x:v>1201.4200000000005</x:v>
      </x:c>
      <x:c r="E110" s="8" t="n">
        <x:v>168.73362944162437</x:v>
      </x:c>
      <x:c r="F110" s="8" t="n">
        <x:v>750</x:v>
      </x:c>
      <x:c r="G110" s="8" t="n">
        <x:v>2892.628637047145</x:v>
      </x:c>
      <x:c r="H110" s="8" t="n">
        <x:v>1.783413491574257</x:v>
      </x:c>
      <x:c r="I110" s="8" t="n">
        <x:v>7.1202166632446415</x:v>
      </x:c>
      <x:c r="J110" s="8" t="n">
        <x:v>0</x:v>
      </x:c>
      <x:c r="K110" s="14" t="b">
        <x:v>0</x:v>
      </x:c>
    </x:row>
    <x:row r="111" ht="36" customHeight="1">
      <x:c r="A111" s="8" t="str">
        <x:v>Cash-first</x:v>
      </x:c>
      <x:c r="B111" s="8" t="str">
        <x:v>Moderate combined</x:v>
      </x:c>
      <x:c r="C111" s="22" t="n">
        <x:v>2</x:v>
      </x:c>
      <x:c r="D111" s="8" t="n">
        <x:v>1253.2875000000008</x:v>
      </x:c>
      <x:c r="E111" s="8" t="n">
        <x:v>180.94524824812245</x:v>
      </x:c>
      <x:c r="F111" s="8" t="n">
        <x:v>750</x:v>
      </x:c>
      <x:c r="G111" s="8" t="n">
        <x:v>2837.744408207551</x:v>
      </x:c>
      <x:c r="H111" s="8" t="n">
        <x:v>1.6658144346030335</x:v>
      </x:c>
      <x:c r="I111" s="8" t="n">
        <x:v>6.9263355193578855</x:v>
      </x:c>
      <x:c r="J111" s="8" t="n">
        <x:v>0</x:v>
      </x:c>
      <x:c r="K111" s="14" t="b">
        <x:v>0</x:v>
      </x:c>
    </x:row>
    <x:row r="112" ht="36" customHeight="1">
      <x:c r="A112" s="8" t="str">
        <x:v>Cash-first</x:v>
      </x:c>
      <x:c r="B112" s="8" t="str">
        <x:v>Moderate combined</x:v>
      </x:c>
      <x:c r="C112" s="22" t="n">
        <x:v>3</x:v>
      </x:c>
      <x:c r="D112" s="8" t="n">
        <x:v>1316.4383274999989</x:v>
      </x:c>
      <x:c r="E112" s="8" t="n">
        <x:v>173.2389658281213</x:v>
      </x:c>
      <x:c r="F112" s="8" t="n">
        <x:v>749.9999999999999</x:v>
      </x:c>
      <x:c r="G112" s="8" t="n">
        <x:v>2702.4516584273147</x:v>
      </x:c>
      <x:c r="H112" s="8" t="n">
        <x:v>1.483131885209652</x:v>
      </x:c>
      <x:c r="I112" s="8" t="n">
        <x:v>7.5989735981574755</x:v>
      </x:c>
      <x:c r="J112" s="8" t="n">
        <x:v>0</x:v>
      </x:c>
      <x:c r="K112" s="14" t="b">
        <x:v>0</x:v>
      </x:c>
    </x:row>
    <x:row r="113" ht="36" customHeight="1">
      <x:c r="A113" s="8" t="str">
        <x:v>Cash-first</x:v>
      </x:c>
      <x:c r="B113" s="8" t="str">
        <x:v>Moderate combined</x:v>
      </x:c>
      <x:c r="C113" s="22" t="n">
        <x:v>4</x:v>
      </x:c>
      <x:c r="D113" s="8" t="n">
        <x:v>1380.9092984874992</x:v>
      </x:c>
      <x:c r="E113" s="8" t="n">
        <x:v>171.05167983724476</x:v>
      </x:c>
      <x:c r="F113" s="8" t="n">
        <x:v>118.67551581509007</x:v>
      </x:c>
      <x:c r="G113" s="8" t="n">
        <x:v>1878.8934010152282</x:v>
      </x:c>
      <x:c r="H113" s="8" t="n">
        <x:v>1.2746803045848798</x:v>
      </x:c>
      <x:c r="I113" s="8" t="n">
        <x:v>8.073053125239289</x:v>
      </x:c>
      <x:c r="J113" s="8" t="n">
        <x:v>0</x:v>
      </x:c>
      <x:c r="K113" s="14" t="b">
        <x:v>0</x:v>
      </x:c>
    </x:row>
    <x:row r="114" ht="36" customHeight="1">
      <x:c r="A114" s="8" t="str">
        <x:v>Cash-first</x:v>
      </x:c>
      <x:c r="B114" s="8" t="str">
        <x:v>Moderate combined</x:v>
      </x:c>
      <x:c r="C114" s="22" t="n">
        <x:v>5</x:v>
      </x:c>
      <x:c r="D114" s="8" t="n">
        <x:v>1426.738244005687</x:v>
      </x:c>
      <x:c r="E114" s="8" t="n">
        <x:v>141.95647208121824</x:v>
      </x:c>
      <x:c r="F114" s="8" t="n">
        <x:v>0</x:v>
      </x:c>
      <x:c r="G114" s="8" t="n">
        <x:v>1525.169983036314</x:v>
      </x:c>
      <x:c r="H114" s="8" t="n">
        <x:v>1.0689907482638663</x:v>
      </x:c>
      <x:c r="I114" s="8" t="n">
        <x:v>10.050533259162712</x:v>
      </x:c>
      <x:c r="J114" s="8" t="n">
        <x:v>1525.169983036314</x:v>
      </x:c>
      <x:c r="K114" s="14" t="b">
        <x:v>0</x:v>
      </x:c>
    </x:row>
    <x:row r="115" ht="36" customHeight="1">
      <x:c r="A115" s="8" t="str">
        <x:v>Liquidity-first</x:v>
      </x:c>
      <x:c r="B115" s="8" t="str">
        <x:v>Moderate combined</x:v>
      </x:c>
      <x:c r="C115" s="22" t="n">
        <x:v>1</x:v>
      </x:c>
      <x:c r="D115" s="8" t="n">
        <x:v>1201.4200000000005</x:v>
      </x:c>
      <x:c r="E115" s="8" t="n">
        <x:v>243.80977157360405</x:v>
      </x:c>
      <x:c r="F115" s="8" t="n">
        <x:v>750</x:v>
      </x:c>
      <x:c r="G115" s="8" t="n">
        <x:v>2962.184474610597</x:v>
      </x:c>
      <x:c r="H115" s="8" t="n">
        <x:v>1.8413081808281835</x:v>
      </x:c>
      <x:c r="I115" s="8" t="n">
        <x:v>4.927694211129279</x:v>
      </x:c>
      <x:c r="J115" s="8" t="n">
        <x:v>0</x:v>
      </x:c>
      <x:c r="K115" s="14" t="b">
        <x:v>0</x:v>
      </x:c>
    </x:row>
    <x:row r="116" ht="36" customHeight="1">
      <x:c r="A116" s="8" t="str">
        <x:v>Liquidity-first</x:v>
      </x:c>
      <x:c r="B116" s="8" t="str">
        <x:v>Moderate combined</x:v>
      </x:c>
      <x:c r="C116" s="22" t="n">
        <x:v>2</x:v>
      </x:c>
      <x:c r="D116" s="8" t="n">
        <x:v>1253.2875000000008</x:v>
      </x:c>
      <x:c r="E116" s="8" t="n">
        <x:v>190.00021915537425</x:v>
      </x:c>
      <x:c r="F116" s="8" t="n">
        <x:v>750</x:v>
      </x:c>
      <x:c r="G116" s="8" t="n">
        <x:v>2914.091473951442</x:v>
      </x:c>
      <x:c r="H116" s="8" t="n">
        <x:v>1.7267318743316602</x:v>
      </x:c>
      <x:c r="I116" s="8" t="n">
        <x:v>6.596242391568583</x:v>
      </x:c>
      <x:c r="J116" s="8" t="n">
        <x:v>0</x:v>
      </x:c>
      <x:c r="K116" s="14" t="b">
        <x:v>0</x:v>
      </x:c>
    </x:row>
    <x:row r="117" ht="36" customHeight="1">
      <x:c r="A117" s="8" t="str">
        <x:v>Liquidity-first</x:v>
      </x:c>
      <x:c r="B117" s="8" t="str">
        <x:v>Moderate combined</x:v>
      </x:c>
      <x:c r="C117" s="22" t="n">
        <x:v>3</x:v>
      </x:c>
      <x:c r="D117" s="8" t="n">
        <x:v>1316.4383274999989</x:v>
      </x:c>
      <x:c r="E117" s="8" t="n">
        <x:v>182.35764286090298</x:v>
      </x:c>
      <x:c r="F117" s="8" t="n">
        <x:v>750</x:v>
      </x:c>
      <x:c r="G117" s="8" t="n">
        <x:v>2785.637731945792</x:v>
      </x:c>
      <x:c r="H117" s="8" t="n">
        <x:v>1.546322140142789</x:v>
      </x:c>
      <x:c r="I117" s="8" t="n">
        <x:v>7.2189917946249125</x:v>
      </x:c>
      <x:c r="J117" s="8" t="n">
        <x:v>0</x:v>
      </x:c>
      <x:c r="K117" s="14" t="b">
        <x:v>0</x:v>
      </x:c>
    </x:row>
    <x:row r="118" ht="36" customHeight="1">
      <x:c r="A118" s="8" t="str">
        <x:v>Liquidity-first</x:v>
      </x:c>
      <x:c r="B118" s="8" t="str">
        <x:v>Moderate combined</x:v>
      </x:c>
      <x:c r="C118" s="22" t="n">
        <x:v>4</x:v>
      </x:c>
      <x:c r="D118" s="8" t="n">
        <x:v>1380.9092984874992</x:v>
      </x:c>
      <x:c r="E118" s="8" t="n">
        <x:v>180.41117771206987</x:v>
      </x:c>
      <x:c r="F118" s="8" t="n">
        <x:v>310.35987725743604</x:v>
      </x:c>
      <x:c r="G118" s="8" t="n">
        <x:v>2160.7834593821703</x:v>
      </x:c>
      <x:c r="H118" s="8" t="n">
        <x:v>1.3400037092598993</x:v>
      </x:c>
      <x:c r="I118" s="8" t="n">
        <x:v>7.654233601264904</x:v>
      </x:c>
      <x:c r="J118" s="8" t="n">
        <x:v>0</x:v>
      </x:c>
      <x:c r="K118" s="14" t="b">
        <x:v>0</x:v>
      </x:c>
    </x:row>
    <x:row r="119" ht="36" customHeight="1">
      <x:c r="A119" s="8" t="str">
        <x:v>Liquidity-first</x:v>
      </x:c>
      <x:c r="B119" s="8" t="str">
        <x:v>Moderate combined</x:v>
      </x:c>
      <x:c r="C119" s="22" t="n">
        <x:v>5</x:v>
      </x:c>
      <x:c r="D119" s="8" t="n">
        <x:v>1426.738244005687</x:v>
      </x:c>
      <x:c r="E119" s="8" t="n">
        <x:v>164.50767675057364</x:v>
      </x:c>
      <x:c r="F119" s="8" t="n">
        <x:v>0</x:v>
      </x:c>
      <x:c r="G119" s="8" t="n">
        <x:v>1632.289083462927</x:v>
      </x:c>
      <x:c r="H119" s="8" t="n">
        <x:v>1.1440704630445309</x:v>
      </x:c>
      <x:c r="I119" s="8" t="n">
        <x:v>8.67277608065006</x:v>
      </x:c>
      <x:c r="J119" s="8" t="n">
        <x:v>1632.289083462927</x:v>
      </x:c>
      <x:c r="K119" s="14" t="b">
        <x:v>0</x:v>
      </x:c>
    </x:row>
    <x:row r="120" ht="36" customHeight="1">
      <x:c r="A120" s="8" t="str">
        <x:v>Mixed consideration</x:v>
      </x:c>
      <x:c r="B120" s="8" t="str">
        <x:v>Moderate combined</x:v>
      </x:c>
      <x:c r="C120" s="22" t="n">
        <x:v>1</x:v>
      </x:c>
      <x:c r="D120" s="8" t="n">
        <x:v>1201.4200000000005</x:v>
      </x:c>
      <x:c r="E120" s="8" t="n">
        <x:v>80.71332487309644</x:v>
      </x:c>
      <x:c r="F120" s="8" t="n">
        <x:v>750</x:v>
      </x:c>
      <x:c r="G120" s="8" t="n">
        <x:v>1791.080413696891</x:v>
      </x:c>
      <x:c r="H120" s="8" t="n">
        <x:v>0.8665416038495201</x:v>
      </x:c>
      <x:c r="I120" s="8" t="n">
        <x:v>14.885026752261332</x:v>
      </x:c>
      <x:c r="J120" s="8" t="n">
        <x:v>0</x:v>
      </x:c>
      <x:c r="K120" s="14" t="b">
        <x:v>0</x:v>
      </x:c>
    </x:row>
    <x:row r="121" ht="36" customHeight="1">
      <x:c r="A121" s="8" t="str">
        <x:v>Mixed consideration</x:v>
      </x:c>
      <x:c r="B121" s="8" t="str">
        <x:v>Moderate combined</x:v>
      </x:c>
      <x:c r="C121" s="22" t="n">
        <x:v>2</x:v>
      </x:c>
      <x:c r="D121" s="8" t="n">
        <x:v>1253.2875000000008</x:v>
      </x:c>
      <x:c r="E121" s="8" t="n">
        <x:v>91.15159342578744</x:v>
      </x:c>
      <x:c r="F121" s="8" t="n">
        <x:v>750</x:v>
      </x:c>
      <x:c r="G121" s="8" t="n">
        <x:v>1668.8509437405457</x:v>
      </x:c>
      <x:c r="H121" s="8" t="n">
        <x:v>0.7331525637497742</x:v>
      </x:c>
      <x:c r="I121" s="8" t="n">
        <x:v>13.749485367147042</x:v>
      </x:c>
      <x:c r="J121" s="8" t="n">
        <x:v>0</x:v>
      </x:c>
      <x:c r="K121" s="14" t="b">
        <x:v>0</x:v>
      </x:c>
    </x:row>
    <x:row r="122" ht="36" customHeight="1">
      <x:c r="A122" s="8" t="str">
        <x:v>Mixed consideration</x:v>
      </x:c>
      <x:c r="B122" s="8" t="str">
        <x:v>Moderate combined</x:v>
      </x:c>
      <x:c r="C122" s="22" t="n">
        <x:v>3</x:v>
      </x:c>
      <x:c r="D122" s="8" t="n">
        <x:v>1316.4383274999989</x:v>
      </x:c>
      <x:c r="E122" s="8" t="n">
        <x:v>81.91226103751222</x:v>
      </x:c>
      <x:c r="F122" s="8" t="n">
        <x:v>750</x:v>
      </x:c>
      <x:c r="G122" s="8" t="n">
        <x:v>1465.0631653673531</x:v>
      </x:c>
      <x:c r="H122" s="8" t="n">
        <x:v>0.5431801478503775</x:v>
      </x:c>
      <x:c r="I122" s="8" t="n">
        <x:v>16.071322056378445</x:v>
      </x:c>
      <x:c r="J122" s="8" t="n">
        <x:v>0</x:v>
      </x:c>
      <x:c r="K122" s="14" t="b">
        <x:v>0</x:v>
      </x:c>
    </x:row>
    <x:row r="123" ht="36" customHeight="1">
      <x:c r="A123" s="8" t="str">
        <x:v>Mixed consideration</x:v>
      </x:c>
      <x:c r="B123" s="8" t="str">
        <x:v>Moderate combined</x:v>
      </x:c>
      <x:c r="C123" s="22" t="n">
        <x:v>4</x:v>
      </x:c>
      <x:c r="D123" s="8" t="n">
        <x:v>1380.9092984874992</x:v>
      </x:c>
      <x:c r="E123" s="8" t="n">
        <x:v>75.36044386534202</x:v>
      </x:c>
      <x:c r="F123" s="8" t="n">
        <x:v>475.14208052402967</x:v>
      </x:c>
      <x:c r="G123" s="8" t="n">
        <x:v>926.2030456852792</x:v>
      </x:c>
      <x:c r="H123" s="8" t="n">
        <x:v>0.32664054449868185</x:v>
      </x:c>
      <x:c r="I123" s="8" t="n">
        <x:v>18.32406004607643</x:v>
      </x:c>
      <x:c r="J123" s="8" t="n">
        <x:v>0</x:v>
      </x:c>
      <x:c r="K123" s="14" t="b">
        <x:v>0</x:v>
      </x:c>
    </x:row>
    <x:row r="124" ht="36" customHeight="1">
      <x:c r="A124" s="8" t="str">
        <x:v>Mixed consideration</x:v>
      </x:c>
      <x:c r="B124" s="8" t="str">
        <x:v>Moderate combined</x:v>
      </x:c>
      <x:c r="C124" s="22" t="n">
        <x:v>5</x:v>
      </x:c>
      <x:c r="D124" s="8" t="n">
        <x:v>1426.738244005687</x:v>
      </x:c>
      <x:c r="E124" s="8" t="n">
        <x:v>65.74124365482234</x:v>
      </x:c>
      <x:c r="F124" s="8" t="n">
        <x:v>0</x:v>
      </x:c>
      <x:c r="G124" s="8" t="n">
        <x:v>158.85164167762895</x:v>
      </x:c>
      <x:c r="H124" s="8" t="n">
        <x:v>0.11133902265887237</x:v>
      </x:c>
      <x:c r="I124" s="8" t="n">
        <x:v>21.70233121078218</x:v>
      </x:c>
      <x:c r="J124" s="8" t="n">
        <x:v>158.85164167762895</x:v>
      </x:c>
      <x:c r="K124" s="14" t="b">
        <x:v>0</x:v>
      </x:c>
    </x:row>
    <x:row r="125" ht="36" customHeight="1">
      <x:c r="A125" s="8" t="str">
        <x:v>Cash-first</x:v>
      </x:c>
      <x:c r="B125" s="8" t="str">
        <x:v>Severe revenue</x:v>
      </x:c>
      <x:c r="C125" s="22" t="n">
        <x:v>1</x:v>
      </x:c>
      <x:c r="D125" s="8" t="n">
        <x:v>1184.9299999999998</x:v>
      </x:c>
      <x:c r="E125" s="8" t="n">
        <x:v>141.93159898477157</x:v>
      </x:c>
      <x:c r="F125" s="8" t="n">
        <x:v>750</x:v>
      </x:c>
      <x:c r="G125" s="8" t="n">
        <x:v>2484.159280300397</x:v>
      </x:c>
      <x:c r="H125" s="8" t="n">
        <x:v>1.4635120051820758</x:v>
      </x:c>
      <x:c r="I125" s="8" t="n">
        <x:v>8.348598962287008</x:v>
      </x:c>
      <x:c r="J125" s="8" t="n">
        <x:v>0</x:v>
      </x:c>
      <x:c r="K125" s="14" t="b">
        <x:v>0</x:v>
      </x:c>
    </x:row>
    <x:row r="126" ht="36" customHeight="1">
      <x:c r="A126" s="8" t="str">
        <x:v>Cash-first</x:v>
      </x:c>
      <x:c r="B126" s="8" t="str">
        <x:v>Severe revenue</x:v>
      </x:c>
      <x:c r="C126" s="22" t="n">
        <x:v>2</x:v>
      </x:c>
      <x:c r="D126" s="8" t="n">
        <x:v>1265.885249999999</x:v>
      </x:c>
      <x:c r="E126" s="8" t="n">
        <x:v>127.15995501877481</x:v>
      </x:c>
      <x:c r="F126" s="8" t="n">
        <x:v>750</x:v>
      </x:c>
      <x:c r="G126" s="8" t="n">
        <x:v>2345.3050106911905</x:v>
      </x:c>
      <x:c r="H126" s="8" t="n">
        <x:v>1.2602287693068484</x:v>
      </x:c>
      <x:c r="I126" s="8" t="n">
        <x:v>9.955062109082176</x:v>
      </x:c>
      <x:c r="J126" s="8" t="n">
        <x:v>0</x:v>
      </x:c>
      <x:c r="K126" s="14" t="b">
        <x:v>0</x:v>
      </x:c>
    </x:row>
    <x:row r="127" ht="36" customHeight="1">
      <x:c r="A127" s="8" t="str">
        <x:v>Cash-first</x:v>
      </x:c>
      <x:c r="B127" s="8" t="str">
        <x:v>Severe revenue</x:v>
      </x:c>
      <x:c r="C127" s="22" t="n">
        <x:v>3</x:v>
      </x:c>
      <x:c r="D127" s="8" t="n">
        <x:v>1348.1010212499993</x:v>
      </x:c>
      <x:c r="E127" s="8" t="n">
        <x:v>116.06330064147143</x:v>
      </x:c>
      <x:c r="F127" s="8" t="n">
        <x:v>749.9999999999999</x:v>
      </x:c>
      <x:c r="G127" s="8" t="n">
        <x:v>2108.3461644021745</x:v>
      </x:c>
      <x:c r="H127" s="8" t="n">
        <x:v>1.0075996850315234</x:v>
      </x:c>
      <x:c r="I127" s="8" t="n">
        <x:v>11.615222157212195</x:v>
      </x:c>
      <x:c r="J127" s="8" t="n">
        <x:v>0</x:v>
      </x:c>
      <x:c r="K127" s="14" t="b">
        <x:v>0</x:v>
      </x:c>
    </x:row>
    <x:row r="128" ht="36" customHeight="1">
      <x:c r="A128" s="8" t="str">
        <x:v>Cash-first</x:v>
      </x:c>
      <x:c r="B128" s="8" t="str">
        <x:v>Severe revenue</x:v>
      </x:c>
      <x:c r="C128" s="22" t="n">
        <x:v>4</x:v>
      </x:c>
      <x:c r="D128" s="8" t="n">
        <x:v>1391.6135595812493</x:v>
      </x:c>
      <x:c r="E128" s="8" t="n">
        <x:v>105.99116190371087</x:v>
      </x:c>
      <x:c r="F128" s="8" t="n">
        <x:v>566.3254033619004</x:v>
      </x:c>
      <x:c r="G128" s="8" t="n">
        <x:v>1639.700949777485</x:v>
      </x:c>
      <x:c r="H128" s="8" t="n">
        <x:v>0.771317251851566</x:v>
      </x:c>
      <x:c r="I128" s="8" t="n">
        <x:v>13.129524524370058</x:v>
      </x:c>
      <x:c r="J128" s="8" t="n">
        <x:v>0</x:v>
      </x:c>
      <x:c r="K128" s="14" t="b">
        <x:v>0</x:v>
      </x:c>
    </x:row>
    <x:row r="129" ht="36" customHeight="1">
      <x:c r="A129" s="8" t="str">
        <x:v>Cash-first</x:v>
      </x:c>
      <x:c r="B129" s="8" t="str">
        <x:v>Severe revenue</x:v>
      </x:c>
      <x:c r="C129" s="22" t="n">
        <x:v>5</x:v>
      </x:c>
      <x:c r="D129" s="8" t="n">
        <x:v>1436.4601116267788</x:v>
      </x:c>
      <x:c r="E129" s="8" t="n">
        <x:v>96.6470569866491</x:v>
      </x:c>
      <x:c r="F129" s="8" t="n">
        <x:v>0</x:v>
      </x:c>
      <x:c r="G129" s="8" t="n">
        <x:v>760.2430902138409</x:v>
      </x:c>
      <x:c r="H129" s="8" t="n">
        <x:v>0.5292476164568691</x:v>
      </x:c>
      <x:c r="I129" s="8" t="n">
        <x:v>14.862947268277527</x:v>
      </x:c>
      <x:c r="J129" s="8" t="n">
        <x:v>760.2430902138409</x:v>
      </x:c>
      <x:c r="K129" s="14" t="b">
        <x:v>0</x:v>
      </x:c>
    </x:row>
    <x:row r="130" ht="36" customHeight="1">
      <x:c r="A130" s="8" t="str">
        <x:v>Liquidity-first</x:v>
      </x:c>
      <x:c r="B130" s="8" t="str">
        <x:v>Severe revenue</x:v>
      </x:c>
      <x:c r="C130" s="22" t="n">
        <x:v>1</x:v>
      </x:c>
      <x:c r="D130" s="8" t="n">
        <x:v>1184.9299999999998</x:v>
      </x:c>
      <x:c r="E130" s="8" t="n">
        <x:v>199.34276649746192</x:v>
      </x:c>
      <x:c r="F130" s="8" t="n">
        <x:v>750</x:v>
      </x:c>
      <x:c r="G130" s="8" t="n">
        <x:v>2540.466386899381</x:v>
      </x:c>
      <x:c r="H130" s="8" t="n">
        <x:v>1.5110313578855978</x:v>
      </x:c>
      <x:c r="I130" s="8" t="n">
        <x:v>5.944183582979855</x:v>
      </x:c>
      <x:c r="J130" s="8" t="n">
        <x:v>0</x:v>
      </x:c>
      <x:c r="K130" s="14" t="b">
        <x:v>0</x:v>
      </x:c>
    </x:row>
    <x:row r="131" ht="36" customHeight="1">
      <x:c r="A131" s="8" t="str">
        <x:v>Liquidity-first</x:v>
      </x:c>
      <x:c r="B131" s="8" t="str">
        <x:v>Severe revenue</x:v>
      </x:c>
      <x:c r="C131" s="22" t="n">
        <x:v>2</x:v>
      </x:c>
      <x:c r="D131" s="8" t="n">
        <x:v>1265.885249999999</x:v>
      </x:c>
      <x:c r="E131" s="8" t="n">
        <x:v>130.67914918121133</x:v>
      </x:c>
      <x:c r="F131" s="8" t="n">
        <x:v>750</x:v>
      </x:c>
      <x:c r="G131" s="8" t="n">
        <x:v>2404.2515129120025</x:v>
      </x:c>
      <x:c r="H131" s="8" t="n">
        <x:v>1.3067942081732953</x:v>
      </x:c>
      <x:c r="I131" s="8" t="n">
        <x:v>9.686971930346822</x:v>
      </x:c>
      <x:c r="J131" s="8" t="n">
        <x:v>0</x:v>
      </x:c>
      <x:c r="K131" s="14" t="b">
        <x:v>0</x:v>
      </x:c>
    </x:row>
    <x:row r="132" ht="36" customHeight="1">
      <x:c r="A132" s="8" t="str">
        <x:v>Liquidity-first</x:v>
      </x:c>
      <x:c r="B132" s="8" t="str">
        <x:v>Severe revenue</x:v>
      </x:c>
      <x:c r="C132" s="22" t="n">
        <x:v>3</x:v>
      </x:c>
      <x:c r="D132" s="8" t="n">
        <x:v>1348.1010212499993</x:v>
      </x:c>
      <x:c r="E132" s="8" t="n">
        <x:v>119.60009077472014</x:v>
      </x:c>
      <x:c r="F132" s="8" t="n">
        <x:v>750</x:v>
      </x:c>
      <x:c r="G132" s="8" t="n">
        <x:v>2169.945259222923</x:v>
      </x:c>
      <x:c r="H132" s="8" t="n">
        <x:v>1.0532929185872937</x:v>
      </x:c>
      <x:c r="I132" s="8" t="n">
        <x:v>11.271739114222706</x:v>
      </x:c>
      <x:c r="J132" s="8" t="n">
        <x:v>0</x:v>
      </x:c>
      <x:c r="K132" s="14" t="b">
        <x:v>0</x:v>
      </x:c>
    </x:row>
    <x:row r="133" ht="36" customHeight="1">
      <x:c r="A133" s="8" t="str">
        <x:v>Liquidity-first</x:v>
      </x:c>
      <x:c r="B133" s="8" t="str">
        <x:v>Severe revenue</x:v>
      </x:c>
      <x:c r="C133" s="22" t="n">
        <x:v>4</x:v>
      </x:c>
      <x:c r="D133" s="8" t="n">
        <x:v>1391.6135595812493</x:v>
      </x:c>
      <x:c r="E133" s="8" t="n">
        <x:v>109.63631367490773</x:v>
      </x:c>
      <x:c r="F133" s="8" t="n">
        <x:v>525.6089976949872</x:v>
      </x:c>
      <x:c r="G133" s="8" t="n">
        <x:v>1663.317502759718</x:v>
      </x:c>
      <x:c r="H133" s="8" t="n">
        <x:v>0.8175462916638143</x:v>
      </x:c>
      <x:c r="I133" s="8" t="n">
        <x:v>12.692998450382463</x:v>
      </x:c>
      <x:c r="J133" s="8" t="n">
        <x:v>0</x:v>
      </x:c>
      <x:c r="K133" s="14" t="b">
        <x:v>0</x:v>
      </x:c>
    </x:row>
    <x:row r="134" ht="36" customHeight="1">
      <x:c r="A134" s="8" t="str">
        <x:v>Liquidity-first</x:v>
      </x:c>
      <x:c r="B134" s="8" t="str">
        <x:v>Severe revenue</x:v>
      </x:c>
      <x:c r="C134" s="22" t="n">
        <x:v>5</x:v>
      </x:c>
      <x:c r="D134" s="8" t="n">
        <x:v>1436.4601116267788</x:v>
      </x:c>
      <x:c r="E134" s="8" t="n">
        <x:v>98.0640501655831</x:v>
      </x:c>
      <x:c r="F134" s="8" t="n">
        <x:v>0</x:v>
      </x:c>
      <x:c r="G134" s="8" t="n">
        <x:v>825.6387937471877</x:v>
      </x:c>
      <x:c r="H134" s="8" t="n">
        <x:v>0.5747732130286297</x:v>
      </x:c>
      <x:c r="I134" s="8" t="n">
        <x:v>14.648182582723102</x:v>
      </x:c>
      <x:c r="J134" s="8" t="n">
        <x:v>825.6387937471877</x:v>
      </x:c>
      <x:c r="K134" s="14" t="b">
        <x:v>0</x:v>
      </x:c>
    </x:row>
    <x:row r="135" ht="36" customHeight="1">
      <x:c r="A135" s="8" t="str">
        <x:v>Mixed consideration</x:v>
      </x:c>
      <x:c r="B135" s="8" t="str">
        <x:v>Severe revenue</x:v>
      </x:c>
      <x:c r="C135" s="22" t="n">
        <x:v>1</x:v>
      </x:c>
      <x:c r="D135" s="8" t="n">
        <x:v>1184.9299999999998</x:v>
      </x:c>
      <x:c r="E135" s="8" t="n">
        <x:v>74.62195431472081</x:v>
      </x:c>
      <x:c r="F135" s="8" t="n">
        <x:v>750</x:v>
      </x:c>
      <x:c r="G135" s="8" t="n">
        <x:v>1398.1440518740008</x:v>
      </x:c>
      <x:c r="H135" s="8" t="n">
        <x:v>0.5469893174060922</x:v>
      </x:c>
      <x:c r="I135" s="8" t="n">
        <x:v>15.879107038694194</x:v>
      </x:c>
      <x:c r="J135" s="8" t="n">
        <x:v>0</x:v>
      </x:c>
      <x:c r="K135" s="14" t="b">
        <x:v>0</x:v>
      </x:c>
    </x:row>
    <x:row r="136" ht="36" customHeight="1">
      <x:c r="A136" s="8" t="str">
        <x:v>Mixed consideration</x:v>
      </x:c>
      <x:c r="B136" s="8" t="str">
        <x:v>Severe revenue</x:v>
      </x:c>
      <x:c r="C136" s="22" t="n">
        <x:v>2</x:v>
      </x:c>
      <x:c r="D136" s="8" t="n">
        <x:v>1265.885249999999</x:v>
      </x:c>
      <x:c r="E136" s="8" t="n">
        <x:v>59.28400324212504</x:v>
      </x:c>
      <x:c r="F136" s="8" t="n">
        <x:v>750</x:v>
      </x:c>
      <x:c r="G136" s="8" t="n">
        <x:v>1208.3828184323072</x:v>
      </x:c>
      <x:c r="H136" s="8" t="n">
        <x:v>0.3621045576068665</x:v>
      </x:c>
      <x:c r="I136" s="8" t="n">
        <x:v>21.352897590770443</x:v>
      </x:c>
      <x:c r="J136" s="8" t="n">
        <x:v>0</x:v>
      </x:c>
      <x:c r="K136" s="14" t="b">
        <x:v>0</x:v>
      </x:c>
    </x:row>
    <x:row r="137" ht="36" customHeight="1">
      <x:c r="A137" s="8" t="str">
        <x:v>Mixed consideration</x:v>
      </x:c>
      <x:c r="B137" s="8" t="str">
        <x:v>Severe revenue</x:v>
      </x:c>
      <x:c r="C137" s="22" t="n">
        <x:v>3</x:v>
      </x:c>
      <x:c r="D137" s="8" t="n">
        <x:v>1348.1010212499993</x:v>
      </x:c>
      <x:c r="E137" s="8" t="n">
        <x:v>48.84818387553459</x:v>
      </x:c>
      <x:c r="F137" s="8" t="n">
        <x:v>750</x:v>
      </x:c>
      <x:c r="G137" s="8" t="n">
        <x:v>921.0126345688384</x:v>
      </x:c>
      <x:c r="H137" s="8" t="n">
        <x:v>0.126854465557982</x:v>
      </x:c>
      <x:c r="I137" s="8" t="n">
        <x:v>27.59777159136494</x:v>
      </x:c>
      <x:c r="J137" s="8" t="n">
        <x:v>0</x:v>
      </x:c>
      <x:c r="K137" s="14" t="b">
        <x:v>0</x:v>
      </x:c>
    </x:row>
    <x:row r="138" ht="36" customHeight="1">
      <x:c r="A138" s="8" t="str">
        <x:v>Mixed consideration</x:v>
      </x:c>
      <x:c r="B138" s="8" t="str">
        <x:v>Severe revenue</x:v>
      </x:c>
      <x:c r="C138" s="22" t="n">
        <x:v>4</x:v>
      </x:c>
      <x:c r="D138" s="8" t="n">
        <x:v>1391.6135595812493</x:v>
      </x:c>
      <x:c r="E138" s="8" t="n">
        <x:v>35.408226487708205</x:v>
      </x:c>
      <x:c r="F138" s="8" t="n">
        <x:v>750</x:v>
      </x:c>
      <x:c r="G138" s="8" t="n">
        <x:v>583.1048150202466</x:v>
      </x:c>
      <x:c r="H138" s="8" t="n">
        <x:v>-0.11992926041190187</x:v>
      </x:c>
      <x:c r="I138" s="8" t="n">
        <x:v>39.30198424550694</x:v>
      </x:c>
      <x:c r="J138" s="8" t="n">
        <x:v>0</x:v>
      </x:c>
      <x:c r="K138" s="14" t="b">
        <x:v>0</x:v>
      </x:c>
    </x:row>
    <x:row r="139" ht="36" customHeight="1">
      <x:c r="A139" s="8" t="str">
        <x:v>Mixed consideration</x:v>
      </x:c>
      <x:c r="B139" s="8" t="str">
        <x:v>Severe revenue</x:v>
      </x:c>
      <x:c r="C139" s="22" t="n">
        <x:v>5</x:v>
      </x:c>
      <x:c r="D139" s="8" t="n">
        <x:v>1436.4601116267788</x:v>
      </x:c>
      <x:c r="E139" s="8" t="n">
        <x:v>33.52852686366418</x:v>
      </x:c>
      <x:c r="F139" s="8" t="n">
        <x:v>527.3665387737358</x:v>
      </x:c>
      <x:c r="G139" s="8" t="n">
        <x:v>0</x:v>
      </x:c>
      <x:c r="H139" s="8" t="n">
        <x:v>-0.36712926067713614</x:v>
      </x:c>
      <x:c r="I139" s="8" t="n">
        <x:v>42.84292350414928</x:v>
      </x:c>
      <x:c r="J139" s="8" t="n">
        <x:v>0</x:v>
      </x:c>
      <x:c r="K139" s="14" t="b">
        <x:v>0</x:v>
      </x:c>
    </x:row>
    <x:row r="140" ht="36" customHeight="1">
      <x:c r="A140" s="8" t="str">
        <x:v>Cash-first</x:v>
      </x:c>
      <x:c r="B140" s="8" t="str">
        <x:v>Severe margin</x:v>
      </x:c>
      <x:c r="C140" s="22" t="n">
        <x:v>1</x:v>
      </x:c>
      <x:c r="D140" s="8" t="n">
        <x:v>1241.1000000000004</x:v>
      </x:c>
      <x:c r="E140" s="8" t="n">
        <x:v>141.93159898477157</x:v>
      </x:c>
      <x:c r="F140" s="8" t="n">
        <x:v>750</x:v>
      </x:c>
      <x:c r="G140" s="8" t="n">
        <x:v>2653.0743659168343</x:v>
      </x:c>
      <x:c r="H140" s="8" t="n">
        <x:v>1.5333771379557117</x:v>
      </x:c>
      <x:c r="I140" s="8" t="n">
        <x:v>8.74435297620485</x:v>
      </x:c>
      <x:c r="J140" s="8" t="n">
        <x:v>0</x:v>
      </x:c>
      <x:c r="K140" s="14" t="b">
        <x:v>0</x:v>
      </x:c>
    </x:row>
    <x:row r="141" ht="36" customHeight="1">
      <x:c r="A141" s="8" t="str">
        <x:v>Cash-first</x:v>
      </x:c>
      <x:c r="B141" s="8" t="str">
        <x:v>Severe margin</x:v>
      </x:c>
      <x:c r="C141" s="22" t="n">
        <x:v>2</x:v>
      </x:c>
      <x:c r="D141" s="8" t="n">
        <x:v>1323.4594999999981</x:v>
      </x:c>
      <x:c r="E141" s="8" t="n">
        <x:v>137.65271068597454</x:v>
      </x:c>
      <x:c r="F141" s="8" t="n">
        <x:v>750</x:v>
      </x:c>
      <x:c r="G141" s="8" t="n">
        <x:v>2532.5137901984394</x:v>
      </x:c>
      <x:c r="H141" s="8" t="n">
        <x:v>1.3468593411422427</x:v>
      </x:c>
      <x:c r="I141" s="8" t="n">
        <x:v>9.614481933590035</x:v>
      </x:c>
      <x:c r="J141" s="8" t="n">
        <x:v>0</x:v>
      </x:c>
      <x:c r="K141" s="14" t="b">
        <x:v>0</x:v>
      </x:c>
    </x:row>
    <x:row r="142" ht="36" customHeight="1">
      <x:c r="A142" s="8" t="str">
        <x:v>Cash-first</x:v>
      </x:c>
      <x:c r="B142" s="8" t="str">
        <x:v>Severe margin</x:v>
      </x:c>
      <x:c r="C142" s="22" t="n">
        <x:v>3</x:v>
      </x:c>
      <x:c r="D142" s="8" t="n">
        <x:v>1407.114627499998</x:v>
      </x:c>
      <x:c r="E142" s="8" t="n">
        <x:v>127.29582741190637</x:v>
      </x:c>
      <x:c r="F142" s="8" t="n">
        <x:v>749.9999999999999</x:v>
      </x:c>
      <x:c r="G142" s="8" t="n">
        <x:v>2314.6640693061718</x:v>
      </x:c>
      <x:c r="H142" s="8" t="n">
        <x:v>1.111966316550976</x:v>
      </x:c>
      <x:c r="I142" s="8" t="n">
        <x:v>11.053894350730197</x:v>
      </x:c>
      <x:c r="J142" s="8" t="n">
        <x:v>0</x:v>
      </x:c>
      <x:c r="K142" s="14" t="b">
        <x:v>0</x:v>
      </x:c>
    </x:row>
    <x:row r="143" ht="36" customHeight="1">
      <x:c r="A143" s="8" t="str">
        <x:v>Cash-first</x:v>
      </x:c>
      <x:c r="B143" s="8" t="str">
        <x:v>Severe margin</x:v>
      </x:c>
      <x:c r="C143" s="22" t="n">
        <x:v>4</x:v>
      </x:c>
      <x:c r="D143" s="8" t="n">
        <x:v>1452.1025059874974</x:v>
      </x:c>
      <x:c r="E143" s="8" t="n">
        <x:v>118.32246338445884</x:v>
      </x:c>
      <x:c r="F143" s="8" t="n">
        <x:v>527.0159532776948</x:v>
      </x:c>
      <x:c r="G143" s="8" t="n">
        <x:v>1826.9097292847337</x:v>
      </x:c>
      <x:c r="H143" s="8" t="n">
        <x:v>0.8951804508615255</x:v>
      </x:c>
      <x:c r="I143" s="8" t="n">
        <x:v>12.272416111463624</x:v>
      </x:c>
      <x:c r="J143" s="8" t="n">
        <x:v>0</x:v>
      </x:c>
      <x:c r="K143" s="14" t="b">
        <x:v>0</x:v>
      </x:c>
    </x:row>
    <x:row r="144" ht="36" customHeight="1">
      <x:c r="A144" s="8" t="str">
        <x:v>Cash-first</x:v>
      </x:c>
      <x:c r="B144" s="8" t="str">
        <x:v>Severe margin</x:v>
      </x:c>
      <x:c r="C144" s="22" t="n">
        <x:v>5</x:v>
      </x:c>
      <x:c r="D144" s="8" t="n">
        <x:v>1498.4612816931833</x:v>
      </x:c>
      <x:c r="E144" s="8" t="n">
        <x:v>107.87958375708402</x:v>
      </x:c>
      <x:c r="F144" s="8" t="n">
        <x:v>0</x:v>
      </x:c>
      <x:c r="G144" s="8" t="n">
        <x:v>1006.411359674439</x:v>
      </x:c>
      <x:c r="H144" s="8" t="n">
        <x:v>0.6716298725698449</x:v>
      </x:c>
      <x:c r="I144" s="8" t="n">
        <x:v>13.890128507237453</x:v>
      </x:c>
      <x:c r="J144" s="8" t="n">
        <x:v>1006.411359674439</x:v>
      </x:c>
      <x:c r="K144" s="14" t="b">
        <x:v>0</x:v>
      </x:c>
    </x:row>
    <x:row r="145" ht="36" customHeight="1">
      <x:c r="A145" s="8" t="str">
        <x:v>Liquidity-first</x:v>
      </x:c>
      <x:c r="B145" s="8" t="str">
        <x:v>Severe margin</x:v>
      </x:c>
      <x:c r="C145" s="22" t="n">
        <x:v>1</x:v>
      </x:c>
      <x:c r="D145" s="8" t="n">
        <x:v>1241.1000000000004</x:v>
      </x:c>
      <x:c r="E145" s="8" t="n">
        <x:v>199.34276649746192</x:v>
      </x:c>
      <x:c r="F145" s="8" t="n">
        <x:v>750</x:v>
      </x:c>
      <x:c r="G145" s="8" t="n">
        <x:v>2709.381472515819</x:v>
      </x:c>
      <x:c r="H145" s="8" t="n">
        <x:v>1.5787458484536447</x:v>
      </x:c>
      <x:c r="I145" s="8" t="n">
        <x:v>6.2259595459953765</x:v>
      </x:c>
      <x:c r="J145" s="8" t="n">
        <x:v>0</x:v>
      </x:c>
      <x:c r="K145" s="14" t="b">
        <x:v>0</x:v>
      </x:c>
    </x:row>
    <x:row r="146" ht="36" customHeight="1">
      <x:c r="A146" s="8" t="str">
        <x:v>Liquidity-first</x:v>
      </x:c>
      <x:c r="B146" s="8" t="str">
        <x:v>Severe margin</x:v>
      </x:c>
      <x:c r="C146" s="22" t="n">
        <x:v>2</x:v>
      </x:c>
      <x:c r="D146" s="8" t="n">
        <x:v>1323.4594999999981</x:v>
      </x:c>
      <x:c r="E146" s="8" t="n">
        <x:v>141.2363420322387</x:v>
      </x:c>
      <x:c r="F146" s="8" t="n">
        <x:v>750</x:v>
      </x:c>
      <x:c r="G146" s="8" t="n">
        <x:v>2591.5086203071223</x:v>
      </x:c>
      <x:c r="H146" s="8" t="n">
        <x:v>1.3914355673952432</x:v>
      </x:c>
      <x:c r="I146" s="8" t="n">
        <x:v>9.370530848907885</x:v>
      </x:c>
      <x:c r="J146" s="8" t="n">
        <x:v>0</x:v>
      </x:c>
      <x:c r="K146" s="14" t="b">
        <x:v>0</x:v>
      </x:c>
    </x:row>
    <x:row r="147" ht="36" customHeight="1">
      <x:c r="A147" s="8" t="str">
        <x:v>Liquidity-first</x:v>
      </x:c>
      <x:c r="B147" s="8" t="str">
        <x:v>Severe margin</x:v>
      </x:c>
      <x:c r="C147" s="22" t="n">
        <x:v>3</x:v>
      </x:c>
      <x:c r="D147" s="8" t="n">
        <x:v>1407.114627499998</x:v>
      </x:c>
      <x:c r="E147" s="8" t="n">
        <x:v>130.83551721842736</x:v>
      </x:c>
      <x:c r="F147" s="8" t="n">
        <x:v>750</x:v>
      </x:c>
      <x:c r="G147" s="8" t="n">
        <x:v>2376.313666769746</x:v>
      </x:c>
      <x:c r="H147" s="8" t="n">
        <x:v>1.1557790921832685</x:v>
      </x:c>
      <x:c r="I147" s="8" t="n">
        <x:v>10.754836740170848</x:v>
      </x:c>
      <x:c r="J147" s="8" t="n">
        <x:v>0</x:v>
      </x:c>
      <x:c r="K147" s="14" t="b">
        <x:v>0</x:v>
      </x:c>
    </x:row>
    <x:row r="148" ht="36" customHeight="1">
      <x:c r="A148" s="8" t="str">
        <x:v>Liquidity-first</x:v>
      </x:c>
      <x:c r="B148" s="8" t="str">
        <x:v>Severe margin</x:v>
      </x:c>
      <x:c r="C148" s="22" t="n">
        <x:v>4</x:v>
      </x:c>
      <x:c r="D148" s="8" t="n">
        <x:v>1452.1025059874974</x:v>
      </x:c>
      <x:c r="E148" s="8" t="n">
        <x:v>121.97063987733785</x:v>
      </x:c>
      <x:c r="F148" s="8" t="n">
        <x:v>486.2951043145661</x:v>
      </x:c>
      <x:c r="G148" s="8" t="n">
        <x:v>1850.5746101548382</x:v>
      </x:c>
      <x:c r="H148" s="8" t="n">
        <x:v>0.9395201097821249</x:v>
      </x:c>
      <x:c r="I148" s="8" t="n">
        <x:v>11.905344658746012</x:v>
      </x:c>
      <x:c r="J148" s="8" t="n">
        <x:v>0</x:v>
      </x:c>
      <x:c r="K148" s="14" t="b">
        <x:v>0</x:v>
      </x:c>
    </x:row>
    <x:row r="149" ht="36" customHeight="1">
      <x:c r="A149" s="8" t="str">
        <x:v>Liquidity-first</x:v>
      </x:c>
      <x:c r="B149" s="8" t="str">
        <x:v>Severe margin</x:v>
      </x:c>
      <x:c r="C149" s="22" t="n">
        <x:v>5</x:v>
      </x:c>
      <x:c r="D149" s="8" t="n">
        <x:v>1498.4612816931833</x:v>
      </x:c>
      <x:c r="E149" s="8" t="n">
        <x:v>109.29947660929031</x:v>
      </x:c>
      <x:c r="F149" s="8" t="n">
        <x:v>0</x:v>
      </x:c>
      <x:c r="G149" s="8" t="n">
        <x:v>1071.862009146827</x:v>
      </x:c>
      <x:c r="H149" s="8" t="n">
        <x:v>0.7153084448973407</x:v>
      </x:c>
      <x:c r="I149" s="8" t="n">
        <x:v>13.709683963535248</x:v>
      </x:c>
      <x:c r="J149" s="8" t="n">
        <x:v>1071.862009146827</x:v>
      </x:c>
      <x:c r="K149" s="14" t="b">
        <x:v>0</x:v>
      </x:c>
    </x:row>
    <x:row r="150" ht="36" customHeight="1">
      <x:c r="A150" s="8" t="str">
        <x:v>Mixed consideration</x:v>
      </x:c>
      <x:c r="B150" s="8" t="str">
        <x:v>Severe margin</x:v>
      </x:c>
      <x:c r="C150" s="22" t="n">
        <x:v>1</x:v>
      </x:c>
      <x:c r="D150" s="8" t="n">
        <x:v>1241.1000000000004</x:v>
      </x:c>
      <x:c r="E150" s="8" t="n">
        <x:v>74.62195431472081</x:v>
      </x:c>
      <x:c r="F150" s="8" t="n">
        <x:v>750</x:v>
      </x:c>
      <x:c r="G150" s="8" t="n">
        <x:v>1567.0591374904384</x:v>
      </x:c>
      <x:c r="H150" s="8" t="n">
        <x:v>0.6583346527197149</x:v>
      </x:c>
      <x:c r="I150" s="8" t="n">
        <x:v>16.63183457733653</x:v>
      </x:c>
      <x:c r="J150" s="8" t="n">
        <x:v>0</x:v>
      </x:c>
      <x:c r="K150" s="14" t="b">
        <x:v>0</x:v>
      </x:c>
    </x:row>
    <x:row r="151" ht="36" customHeight="1">
      <x:c r="A151" s="8" t="str">
        <x:v>Mixed consideration</x:v>
      </x:c>
      <x:c r="B151" s="8" t="str">
        <x:v>Severe margin</x:v>
      </x:c>
      <x:c r="C151" s="22" t="n">
        <x:v>2</x:v>
      </x:c>
      <x:c r="D151" s="8" t="n">
        <x:v>1323.4594999999981</x:v>
      </x:c>
      <x:c r="E151" s="8" t="n">
        <x:v>69.84119609315239</x:v>
      </x:c>
      <x:c r="F151" s="8" t="n">
        <x:v>750</x:v>
      </x:c>
      <x:c r="G151" s="8" t="n">
        <x:v>1395.639925827427</x:v>
      </x:c>
      <x:c r="H151" s="8" t="n">
        <x:v>0.4878426017777106</x:v>
      </x:c>
      <x:c r="I151" s="8" t="n">
        <x:v>18.949553759571955</x:v>
      </x:c>
      <x:c r="J151" s="8" t="n">
        <x:v>0</x:v>
      </x:c>
      <x:c r="K151" s="14" t="b">
        <x:v>0</x:v>
      </x:c>
    </x:row>
    <x:row r="152" ht="36" customHeight="1">
      <x:c r="A152" s="8" t="str">
        <x:v>Mixed consideration</x:v>
      </x:c>
      <x:c r="B152" s="8" t="str">
        <x:v>Severe margin</x:v>
      </x:c>
      <x:c r="C152" s="22" t="n">
        <x:v>3</x:v>
      </x:c>
      <x:c r="D152" s="8" t="n">
        <x:v>1407.114627499998</x:v>
      </x:c>
      <x:c r="E152" s="8" t="n">
        <x:v>59.083395549645616</x:v>
      </x:c>
      <x:c r="F152" s="8" t="n">
        <x:v>750</x:v>
      </x:c>
      <x:c r="G152" s="8" t="n">
        <x:v>1126.6308810384642</x:v>
      </x:c>
      <x:c r="H152" s="8" t="n">
        <x:v>0.26766183342690375</x:v>
      </x:c>
      <x:c r="I152" s="8" t="n">
        <x:v>23.81573730503778</x:v>
      </x:c>
      <x:c r="J152" s="8" t="n">
        <x:v>0</x:v>
      </x:c>
      <x:c r="K152" s="14" t="b">
        <x:v>0</x:v>
      </x:c>
    </x:row>
    <x:row r="153" ht="36" customHeight="1">
      <x:c r="A153" s="8" t="str">
        <x:v>Mixed consideration</x:v>
      </x:c>
      <x:c r="B153" s="8" t="str">
        <x:v>Severe margin</x:v>
      </x:c>
      <x:c r="C153" s="22" t="n">
        <x:v>4</x:v>
      </x:c>
      <x:c r="D153" s="8" t="n">
        <x:v>1452.1025059874974</x:v>
      </x:c>
      <x:c r="E153" s="8" t="n">
        <x:v>47.22014704788431</x:v>
      </x:c>
      <x:c r="F153" s="8" t="n">
        <x:v>672.9233342237754</x:v>
      </x:c>
      <x:c r="G153" s="8" t="n">
        <x:v>731.4571847106757</x:v>
      </x:c>
      <x:c r="H153" s="8" t="n">
        <x:v>0.0403097234840832</x:v>
      </x:c>
      <x:c r="I153" s="8" t="n">
        <x:v>30.751757391076538</x:v>
      </x:c>
      <x:c r="J153" s="8" t="n">
        <x:v>0</x:v>
      </x:c>
      <x:c r="K153" s="14" t="b">
        <x:v>0</x:v>
      </x:c>
    </x:row>
    <x:row r="154" ht="36" customHeight="1">
      <x:c r="A154" s="8" t="str">
        <x:v>Mixed consideration</x:v>
      </x:c>
      <x:c r="B154" s="8" t="str">
        <x:v>Severe margin</x:v>
      </x:c>
      <x:c r="C154" s="22" t="n">
        <x:v>5</x:v>
      </x:c>
      <x:c r="D154" s="8" t="n">
        <x:v>1498.4612816931833</x:v>
      </x:c>
      <x:c r="E154" s="8" t="n">
        <x:v>42.15243108264055</x:v>
      </x:c>
      <x:c r="F154" s="8" t="n">
        <x:v>284.2439303515321</x:v>
      </x:c>
      <x:c r="G154" s="8" t="n">
        <x:v>0</x:v>
      </x:c>
      <x:c r="H154" s="8" t="n">
        <x:v>-0.18969054043915717</x:v>
      </x:c>
      <x:c r="I154" s="8" t="n">
        <x:v>35.5486325036728</x:v>
      </x:c>
      <x:c r="J154" s="8" t="n">
        <x:v>0</x:v>
      </x:c>
      <x:c r="K154" s="14" t="b">
        <x:v>0</x:v>
      </x:c>
    </x:row>
    <x:row r="155" ht="36" customHeight="1">
      <x:c r="A155" s="8" t="str">
        <x:v>Cash-first</x:v>
      </x:c>
      <x:c r="B155" s="8" t="str">
        <x:v>Severe inventory</x:v>
      </x:c>
      <x:c r="C155" s="22" t="n">
        <x:v>1</x:v>
      </x:c>
      <x:c r="D155" s="8" t="n">
        <x:v>1577.2999999999993</x:v>
      </x:c>
      <x:c r="E155" s="8" t="n">
        <x:v>141.93159898477157</x:v>
      </x:c>
      <x:c r="F155" s="8" t="n">
        <x:v>750</x:v>
      </x:c>
      <x:c r="G155" s="8" t="n">
        <x:v>2982.675050848342</x:v>
      </x:c>
      <x:c r="H155" s="8" t="n">
        <x:v>1.4155043751019736</x:v>
      </x:c>
      <x:c r="I155" s="8" t="n">
        <x:v>11.113099628851742</x:v>
      </x:c>
      <x:c r="J155" s="8" t="n">
        <x:v>0</x:v>
      </x:c>
      <x:c r="K155" s="14" t="b">
        <x:v>0</x:v>
      </x:c>
    </x:row>
    <x:row r="156" ht="36" customHeight="1">
      <x:c r="A156" s="8" t="str">
        <x:v>Cash-first</x:v>
      </x:c>
      <x:c r="B156" s="8" t="str">
        <x:v>Severe inventory</x:v>
      </x:c>
      <x:c r="C156" s="22" t="n">
        <x:v>2</x:v>
      </x:c>
      <x:c r="D156" s="8" t="n">
        <x:v>1668.0644999999975</x:v>
      </x:c>
      <x:c r="E156" s="8" t="n">
        <x:v>157.428751781865</x:v>
      </x:c>
      <x:c r="F156" s="8" t="n">
        <x:v>750</x:v>
      </x:c>
      <x:c r="G156" s="8" t="n">
        <x:v>2633.036523075153</x:v>
      </x:c>
      <x:c r="H156" s="8" t="n">
        <x:v>1.1288751262766854</x:v>
      </x:c>
      <x:c r="I156" s="8" t="n">
        <x:v>10.595678877714064</x:v>
      </x:c>
      <x:c r="J156" s="8" t="n">
        <x:v>0</x:v>
      </x:c>
      <x:c r="K156" s="14" t="b">
        <x:v>0</x:v>
      </x:c>
    </x:row>
    <x:row r="157" ht="36" customHeight="1">
      <x:c r="A157" s="8" t="str">
        <x:v>Cash-first</x:v>
      </x:c>
      <x:c r="B157" s="8" t="str">
        <x:v>Severe inventory</x:v>
      </x:c>
      <x:c r="C157" s="22" t="n">
        <x:v>3</x:v>
      </x:c>
      <x:c r="D157" s="8" t="n">
        <x:v>1760.3347524999979</x:v>
      </x:c>
      <x:c r="E157" s="8" t="n">
        <x:v>133.20584373164363</x:v>
      </x:c>
      <x:c r="F157" s="8" t="n">
        <x:v>750</x:v>
      </x:c>
      <x:c r="G157" s="8" t="n">
        <x:v>2169.611581974058</x:v>
      </x:c>
      <x:c r="H157" s="8" t="n">
        <x:v>0.8064441038603308</x:v>
      </x:c>
      <x:c r="I157" s="8" t="n">
        <x:v>13.21514659706947</x:v>
      </x:c>
      <x:c r="J157" s="8" t="n">
        <x:v>0</x:v>
      </x:c>
      <x:c r="K157" s="14" t="b">
        <x:v>0</x:v>
      </x:c>
    </x:row>
    <x:row r="158" ht="36" customHeight="1">
      <x:c r="A158" s="8" t="str">
        <x:v>Cash-first</x:v>
      </x:c>
      <x:c r="B158" s="8" t="str">
        <x:v>Severe inventory</x:v>
      </x:c>
      <x:c r="C158" s="22" t="n">
        <x:v>4</x:v>
      </x:c>
      <x:c r="D158" s="8" t="n">
        <x:v>1814.1531341124974</x:v>
      </x:c>
      <x:c r="E158" s="8" t="n">
        <x:v>110.0566949184435</x:v>
      </x:c>
      <x:c r="F158" s="8" t="n">
        <x:v>749.9999999999999</x:v>
      </x:c>
      <x:c r="G158" s="8" t="n">
        <x:v>1642.3840365655674</x:v>
      </x:c>
      <x:c r="H158" s="8" t="n">
        <x:v>0.4919011630195877</x:v>
      </x:c>
      <x:c r="I158" s="8" t="n">
        <x:v>16.483805328307003</x:v>
      </x:c>
      <x:c r="J158" s="8" t="n">
        <x:v>0</x:v>
      </x:c>
      <x:c r="K158" s="14" t="b">
        <x:v>0</x:v>
      </x:c>
    </x:row>
    <x:row r="159" ht="36" customHeight="1">
      <x:c r="A159" s="8" t="str">
        <x:v>Cash-first</x:v>
      </x:c>
      <x:c r="B159" s="8" t="str">
        <x:v>Severe inventory</x:v>
      </x:c>
      <x:c r="C159" s="22" t="n">
        <x:v>5</x:v>
      </x:c>
      <x:c r="D159" s="8" t="n">
        <x:v>1869.56317552131</x:v>
      </x:c>
      <x:c r="E159" s="8" t="n">
        <x:v>97.34410598131315</x:v>
      </x:c>
      <x:c r="F159" s="8" t="n">
        <x:v>0</x:v>
      </x:c>
      <x:c r="G159" s="8" t="n">
        <x:v>328.33563799729563</x:v>
      </x:c>
      <x:c r="H159" s="8" t="n">
        <x:v>0.17562157957339009</x:v>
      </x:c>
      <x:c r="I159" s="8" t="n">
        <x:v>19.205715196359236</x:v>
      </x:c>
      <x:c r="J159" s="8" t="n">
        <x:v>328.33563799729563</x:v>
      </x:c>
      <x:c r="K159" s="14" t="b">
        <x:v>0</x:v>
      </x:c>
    </x:row>
    <x:row r="160" ht="36" customHeight="1">
      <x:c r="A160" s="8" t="str">
        <x:v>Liquidity-first</x:v>
      </x:c>
      <x:c r="B160" s="8" t="str">
        <x:v>Severe inventory</x:v>
      </x:c>
      <x:c r="C160" s="22" t="n">
        <x:v>1</x:v>
      </x:c>
      <x:c r="D160" s="8" t="n">
        <x:v>1577.2999999999993</x:v>
      </x:c>
      <x:c r="E160" s="8" t="n">
        <x:v>199.34276649746192</x:v>
      </x:c>
      <x:c r="F160" s="8" t="n">
        <x:v>750</x:v>
      </x:c>
      <x:c r="G160" s="8" t="n">
        <x:v>3038.982157447327</x:v>
      </x:c>
      <x:c r="H160" s="8" t="n">
        <x:v>1.4512027879587448</x:v>
      </x:c>
      <x:c r="I160" s="8" t="n">
        <x:v>7.912501806380227</x:v>
      </x:c>
      <x:c r="J160" s="8" t="n">
        <x:v>0</x:v>
      </x:c>
      <x:c r="K160" s="14" t="b">
        <x:v>0</x:v>
      </x:c>
    </x:row>
    <x:row r="161" ht="36" customHeight="1">
      <x:c r="A161" s="8" t="str">
        <x:v>Liquidity-first</x:v>
      </x:c>
      <x:c r="B161" s="8" t="str">
        <x:v>Severe inventory</x:v>
      </x:c>
      <x:c r="C161" s="22" t="n">
        <x:v>2</x:v>
      </x:c>
      <x:c r="D161" s="8" t="n">
        <x:v>1668.0644999999975</x:v>
      </x:c>
      <x:c r="E161" s="8" t="n">
        <x:v>161.83638484045792</x:v>
      </x:c>
      <x:c r="F161" s="8" t="n">
        <x:v>750</x:v>
      </x:c>
      <x:c r="G161" s="8" t="n">
        <x:v>2692.6493544680825</x:v>
      </x:c>
      <x:c r="H161" s="8" t="n">
        <x:v>1.1646128518819778</x:v>
      </x:c>
      <x:c r="I161" s="8" t="n">
        <x:v>10.307104311829594</x:v>
      </x:c>
      <x:c r="J161" s="8" t="n">
        <x:v>0</x:v>
      </x:c>
      <x:c r="K161" s="14" t="b">
        <x:v>0</x:v>
      </x:c>
    </x:row>
    <x:row r="162" ht="36" customHeight="1">
      <x:c r="A162" s="8" t="str">
        <x:v>Liquidity-first</x:v>
      </x:c>
      <x:c r="B162" s="8" t="str">
        <x:v>Severe inventory</x:v>
      </x:c>
      <x:c r="C162" s="22" t="n">
        <x:v>3</x:v>
      </x:c>
      <x:c r="D162" s="8" t="n">
        <x:v>1760.3347524999979</x:v>
      </x:c>
      <x:c r="E162" s="8" t="n">
        <x:v>136.90396126808497</x:v>
      </x:c>
      <x:c r="F162" s="8" t="n">
        <x:v>750</x:v>
      </x:c>
      <x:c r="G162" s="8" t="n">
        <x:v>2231.9980015193187</x:v>
      </x:c>
      <x:c r="H162" s="8" t="n">
        <x:v>0.8418841924324961</x:v>
      </x:c>
      <x:c r="I162" s="8" t="n">
        <x:v>12.858172518857325</x:v>
      </x:c>
      <x:c r="J162" s="8" t="n">
        <x:v>0</x:v>
      </x:c>
      <x:c r="K162" s="14" t="b">
        <x:v>0</x:v>
      </x:c>
    </x:row>
    <x:row r="163" ht="36" customHeight="1">
      <x:c r="A163" s="8" t="str">
        <x:v>Liquidity-first</x:v>
      </x:c>
      <x:c r="B163" s="8" t="str">
        <x:v>Severe inventory</x:v>
      </x:c>
      <x:c r="C163" s="22" t="n">
        <x:v>4</x:v>
      </x:c>
      <x:c r="D163" s="8" t="n">
        <x:v>1814.1531341124974</x:v>
      </x:c>
      <x:c r="E163" s="8" t="n">
        <x:v>113.79988009115914</x:v>
      </x:c>
      <x:c r="F163" s="8" t="n">
        <x:v>750</x:v>
      </x:c>
      <x:c r="G163" s="8" t="n">
        <x:v>1707.5778449903653</x:v>
      </x:c>
      <x:c r="H163" s="8" t="n">
        <x:v>0.5278373842783798</x:v>
      </x:c>
      <x:c r="I163" s="8" t="n">
        <x:v>15.941608485521023</x:v>
      </x:c>
      <x:c r="J163" s="8" t="n">
        <x:v>0</x:v>
      </x:c>
      <x:c r="K163" s="14" t="b">
        <x:v>0</x:v>
      </x:c>
    </x:row>
    <x:row r="164" ht="36" customHeight="1">
      <x:c r="A164" s="8" t="str">
        <x:v>Liquidity-first</x:v>
      </x:c>
      <x:c r="B164" s="8" t="str">
        <x:v>Severe inventory</x:v>
      </x:c>
      <x:c r="C164" s="22" t="n">
        <x:v>5</x:v>
      </x:c>
      <x:c r="D164" s="8" t="n">
        <x:v>1869.56317552131</x:v>
      </x:c>
      <x:c r="E164" s="8" t="n">
        <x:v>101.20455357805395</x:v>
      </x:c>
      <x:c r="F164" s="8" t="n">
        <x:v>0</x:v>
      </x:c>
      <x:c r="G164" s="8" t="n">
        <x:v>396.4247821196491</x:v>
      </x:c>
      <x:c r="H164" s="8" t="n">
        <x:v>0.21204139411288403</x:v>
      </x:c>
      <x:c r="I164" s="8" t="n">
        <x:v>18.47311320907523</x:v>
      </x:c>
      <x:c r="J164" s="8" t="n">
        <x:v>396.4247821196491</x:v>
      </x:c>
      <x:c r="K164" s="14" t="b">
        <x:v>0</x:v>
      </x:c>
    </x:row>
    <x:row r="165" ht="36" customHeight="1">
      <x:c r="A165" s="8" t="str">
        <x:v>Mixed consideration</x:v>
      </x:c>
      <x:c r="B165" s="8" t="str">
        <x:v>Severe inventory</x:v>
      </x:c>
      <x:c r="C165" s="22" t="n">
        <x:v>1</x:v>
      </x:c>
      <x:c r="D165" s="8" t="n">
        <x:v>1577.2999999999993</x:v>
      </x:c>
      <x:c r="E165" s="8" t="n">
        <x:v>74.62195431472081</x:v>
      </x:c>
      <x:c r="F165" s="8" t="n">
        <x:v>750</x:v>
      </x:c>
      <x:c r="G165" s="8" t="n">
        <x:v>1896.6598224219463</x:v>
      </x:c>
      <x:c r="H165" s="8" t="n">
        <x:v>0.7269763662093114</x:v>
      </x:c>
      <x:c r="I165" s="8" t="n">
        <x:v>21.13721108599862</x:v>
      </x:c>
      <x:c r="J165" s="8" t="n">
        <x:v>0</x:v>
      </x:c>
      <x:c r="K165" s="14" t="b">
        <x:v>1</x:v>
      </x:c>
    </x:row>
    <x:row r="166" ht="36" customHeight="1">
      <x:c r="A166" s="8" t="str">
        <x:v>Mixed consideration</x:v>
      </x:c>
      <x:c r="B166" s="8" t="str">
        <x:v>Severe inventory</x:v>
      </x:c>
      <x:c r="C166" s="22" t="n">
        <x:v>2</x:v>
      </x:c>
      <x:c r="D166" s="8" t="n">
        <x:v>1668.0644999999975</x:v>
      </x:c>
      <x:c r="E166" s="8" t="n">
        <x:v>89.73078223871778</x:v>
      </x:c>
      <x:c r="F166" s="8" t="n">
        <x:v>750</x:v>
      </x:c>
      <x:c r="G166" s="8" t="n">
        <x:v>1496.247817491397</x:v>
      </x:c>
      <x:c r="H166" s="8" t="n">
        <x:v>0.4473734783585396</x:v>
      </x:c>
      <x:c r="I166" s="8" t="n">
        <x:v>18.58965739942304</x:v>
      </x:c>
      <x:c r="J166" s="8" t="n">
        <x:v>0</x:v>
      </x:c>
      <x:c r="K166" s="14" t="b">
        <x:v>1</x:v>
      </x:c>
    </x:row>
    <x:row r="167" ht="36" customHeight="1">
      <x:c r="A167" s="8" t="str">
        <x:v>Mixed consideration</x:v>
      </x:c>
      <x:c r="B167" s="8" t="str">
        <x:v>Severe inventory</x:v>
      </x:c>
      <x:c r="C167" s="22" t="n">
        <x:v>3</x:v>
      </x:c>
      <x:c r="D167" s="8" t="n">
        <x:v>1760.3347524999979</x:v>
      </x:c>
      <x:c r="E167" s="8" t="n">
        <x:v>65.11986904948381</x:v>
      </x:c>
      <x:c r="F167" s="8" t="n">
        <x:v>750</x:v>
      </x:c>
      <x:c r="G167" s="8" t="n">
        <x:v>981.7583953786825</x:v>
      </x:c>
      <x:c r="H167" s="8" t="n">
        <x:v>0.13165586548214372</x:v>
      </x:c>
      <x:c r="I167" s="8" t="n">
        <x:v>27.032221934634734</x:v>
      </x:c>
      <x:c r="J167" s="8" t="n">
        <x:v>0</x:v>
      </x:c>
      <x:c r="K167" s="14" t="b">
        <x:v>1</x:v>
      </x:c>
    </x:row>
    <x:row r="168" ht="36" customHeight="1">
      <x:c r="A168" s="8" t="str">
        <x:v>Mixed consideration</x:v>
      </x:c>
      <x:c r="B168" s="8" t="str">
        <x:v>Severe inventory</x:v>
      </x:c>
      <x:c r="C168" s="22" t="n">
        <x:v>4</x:v>
      </x:c>
      <x:c r="D168" s="8" t="n">
        <x:v>1814.1531341124974</x:v>
      </x:c>
      <x:c r="E168" s="8" t="n">
        <x:v>38.78550372272095</x:v>
      </x:c>
      <x:c r="F168" s="8" t="n">
        <x:v>750</x:v>
      </x:c>
      <x:c r="G168" s="8" t="n">
        <x:v>401.0774565734</x:v>
      </x:c>
      <x:c r="H168" s="8" t="n">
        <x:v>-0.19233356703225415</x:v>
      </x:c>
      <x:c r="I168" s="8" t="n">
        <x:v>46.7739995613296</x:v>
      </x:c>
      <x:c r="J168" s="8" t="n">
        <x:v>0</x:v>
      </x:c>
      <x:c r="K168" s="14" t="b">
        <x:v>1</x:v>
      </x:c>
    </x:row>
    <x:row r="169" ht="36" customHeight="1">
      <x:c r="A169" s="8" t="str">
        <x:v>Mixed consideration</x:v>
      </x:c>
      <x:c r="B169" s="8" t="str">
        <x:v>Severe inventory</x:v>
      </x:c>
      <x:c r="C169" s="22" t="n">
        <x:v>5</x:v>
      </x:c>
      <x:c r="D169" s="8" t="n">
        <x:v>1869.56317552131</x:v>
      </x:c>
      <x:c r="E169" s="8" t="n">
        <x:v>23.05112131502127</x:v>
      </x:c>
      <x:c r="F169" s="8" t="n">
        <x:v>968.6906804945905</x:v>
      </x:c>
      <x:c r="G169" s="8" t="n">
        <x:v>0</x:v>
      </x:c>
      <x:c r="H169" s="8" t="n">
        <x:v>-0.5181374415039386</x:v>
      </x:c>
      <x:c r="I169" s="8" t="n">
        <x:v>81.10508595098186</x:v>
      </x:c>
      <x:c r="J169" s="8" t="n">
        <x:v>0</x:v>
      </x:c>
      <x:c r="K169" s="14" t="b">
        <x:v>1</x:v>
      </x:c>
    </x:row>
    <x:row r="170" ht="36" customHeight="1">
      <x:c r="A170" s="8" t="str">
        <x:v>Cash-first</x:v>
      </x:c>
      <x:c r="B170" s="8" t="str">
        <x:v>Severe benchmark</x:v>
      </x:c>
      <x:c r="C170" s="22" t="n">
        <x:v>1</x:v>
      </x:c>
      <x:c r="D170" s="8" t="n">
        <x:v>1577.2999999999993</x:v>
      </x:c>
      <x:c r="E170" s="8" t="n">
        <x:v>168.73362944162437</x:v>
      </x:c>
      <x:c r="F170" s="8" t="n">
        <x:v>750</x:v>
      </x:c>
      <x:c r="G170" s="8" t="n">
        <x:v>2388.7875325950913</x:v>
      </x:c>
      <x:c r="H170" s="8" t="n">
        <x:v>1.038982776006525</x:v>
      </x:c>
      <x:c r="I170" s="8" t="n">
        <x:v>9.347869806508767</x:v>
      </x:c>
      <x:c r="J170" s="8" t="n">
        <x:v>0</x:v>
      </x:c>
      <x:c r="K170" s="14" t="b">
        <x:v>0</x:v>
      </x:c>
    </x:row>
    <x:row r="171" ht="36" customHeight="1">
      <x:c r="A171" s="8" t="str">
        <x:v>Cash-first</x:v>
      </x:c>
      <x:c r="B171" s="8" t="str">
        <x:v>Severe benchmark</x:v>
      </x:c>
      <x:c r="C171" s="22" t="n">
        <x:v>2</x:v>
      </x:c>
      <x:c r="D171" s="8" t="n">
        <x:v>1668.0644999999975</x:v>
      </x:c>
      <x:c r="E171" s="8" t="n">
        <x:v>142.694971439095</x:v>
      </x:c>
      <x:c r="F171" s="8" t="n">
        <x:v>750</x:v>
      </x:c>
      <x:c r="G171" s="8" t="n">
        <x:v>2012.7489435374282</x:v>
      </x:c>
      <x:c r="H171" s="8" t="n">
        <x:v>0.7570144580964526</x:v>
      </x:c>
      <x:c r="I171" s="8" t="n">
        <x:v>11.689721671179981</x:v>
      </x:c>
      <x:c r="J171" s="8" t="n">
        <x:v>0</x:v>
      </x:c>
      <x:c r="K171" s="14" t="b">
        <x:v>0</x:v>
      </x:c>
    </x:row>
    <x:row r="172" ht="36" customHeight="1">
      <x:c r="A172" s="8" t="str">
        <x:v>Cash-first</x:v>
      </x:c>
      <x:c r="B172" s="8" t="str">
        <x:v>Severe benchmark</x:v>
      </x:c>
      <x:c r="C172" s="22" t="n">
        <x:v>3</x:v>
      </x:c>
      <x:c r="D172" s="8" t="n">
        <x:v>1760.3347524999979</x:v>
      </x:c>
      <x:c r="E172" s="8" t="n">
        <x:v>110.40491548299426</x:v>
      </x:c>
      <x:c r="F172" s="8" t="n">
        <x:v>750</x:v>
      </x:c>
      <x:c r="G172" s="8" t="n">
        <x:v>1516.4898370717638</x:v>
      </x:c>
      <x:c r="H172" s="8" t="n">
        <x:v>0.43542277171044186</x:v>
      </x:c>
      <x:c r="I172" s="8" t="n">
        <x:v>15.944351252831162</x:v>
      </x:c>
      <x:c r="J172" s="8" t="n">
        <x:v>0</x:v>
      </x:c>
      <x:c r="K172" s="14" t="b">
        <x:v>0</x:v>
      </x:c>
    </x:row>
    <x:row r="173" ht="36" customHeight="1">
      <x:c r="A173" s="8" t="str">
        <x:v>Cash-first</x:v>
      </x:c>
      <x:c r="B173" s="8" t="str">
        <x:v>Severe benchmark</x:v>
      </x:c>
      <x:c r="C173" s="22" t="n">
        <x:v>4</x:v>
      </x:c>
      <x:c r="D173" s="8" t="n">
        <x:v>1814.1531341124974</x:v>
      </x:c>
      <x:c r="E173" s="8" t="n">
        <x:v>82.5591869657411</x:v>
      </x:c>
      <x:c r="F173" s="8" t="n">
        <x:v>749.9999999999999</x:v>
      </x:c>
      <x:c r="G173" s="8" t="n">
        <x:v>952.5123547912125</x:v>
      </x:c>
      <x:c r="H173" s="8" t="n">
        <x:v>0.1116291403317966</x:v>
      </x:c>
      <x:c r="I173" s="8" t="n">
        <x:v>21.97397044214233</x:v>
      </x:c>
      <x:c r="J173" s="8" t="n">
        <x:v>0</x:v>
      </x:c>
      <x:c r="K173" s="14" t="b">
        <x:v>0</x:v>
      </x:c>
    </x:row>
    <x:row r="174" ht="36" customHeight="1">
      <x:c r="A174" s="8" t="str">
        <x:v>Cash-first</x:v>
      </x:c>
      <x:c r="B174" s="8" t="str">
        <x:v>Severe benchmark</x:v>
      </x:c>
      <x:c r="C174" s="22" t="n">
        <x:v>5</x:v>
      </x:c>
      <x:c r="D174" s="8" t="n">
        <x:v>1869.56317552131</x:v>
      </x:c>
      <x:c r="E174" s="8" t="n">
        <x:v>74.77392701285626</x:v>
      </x:c>
      <x:c r="F174" s="8" t="n">
        <x:v>394.9936540586242</x:v>
      </x:c>
      <x:c r="G174" s="8" t="n">
        <x:v>0</x:v>
      </x:c>
      <x:c r="H174" s="8" t="n">
        <x:v>-0.21127590617443776</x:v>
      </x:c>
      <x:c r="I174" s="8" t="n">
        <x:v>25.002875336477466</x:v>
      </x:c>
      <x:c r="J174" s="8" t="n">
        <x:v>0</x:v>
      </x:c>
      <x:c r="K174" s="14" t="b">
        <x:v>0</x:v>
      </x:c>
    </x:row>
    <x:row r="175" ht="36" customHeight="1">
      <x:c r="A175" s="8" t="str">
        <x:v>Liquidity-first</x:v>
      </x:c>
      <x:c r="B175" s="8" t="str">
        <x:v>Severe benchmark</x:v>
      </x:c>
      <x:c r="C175" s="22" t="n">
        <x:v>1</x:v>
      </x:c>
      <x:c r="D175" s="8" t="n">
        <x:v>1577.2999999999993</x:v>
      </x:c>
      <x:c r="E175" s="8" t="n">
        <x:v>243.80977157360402</x:v>
      </x:c>
      <x:c r="F175" s="8" t="n">
        <x:v>750</x:v>
      </x:c>
      <x:c r="G175" s="8" t="n">
        <x:v>2458.343370158543</x:v>
      </x:c>
      <x:c r="H175" s="8" t="n">
        <x:v>1.0830808154178304</x:v>
      </x:c>
      <x:c r="I175" s="8" t="n">
        <x:v>6.469387956929472</x:v>
      </x:c>
      <x:c r="J175" s="8" t="n">
        <x:v>0</x:v>
      </x:c>
      <x:c r="K175" s="14" t="b">
        <x:v>0</x:v>
      </x:c>
    </x:row>
    <x:row r="176" ht="36" customHeight="1">
      <x:c r="A176" s="8" t="str">
        <x:v>Liquidity-first</x:v>
      </x:c>
      <x:c r="B176" s="8" t="str">
        <x:v>Severe benchmark</x:v>
      </x:c>
      <x:c r="C176" s="22" t="n">
        <x:v>2</x:v>
      </x:c>
      <x:c r="D176" s="8" t="n">
        <x:v>1668.0644999999975</x:v>
      </x:c>
      <x:c r="E176" s="8" t="n">
        <x:v>148.4333280380798</x:v>
      </x:c>
      <x:c r="F176" s="8" t="n">
        <x:v>750</x:v>
      </x:c>
      <x:c r="G176" s="8" t="n">
        <x:v>2086.6085485501185</x:v>
      </x:c>
      <x:c r="H176" s="8" t="n">
        <x:v>0.8012930846200015</x:v>
      </x:c>
      <x:c r="I176" s="8" t="n">
        <x:v>11.237803005886011</x:v>
      </x:c>
      <x:c r="J176" s="8" t="n">
        <x:v>0</x:v>
      </x:c>
      <x:c r="K176" s="14" t="b">
        <x:v>0</x:v>
      </x:c>
    </x:row>
    <x:row r="177" ht="36" customHeight="1">
      <x:c r="A177" s="8" t="str">
        <x:v>Liquidity-first</x:v>
      </x:c>
      <x:c r="B177" s="8" t="str">
        <x:v>Severe benchmark</x:v>
      </x:c>
      <x:c r="C177" s="22" t="n">
        <x:v>3</x:v>
      </x:c>
      <x:c r="D177" s="8" t="n">
        <x:v>1760.3347524999979</x:v>
      </x:c>
      <x:c r="E177" s="8" t="n">
        <x:v>116.31368388400949</x:v>
      </x:c>
      <x:c r="F177" s="8" t="n">
        <x:v>750</x:v>
      </x:c>
      <x:c r="G177" s="8" t="n">
        <x:v>1594.7810183852155</x:v>
      </x:c>
      <x:c r="H177" s="8" t="n">
        <x:v>0.4798979382674072</x:v>
      </x:c>
      <x:c r="I177" s="8" t="n">
        <x:v>15.134373649926191</x:v>
      </x:c>
      <x:c r="J177" s="8" t="n">
        <x:v>0</x:v>
      </x:c>
      <x:c r="K177" s="14" t="b">
        <x:v>0</x:v>
      </x:c>
    </x:row>
    <x:row r="178" ht="36" customHeight="1">
      <x:c r="A178" s="8" t="str">
        <x:v>Liquidity-first</x:v>
      </x:c>
      <x:c r="B178" s="8" t="str">
        <x:v>Severe benchmark</x:v>
      </x:c>
      <x:c r="C178" s="22" t="n">
        <x:v>4</x:v>
      </x:c>
      <x:c r="D178" s="8" t="n">
        <x:v>1814.1531341124974</x:v>
      </x:c>
      <x:c r="E178" s="8" t="n">
        <x:v>88.82248147081725</x:v>
      </x:c>
      <x:c r="F178" s="8" t="n">
        <x:v>750</x:v>
      </x:c>
      <x:c r="G178" s="8" t="n">
        <x:v>1035.5010069834716</x:v>
      </x:c>
      <x:c r="H178" s="8" t="n">
        <x:v>0.1573742599866806</x:v>
      </x:c>
      <x:c r="I178" s="8" t="n">
        <x:v>20.42448155097468</x:v>
      </x:c>
      <x:c r="J178" s="8" t="n">
        <x:v>0</x:v>
      </x:c>
      <x:c r="K178" s="14" t="b">
        <x:v>0</x:v>
      </x:c>
    </x:row>
    <x:row r="179" ht="36" customHeight="1">
      <x:c r="A179" s="8" t="str">
        <x:v>Liquidity-first</x:v>
      </x:c>
      <x:c r="B179" s="8" t="str">
        <x:v>Severe benchmark</x:v>
      </x:c>
      <x:c r="C179" s="22" t="n">
        <x:v>5</x:v>
      </x:c>
      <x:c r="D179" s="8" t="n">
        <x:v>1869.56317552131</x:v>
      </x:c>
      <x:c r="E179" s="8" t="n">
        <x:v>81.35711307449174</x:v>
      </x:c>
      <x:c r="F179" s="8" t="n">
        <x:v>307.0676123201388</x:v>
      </x:c>
      <x:c r="G179" s="8" t="n">
        <x:v>0</x:v>
      </x:c>
      <x:c r="H179" s="8" t="n">
        <x:v>-0.1642456464379792</x:v>
      </x:c>
      <x:c r="I179" s="8" t="n">
        <x:v>22.979713818133042</x:v>
      </x:c>
      <x:c r="J179" s="8" t="n">
        <x:v>0</x:v>
      </x:c>
      <x:c r="K179" s="14" t="b">
        <x:v>0</x:v>
      </x:c>
    </x:row>
    <x:row r="180" ht="36" customHeight="1">
      <x:c r="A180" s="8" t="str">
        <x:v>Mixed consideration</x:v>
      </x:c>
      <x:c r="B180" s="8" t="str">
        <x:v>Severe benchmark</x:v>
      </x:c>
      <x:c r="C180" s="22" t="n">
        <x:v>1</x:v>
      </x:c>
      <x:c r="D180" s="8" t="n">
        <x:v>1577.2999999999993</x:v>
      </x:c>
      <x:c r="E180" s="8" t="n">
        <x:v>80.71332487309644</x:v>
      </x:c>
      <x:c r="F180" s="8" t="n">
        <x:v>750</x:v>
      </x:c>
      <x:c r="G180" s="8" t="n">
        <x:v>1287.2393092448374</x:v>
      </x:c>
      <x:c r="H180" s="8" t="n">
        <x:v>0.3406069290844086</x:v>
      </x:c>
      <x:c r="I180" s="8" t="n">
        <x:v>19.54200254394115</x:v>
      </x:c>
      <x:c r="J180" s="8" t="n">
        <x:v>0</x:v>
      </x:c>
      <x:c r="K180" s="14" t="b">
        <x:v>1</x:v>
      </x:c>
    </x:row>
    <x:row r="181" ht="36" customHeight="1">
      <x:c r="A181" s="8" t="str">
        <x:v>Mixed consideration</x:v>
      </x:c>
      <x:c r="B181" s="8" t="str">
        <x:v>Severe benchmark</x:v>
      </x:c>
      <x:c r="C181" s="22" t="n">
        <x:v>2</x:v>
      </x:c>
      <x:c r="D181" s="8" t="n">
        <x:v>1668.0644999999975</x:v>
      </x:c>
      <x:c r="E181" s="8" t="n">
        <x:v>52.686965462241865</x:v>
      </x:c>
      <x:c r="F181" s="8" t="n">
        <x:v>750</x:v>
      </x:c>
      <x:c r="G181" s="8" t="n">
        <x:v>843.6947157045345</x:v>
      </x:c>
      <x:c r="H181" s="8" t="n">
        <x:v>0.05616971987865854</x:v>
      </x:c>
      <x:c r="I181" s="8" t="n">
        <x:v>31.659908392245832</x:v>
      </x:c>
      <x:c r="J181" s="8" t="n">
        <x:v>0</x:v>
      </x:c>
      <x:c r="K181" s="14" t="b">
        <x:v>1</x:v>
      </x:c>
    </x:row>
    <x:row r="182" ht="36" customHeight="1">
      <x:c r="A182" s="8" t="str">
        <x:v>Mixed consideration</x:v>
      </x:c>
      <x:c r="B182" s="8" t="str">
        <x:v>Severe benchmark</x:v>
      </x:c>
      <x:c r="C182" s="22" t="n">
        <x:v>3</x:v>
      </x:c>
      <x:c r="D182" s="8" t="n">
        <x:v>1760.3347524999979</x:v>
      </x:c>
      <x:c r="E182" s="8" t="n">
        <x:v>32.06039919677231</x:v>
      </x:c>
      <x:c r="F182" s="8" t="n">
        <x:v>750</x:v>
      </x:c>
      <x:c r="G182" s="8" t="n">
        <x:v>288.6772220242035</x:v>
      </x:c>
      <x:c r="H182" s="8" t="n">
        <x:v>-0.2620653698511795</x:v>
      </x:c>
      <x:c r="I182" s="8" t="n">
        <x:v>54.906825760211376</x:v>
      </x:c>
      <x:c r="J182" s="8" t="n">
        <x:v>0</x:v>
      </x:c>
      <x:c r="K182" s="14" t="b">
        <x:v>1</x:v>
      </x:c>
    </x:row>
    <x:row r="183" ht="36" customHeight="1">
      <x:c r="A183" s="8" t="str">
        <x:v>Mixed consideration</x:v>
      </x:c>
      <x:c r="B183" s="8" t="str">
        <x:v>Severe benchmark</x:v>
      </x:c>
      <x:c r="C183" s="22" t="n">
        <x:v>4</x:v>
      </x:c>
      <x:c r="D183" s="8" t="n">
        <x:v>1814.1531341124974</x:v>
      </x:c>
      <x:c r="E183" s="8" t="n">
        <x:v>10.969734436919733</x:v>
      </x:c>
      <x:c r="F183" s="8" t="n">
        <x:v>1078.9923496529634</x:v>
      </x:c>
      <x:c r="G183" s="8" t="n">
        <x:v>0</x:v>
      </x:c>
      <x:c r="H183" s="8" t="n">
        <x:v>-0.5947636554842531</x:v>
      </x:c>
      <x:c r="I183" s="8" t="n">
        <x:v>165.37803577147542</x:v>
      </x:c>
      <x:c r="J183" s="8" t="n">
        <x:v>0</x:v>
      </x:c>
      <x:c r="K183" s="14" t="b">
        <x:v>1</x:v>
      </x:c>
    </x:row>
    <x:row r="184" ht="36" customHeight="1">
      <x:c r="A184" s="8" t="str">
        <x:v>Mixed consideration</x:v>
      </x:c>
      <x:c r="B184" s="8" t="str">
        <x:v>Severe benchmark</x:v>
      </x:c>
      <x:c r="C184" s="22" t="n">
        <x:v>5</x:v>
      </x:c>
      <x:c r="D184" s="8" t="n">
        <x:v>1869.56317552131</x:v>
      </x:c>
      <x:c r="E184" s="8" t="n">
        <x:v>0</x:v>
      </x:c>
      <x:c r="F184" s="8" t="n">
        <x:v>1732.5788037624425</x:v>
      </x:c>
      <x:c r="G184" s="8" t="n">
        <x:v>0</x:v>
      </x:c>
      <x:c r="H184" s="8" t="n">
        <x:v>-0.9267292095006788</x:v>
      </x:c>
      <x:c r="I184" s="8"/>
      <x:c r="J184" s="8" t="n">
        <x:v>0</x:v>
      </x:c>
      <x:c r="K184" s="14" t="b">
        <x:v>1</x:v>
      </x:c>
    </x:row>
    <x:row r="185" ht="36" customHeight="1">
      <x:c r="A185" s="8" t="str">
        <x:v>Cash-first</x:v>
      </x:c>
      <x:c r="B185" s="8" t="str">
        <x:v>Severe spread</x:v>
      </x:c>
      <x:c r="C185" s="22" t="n">
        <x:v>1</x:v>
      </x:c>
      <x:c r="D185" s="8" t="n">
        <x:v>1577.2999999999993</x:v>
      </x:c>
      <x:c r="E185" s="8" t="n">
        <x:v>168.73362944162437</x:v>
      </x:c>
      <x:c r="F185" s="8" t="n">
        <x:v>750</x:v>
      </x:c>
      <x:c r="G185" s="8" t="n">
        <x:v>2388.7875325950913</x:v>
      </x:c>
      <x:c r="H185" s="8" t="n">
        <x:v>1.038982776006525</x:v>
      </x:c>
      <x:c r="I185" s="8" t="n">
        <x:v>9.347869806508767</x:v>
      </x:c>
      <x:c r="J185" s="8" t="n">
        <x:v>0</x:v>
      </x:c>
      <x:c r="K185" s="14" t="b">
        <x:v>0</x:v>
      </x:c>
    </x:row>
    <x:row r="186" ht="36" customHeight="1">
      <x:c r="A186" s="8" t="str">
        <x:v>Cash-first</x:v>
      </x:c>
      <x:c r="B186" s="8" t="str">
        <x:v>Severe spread</x:v>
      </x:c>
      <x:c r="C186" s="22" t="n">
        <x:v>2</x:v>
      </x:c>
      <x:c r="D186" s="8" t="n">
        <x:v>1668.0644999999975</x:v>
      </x:c>
      <x:c r="E186" s="8" t="n">
        <x:v>142.69497143909504</x:v>
      </x:c>
      <x:c r="F186" s="8" t="n">
        <x:v>750</x:v>
      </x:c>
      <x:c r="G186" s="8" t="n">
        <x:v>2012.7489435374282</x:v>
      </x:c>
      <x:c r="H186" s="8" t="n">
        <x:v>0.7570144580964526</x:v>
      </x:c>
      <x:c r="I186" s="8" t="n">
        <x:v>11.68972167117998</x:v>
      </x:c>
      <x:c r="J186" s="8" t="n">
        <x:v>0</x:v>
      </x:c>
      <x:c r="K186" s="14" t="b">
        <x:v>0</x:v>
      </x:c>
    </x:row>
    <x:row r="187" ht="36" customHeight="1">
      <x:c r="A187" s="8" t="str">
        <x:v>Cash-first</x:v>
      </x:c>
      <x:c r="B187" s="8" t="str">
        <x:v>Severe spread</x:v>
      </x:c>
      <x:c r="C187" s="22" t="n">
        <x:v>3</x:v>
      </x:c>
      <x:c r="D187" s="8" t="n">
        <x:v>1760.3347524999979</x:v>
      </x:c>
      <x:c r="E187" s="8" t="n">
        <x:v>110.40491548299426</x:v>
      </x:c>
      <x:c r="F187" s="8" t="n">
        <x:v>750</x:v>
      </x:c>
      <x:c r="G187" s="8" t="n">
        <x:v>1516.4898370717638</x:v>
      </x:c>
      <x:c r="H187" s="8" t="n">
        <x:v>0.43542277171044186</x:v>
      </x:c>
      <x:c r="I187" s="8" t="n">
        <x:v>15.944351252831162</x:v>
      </x:c>
      <x:c r="J187" s="8" t="n">
        <x:v>0</x:v>
      </x:c>
      <x:c r="K187" s="14" t="b">
        <x:v>0</x:v>
      </x:c>
    </x:row>
    <x:row r="188" ht="36" customHeight="1">
      <x:c r="A188" s="8" t="str">
        <x:v>Cash-first</x:v>
      </x:c>
      <x:c r="B188" s="8" t="str">
        <x:v>Severe spread</x:v>
      </x:c>
      <x:c r="C188" s="22" t="n">
        <x:v>4</x:v>
      </x:c>
      <x:c r="D188" s="8" t="n">
        <x:v>1814.1531341124974</x:v>
      </x:c>
      <x:c r="E188" s="8" t="n">
        <x:v>82.5591869657411</x:v>
      </x:c>
      <x:c r="F188" s="8" t="n">
        <x:v>749.9999999999999</x:v>
      </x:c>
      <x:c r="G188" s="8" t="n">
        <x:v>952.5123547912125</x:v>
      </x:c>
      <x:c r="H188" s="8" t="n">
        <x:v>0.1116291403317966</x:v>
      </x:c>
      <x:c r="I188" s="8" t="n">
        <x:v>21.97397044214233</x:v>
      </x:c>
      <x:c r="J188" s="8" t="n">
        <x:v>0</x:v>
      </x:c>
      <x:c r="K188" s="14" t="b">
        <x:v>0</x:v>
      </x:c>
    </x:row>
    <x:row r="189" ht="36" customHeight="1">
      <x:c r="A189" s="8" t="str">
        <x:v>Cash-first</x:v>
      </x:c>
      <x:c r="B189" s="8" t="str">
        <x:v>Severe spread</x:v>
      </x:c>
      <x:c r="C189" s="22" t="n">
        <x:v>5</x:v>
      </x:c>
      <x:c r="D189" s="8" t="n">
        <x:v>1869.56317552131</x:v>
      </x:c>
      <x:c r="E189" s="8" t="n">
        <x:v>67.19743604933021</x:v>
      </x:c>
      <x:c r="F189" s="8" t="n">
        <x:v>400.67602228126873</x:v>
      </x:c>
      <x:c r="G189" s="8" t="n">
        <x:v>0</x:v>
      </x:c>
      <x:c r="H189" s="8" t="n">
        <x:v>-0.2143153157525923</x:v>
      </x:c>
      <x:c r="I189" s="8" t="n">
        <x:v>27.82194210726802</x:v>
      </x:c>
      <x:c r="J189" s="8" t="n">
        <x:v>0</x:v>
      </x:c>
      <x:c r="K189" s="14" t="b">
        <x:v>0</x:v>
      </x:c>
    </x:row>
    <x:row r="190" ht="36" customHeight="1">
      <x:c r="A190" s="8" t="str">
        <x:v>Liquidity-first</x:v>
      </x:c>
      <x:c r="B190" s="8" t="str">
        <x:v>Severe spread</x:v>
      </x:c>
      <x:c r="C190" s="22" t="n">
        <x:v>1</x:v>
      </x:c>
      <x:c r="D190" s="8" t="n">
        <x:v>1577.2999999999993</x:v>
      </x:c>
      <x:c r="E190" s="8" t="n">
        <x:v>243.80977157360405</x:v>
      </x:c>
      <x:c r="F190" s="8" t="n">
        <x:v>750</x:v>
      </x:c>
      <x:c r="G190" s="8" t="n">
        <x:v>2458.343370158543</x:v>
      </x:c>
      <x:c r="H190" s="8" t="n">
        <x:v>1.0830808154178304</x:v>
      </x:c>
      <x:c r="I190" s="8" t="n">
        <x:v>6.469387956929471</x:v>
      </x:c>
      <x:c r="J190" s="8" t="n">
        <x:v>0</x:v>
      </x:c>
      <x:c r="K190" s="14" t="b">
        <x:v>0</x:v>
      </x:c>
    </x:row>
    <x:row r="191" ht="36" customHeight="1">
      <x:c r="A191" s="8" t="str">
        <x:v>Liquidity-first</x:v>
      </x:c>
      <x:c r="B191" s="8" t="str">
        <x:v>Severe spread</x:v>
      </x:c>
      <x:c r="C191" s="22" t="n">
        <x:v>2</x:v>
      </x:c>
      <x:c r="D191" s="8" t="n">
        <x:v>1668.0644999999975</x:v>
      </x:c>
      <x:c r="E191" s="8" t="n">
        <x:v>148.43332803807982</x:v>
      </x:c>
      <x:c r="F191" s="8" t="n">
        <x:v>750</x:v>
      </x:c>
      <x:c r="G191" s="8" t="n">
        <x:v>2086.6085485501185</x:v>
      </x:c>
      <x:c r="H191" s="8" t="n">
        <x:v>0.8012930846200015</x:v>
      </x:c>
      <x:c r="I191" s="8" t="n">
        <x:v>11.23780300588601</x:v>
      </x:c>
      <x:c r="J191" s="8" t="n">
        <x:v>0</x:v>
      </x:c>
      <x:c r="K191" s="14" t="b">
        <x:v>0</x:v>
      </x:c>
    </x:row>
    <x:row r="192" ht="36" customHeight="1">
      <x:c r="A192" s="8" t="str">
        <x:v>Liquidity-first</x:v>
      </x:c>
      <x:c r="B192" s="8" t="str">
        <x:v>Severe spread</x:v>
      </x:c>
      <x:c r="C192" s="22" t="n">
        <x:v>3</x:v>
      </x:c>
      <x:c r="D192" s="8" t="n">
        <x:v>1760.3347524999979</x:v>
      </x:c>
      <x:c r="E192" s="8" t="n">
        <x:v>116.31368388400946</x:v>
      </x:c>
      <x:c r="F192" s="8" t="n">
        <x:v>750</x:v>
      </x:c>
      <x:c r="G192" s="8" t="n">
        <x:v>1594.7810183852155</x:v>
      </x:c>
      <x:c r="H192" s="8" t="n">
        <x:v>0.4798979382674072</x:v>
      </x:c>
      <x:c r="I192" s="8" t="n">
        <x:v>15.134373649926195</x:v>
      </x:c>
      <x:c r="J192" s="8" t="n">
        <x:v>0</x:v>
      </x:c>
      <x:c r="K192" s="14" t="b">
        <x:v>0</x:v>
      </x:c>
    </x:row>
    <x:row r="193" ht="36" customHeight="1">
      <x:c r="A193" s="8" t="str">
        <x:v>Liquidity-first</x:v>
      </x:c>
      <x:c r="B193" s="8" t="str">
        <x:v>Severe spread</x:v>
      </x:c>
      <x:c r="C193" s="22" t="n">
        <x:v>4</x:v>
      </x:c>
      <x:c r="D193" s="8" t="n">
        <x:v>1814.1531341124974</x:v>
      </x:c>
      <x:c r="E193" s="8" t="n">
        <x:v>88.82248147081724</x:v>
      </x:c>
      <x:c r="F193" s="8" t="n">
        <x:v>750</x:v>
      </x:c>
      <x:c r="G193" s="8" t="n">
        <x:v>1035.5010069834716</x:v>
      </x:c>
      <x:c r="H193" s="8" t="n">
        <x:v>0.1573742599866806</x:v>
      </x:c>
      <x:c r="I193" s="8" t="n">
        <x:v>20.424481550974683</x:v>
      </x:c>
      <x:c r="J193" s="8" t="n">
        <x:v>0</x:v>
      </x:c>
      <x:c r="K193" s="14" t="b">
        <x:v>0</x:v>
      </x:c>
    </x:row>
    <x:row r="194" ht="36" customHeight="1">
      <x:c r="A194" s="8" t="str">
        <x:v>Liquidity-first</x:v>
      </x:c>
      <x:c r="B194" s="8" t="str">
        <x:v>Severe spread</x:v>
      </x:c>
      <x:c r="C194" s="22" t="n">
        <x:v>5</x:v>
      </x:c>
      <x:c r="D194" s="8" t="n">
        <x:v>1869.56317552131</x:v>
      </x:c>
      <x:c r="E194" s="8" t="n">
        <x:v>73.33337320100377</x:v>
      </x:c>
      <x:c r="F194" s="8" t="n">
        <x:v>313.0854172252548</x:v>
      </x:c>
      <x:c r="G194" s="8" t="n">
        <x:v>0</x:v>
      </x:c>
      <x:c r="H194" s="8" t="n">
        <x:v>-0.1674644758329463</x:v>
      </x:c>
      <x:c r="I194" s="8" t="n">
        <x:v>25.494029442732902</x:v>
      </x:c>
      <x:c r="J194" s="8" t="n">
        <x:v>0</x:v>
      </x:c>
      <x:c r="K194" s="14" t="b">
        <x:v>0</x:v>
      </x:c>
    </x:row>
    <x:row r="195" ht="36" customHeight="1">
      <x:c r="A195" s="8" t="str">
        <x:v>Mixed consideration</x:v>
      </x:c>
      <x:c r="B195" s="8" t="str">
        <x:v>Severe spread</x:v>
      </x:c>
      <x:c r="C195" s="22" t="n">
        <x:v>1</x:v>
      </x:c>
      <x:c r="D195" s="8" t="n">
        <x:v>1577.2999999999993</x:v>
      </x:c>
      <x:c r="E195" s="8" t="n">
        <x:v>80.71332487309644</x:v>
      </x:c>
      <x:c r="F195" s="8" t="n">
        <x:v>750</x:v>
      </x:c>
      <x:c r="G195" s="8" t="n">
        <x:v>1287.2393092448374</x:v>
      </x:c>
      <x:c r="H195" s="8" t="n">
        <x:v>0.3406069290844086</x:v>
      </x:c>
      <x:c r="I195" s="8" t="n">
        <x:v>19.54200254394115</x:v>
      </x:c>
      <x:c r="J195" s="8" t="n">
        <x:v>0</x:v>
      </x:c>
      <x:c r="K195" s="14" t="b">
        <x:v>1</x:v>
      </x:c>
    </x:row>
    <x:row r="196" ht="36" customHeight="1">
      <x:c r="A196" s="8" t="str">
        <x:v>Mixed consideration</x:v>
      </x:c>
      <x:c r="B196" s="8" t="str">
        <x:v>Severe spread</x:v>
      </x:c>
      <x:c r="C196" s="22" t="n">
        <x:v>2</x:v>
      </x:c>
      <x:c r="D196" s="8" t="n">
        <x:v>1668.0644999999975</x:v>
      </x:c>
      <x:c r="E196" s="8" t="n">
        <x:v>52.686965462241865</x:v>
      </x:c>
      <x:c r="F196" s="8" t="n">
        <x:v>750</x:v>
      </x:c>
      <x:c r="G196" s="8" t="n">
        <x:v>843.6947157045345</x:v>
      </x:c>
      <x:c r="H196" s="8" t="n">
        <x:v>0.05616971987865854</x:v>
      </x:c>
      <x:c r="I196" s="8" t="n">
        <x:v>31.659908392245832</x:v>
      </x:c>
      <x:c r="J196" s="8" t="n">
        <x:v>0</x:v>
      </x:c>
      <x:c r="K196" s="14" t="b">
        <x:v>1</x:v>
      </x:c>
    </x:row>
    <x:row r="197" ht="36" customHeight="1">
      <x:c r="A197" s="8" t="str">
        <x:v>Mixed consideration</x:v>
      </x:c>
      <x:c r="B197" s="8" t="str">
        <x:v>Severe spread</x:v>
      </x:c>
      <x:c r="C197" s="22" t="n">
        <x:v>3</x:v>
      </x:c>
      <x:c r="D197" s="8" t="n">
        <x:v>1760.3347524999979</x:v>
      </x:c>
      <x:c r="E197" s="8" t="n">
        <x:v>32.06039919677231</x:v>
      </x:c>
      <x:c r="F197" s="8" t="n">
        <x:v>750</x:v>
      </x:c>
      <x:c r="G197" s="8" t="n">
        <x:v>288.6772220242035</x:v>
      </x:c>
      <x:c r="H197" s="8" t="n">
        <x:v>-0.2620653698511795</x:v>
      </x:c>
      <x:c r="I197" s="8" t="n">
        <x:v>54.906825760211376</x:v>
      </x:c>
      <x:c r="J197" s="8" t="n">
        <x:v>0</x:v>
      </x:c>
      <x:c r="K197" s="14" t="b">
        <x:v>1</x:v>
      </x:c>
    </x:row>
    <x:row r="198" ht="36" customHeight="1">
      <x:c r="A198" s="8" t="str">
        <x:v>Mixed consideration</x:v>
      </x:c>
      <x:c r="B198" s="8" t="str">
        <x:v>Severe spread</x:v>
      </x:c>
      <x:c r="C198" s="22" t="n">
        <x:v>4</x:v>
      </x:c>
      <x:c r="D198" s="8" t="n">
        <x:v>1814.1531341124974</x:v>
      </x:c>
      <x:c r="E198" s="8" t="n">
        <x:v>10.969734436919733</x:v>
      </x:c>
      <x:c r="F198" s="8" t="n">
        <x:v>1078.9923496529634</x:v>
      </x:c>
      <x:c r="G198" s="8" t="n">
        <x:v>0</x:v>
      </x:c>
      <x:c r="H198" s="8" t="n">
        <x:v>-0.5947636554842531</x:v>
      </x:c>
      <x:c r="I198" s="8" t="n">
        <x:v>165.37803577147542</x:v>
      </x:c>
      <x:c r="J198" s="8" t="n">
        <x:v>0</x:v>
      </x:c>
      <x:c r="K198" s="14" t="b">
        <x:v>1</x:v>
      </x:c>
    </x:row>
    <x:row r="199" ht="36" customHeight="1">
      <x:c r="A199" s="8" t="str">
        <x:v>Mixed consideration</x:v>
      </x:c>
      <x:c r="B199" s="8" t="str">
        <x:v>Severe spread</x:v>
      </x:c>
      <x:c r="C199" s="22" t="n">
        <x:v>5</x:v>
      </x:c>
      <x:c r="D199" s="8" t="n">
        <x:v>1869.56317552131</x:v>
      </x:c>
      <x:c r="E199" s="8" t="n">
        <x:v>0</x:v>
      </x:c>
      <x:c r="F199" s="8" t="n">
        <x:v>1732.5788037624425</x:v>
      </x:c>
      <x:c r="G199" s="8" t="n">
        <x:v>0</x:v>
      </x:c>
      <x:c r="H199" s="8" t="n">
        <x:v>-0.9267292095006788</x:v>
      </x:c>
      <x:c r="I199" s="8"/>
      <x:c r="J199" s="8" t="n">
        <x:v>0</x:v>
      </x:c>
      <x:c r="K199" s="14" t="b">
        <x:v>1</x:v>
      </x:c>
    </x:row>
    <x:row r="200" ht="36" customHeight="1">
      <x:c r="A200" s="8" t="str">
        <x:v>Cash-first</x:v>
      </x:c>
      <x:c r="B200" s="8" t="str">
        <x:v>Severe synergies</x:v>
      </x:c>
      <x:c r="C200" s="22" t="n">
        <x:v>1</x:v>
      </x:c>
      <x:c r="D200" s="8" t="n">
        <x:v>1557.2999999999993</x:v>
      </x:c>
      <x:c r="E200" s="8" t="n">
        <x:v>141.93159898477157</x:v>
      </x:c>
      <x:c r="F200" s="8" t="n">
        <x:v>750</x:v>
      </x:c>
      <x:c r="G200" s="8" t="n">
        <x:v>2383.6860097524514</x:v>
      </x:c>
      <x:c r="H200" s="8" t="n">
        <x:v>1.0490502855920196</x:v>
      </x:c>
      <x:c r="I200" s="8" t="n">
        <x:v>10.972186681044075</x:v>
      </x:c>
      <x:c r="J200" s="8" t="n">
        <x:v>0</x:v>
      </x:c>
      <x:c r="K200" s="14" t="b">
        <x:v>0</x:v>
      </x:c>
    </x:row>
    <x:row r="201" ht="36" customHeight="1">
      <x:c r="A201" s="8" t="str">
        <x:v>Cash-first</x:v>
      </x:c>
      <x:c r="B201" s="8" t="str">
        <x:v>Severe synergies</x:v>
      </x:c>
      <x:c r="C201" s="22" t="n">
        <x:v>2</x:v>
      </x:c>
      <x:c r="D201" s="8" t="n">
        <x:v>1608.0644999999975</x:v>
      </x:c>
      <x:c r="E201" s="8" t="n">
        <x:v>120.88037560952822</x:v>
      </x:c>
      <x:c r="F201" s="8" t="n">
        <x:v>750</x:v>
      </x:c>
      <x:c r="G201" s="8" t="n">
        <x:v>2036.286473822613</x:v>
      </x:c>
      <x:c r="H201" s="8" t="n">
        <x:v>0.7998973137101248</x:v>
      </x:c>
      <x:c r="I201" s="8" t="n">
        <x:v>13.302940960362504</x:v>
      </x:c>
      <x:c r="J201" s="8" t="n">
        <x:v>0</x:v>
      </x:c>
      <x:c r="K201" s="14" t="b">
        <x:v>0</x:v>
      </x:c>
    </x:row>
    <x:row r="202" ht="36" customHeight="1">
      <x:c r="A202" s="8" t="str">
        <x:v>Cash-first</x:v>
      </x:c>
      <x:c r="B202" s="8" t="str">
        <x:v>Severe synergies</x:v>
      </x:c>
      <x:c r="C202" s="22" t="n">
        <x:v>3</x:v>
      </x:c>
      <x:c r="D202" s="8" t="n">
        <x:v>1660.3347524999979</x:v>
      </x:c>
      <x:c r="E202" s="8" t="n">
        <x:v>97.52218842935679</x:v>
      </x:c>
      <x:c r="F202" s="8" t="n">
        <x:v>750</x:v>
      </x:c>
      <x:c r="G202" s="8" t="n">
        <x:v>1605.3653220667204</x:v>
      </x:c>
      <x:c r="H202" s="8" t="n">
        <x:v>0.5151764249822396</x:v>
      </x:c>
      <x:c r="I202" s="8" t="n">
        <x:v>17.0251998979977</x:v>
      </x:c>
      <x:c r="J202" s="8" t="n">
        <x:v>0</x:v>
      </x:c>
      <x:c r="K202" s="14" t="b">
        <x:v>0</x:v>
      </x:c>
    </x:row>
    <x:row r="203" ht="36" customHeight="1">
      <x:c r="A203" s="8" t="str">
        <x:v>Cash-first</x:v>
      </x:c>
      <x:c r="B203" s="8" t="str">
        <x:v>Severe synergies</x:v>
      </x:c>
      <x:c r="C203" s="22" t="n">
        <x:v>4</x:v>
      </x:c>
      <x:c r="D203" s="8" t="n">
        <x:v>1714.1531341124974</x:v>
      </x:c>
      <x:c r="E203" s="8" t="n">
        <x:v>76.20191932400323</x:v>
      </x:c>
      <x:c r="F203" s="8" t="n">
        <x:v>749.9999999999999</x:v>
      </x:c>
      <x:c r="G203" s="8" t="n">
        <x:v>1111.6198890548658</x:v>
      </x:c>
      <x:c r="H203" s="8" t="n">
        <x:v>0.21096125069484797</x:v>
      </x:c>
      <x:c r="I203" s="8" t="n">
        <x:v>22.494881353632096</x:v>
      </x:c>
      <x:c r="J203" s="8" t="n">
        <x:v>0</x:v>
      </x:c>
      <x:c r="K203" s="14" t="b">
        <x:v>0</x:v>
      </x:c>
    </x:row>
    <x:row r="204" ht="36" customHeight="1">
      <x:c r="A204" s="8" t="str">
        <x:v>Cash-first</x:v>
      </x:c>
      <x:c r="B204" s="8" t="str">
        <x:v>Severe synergies</x:v>
      </x:c>
      <x:c r="C204" s="22" t="n">
        <x:v>5</x:v>
      </x:c>
      <x:c r="D204" s="8" t="n">
        <x:v>1769.56317552131</x:v>
      </x:c>
      <x:c r="E204" s="8" t="n">
        <x:v>65.41455184967947</x:v>
      </x:c>
      <x:c r="F204" s="8" t="n">
        <x:v>167.90565116735354</x:v>
      </x:c>
      <x:c r="G204" s="8" t="n">
        <x:v>0</x:v>
      </x:c>
      <x:c r="H204" s="8" t="n">
        <x:v>-0.09488536690298657</x:v>
      </x:c>
      <x:c r="I204" s="8" t="n">
        <x:v>27.051521801872298</x:v>
      </x:c>
      <x:c r="J204" s="8" t="n">
        <x:v>0</x:v>
      </x:c>
      <x:c r="K204" s="14" t="b">
        <x:v>0</x:v>
      </x:c>
    </x:row>
    <x:row r="205" ht="36" customHeight="1">
      <x:c r="A205" s="8" t="str">
        <x:v>Liquidity-first</x:v>
      </x:c>
      <x:c r="B205" s="8" t="str">
        <x:v>Severe synergies</x:v>
      </x:c>
      <x:c r="C205" s="22" t="n">
        <x:v>1</x:v>
      </x:c>
      <x:c r="D205" s="8" t="n">
        <x:v>1557.2999999999993</x:v>
      </x:c>
      <x:c r="E205" s="8" t="n">
        <x:v>199.34276649746192</x:v>
      </x:c>
      <x:c r="F205" s="8" t="n">
        <x:v>750</x:v>
      </x:c>
      <x:c r="G205" s="8" t="n">
        <x:v>2439.9931163514366</x:v>
      </x:c>
      <x:c r="H205" s="8" t="n">
        <x:v>1.0852071639064005</x:v>
      </x:c>
      <x:c r="I205" s="8" t="n">
        <x:v>7.812172106178867</x:v>
      </x:c>
      <x:c r="J205" s="8" t="n">
        <x:v>0</x:v>
      </x:c>
      <x:c r="K205" s="14" t="b">
        <x:v>0</x:v>
      </x:c>
    </x:row>
    <x:row r="206" ht="36" customHeight="1">
      <x:c r="A206" s="8" t="str">
        <x:v>Liquidity-first</x:v>
      </x:c>
      <x:c r="B206" s="8" t="str">
        <x:v>Severe synergies</x:v>
      </x:c>
      <x:c r="C206" s="22" t="n">
        <x:v>2</x:v>
      </x:c>
      <x:c r="D206" s="8" t="n">
        <x:v>1608.0644999999975</x:v>
      </x:c>
      <x:c r="E206" s="8" t="n">
        <x:v>124.39956977196476</x:v>
      </x:c>
      <x:c r="F206" s="8" t="n">
        <x:v>750</x:v>
      </x:c>
      <x:c r="G206" s="8" t="n">
        <x:v>2095.2329760434254</x:v>
      </x:c>
      <x:c r="H206" s="8" t="n">
        <x:v>0.8365541158600464</x:v>
      </x:c>
      <x:c r="I206" s="8" t="n">
        <x:v>12.926608210524519</x:v>
      </x:c>
      <x:c r="J206" s="8" t="n">
        <x:v>0</x:v>
      </x:c>
      <x:c r="K206" s="14" t="b">
        <x:v>0</x:v>
      </x:c>
    </x:row>
    <x:row r="207" ht="36" customHeight="1">
      <x:c r="A207" s="8" t="str">
        <x:v>Liquidity-first</x:v>
      </x:c>
      <x:c r="B207" s="8" t="str">
        <x:v>Severe synergies</x:v>
      </x:c>
      <x:c r="C207" s="22" t="n">
        <x:v>3</x:v>
      </x:c>
      <x:c r="D207" s="8" t="n">
        <x:v>1660.3347524999979</x:v>
      </x:c>
      <x:c r="E207" s="8" t="n">
        <x:v>101.05897856260552</x:v>
      </x:c>
      <x:c r="F207" s="8" t="n">
        <x:v>750</x:v>
      </x:c>
      <x:c r="G207" s="8" t="n">
        <x:v>1666.9644168874693</x:v>
      </x:c>
      <x:c r="H207" s="8" t="n">
        <x:v>0.5522768318297129</x:v>
      </x:c>
      <x:c r="I207" s="8" t="n">
        <x:v>16.429364081405485</x:v>
      </x:c>
      <x:c r="J207" s="8" t="n">
        <x:v>0</x:v>
      </x:c>
      <x:c r="K207" s="14" t="b">
        <x:v>0</x:v>
      </x:c>
    </x:row>
    <x:row r="208" ht="36" customHeight="1">
      <x:c r="A208" s="8" t="str">
        <x:v>Liquidity-first</x:v>
      </x:c>
      <x:c r="B208" s="8" t="str">
        <x:v>Severe synergies</x:v>
      </x:c>
      <x:c r="C208" s="22" t="n">
        <x:v>4</x:v>
      </x:c>
      <x:c r="D208" s="8" t="n">
        <x:v>1714.1531341124974</x:v>
      </x:c>
      <x:c r="E208" s="8" t="n">
        <x:v>79.89786501324815</x:v>
      </x:c>
      <x:c r="F208" s="8" t="n">
        <x:v>750</x:v>
      </x:c>
      <x:c r="G208" s="8" t="n">
        <x:v>1175.9909431425485</x:v>
      </x:c>
      <x:c r="H208" s="8" t="n">
        <x:v>0.24851393651192388</x:v>
      </x:c>
      <x:c r="I208" s="8" t="n">
        <x:v>21.454304615376987</x:v>
      </x:c>
      <x:c r="J208" s="8" t="n">
        <x:v>0</x:v>
      </x:c>
      <x:c r="K208" s="14" t="b">
        <x:v>0</x:v>
      </x:c>
    </x:row>
    <x:row r="209" ht="36" customHeight="1">
      <x:c r="A209" s="8" t="str">
        <x:v>Liquidity-first</x:v>
      </x:c>
      <x:c r="B209" s="8" t="str">
        <x:v>Severe synergies</x:v>
      </x:c>
      <x:c r="C209" s="22" t="n">
        <x:v>5</x:v>
      </x:c>
      <x:c r="D209" s="8" t="n">
        <x:v>1769.56317552131</x:v>
      </x:c>
      <x:c r="E209" s="8" t="n">
        <x:v>69.22572276022487</x:v>
      </x:c>
      <x:c r="F209" s="8" t="n">
        <x:v>100.67621889676184</x:v>
      </x:c>
      <x:c r="G209" s="8" t="n">
        <x:v>0</x:v>
      </x:c>
      <x:c r="H209" s="8" t="n">
        <x:v>-0.0568932606020708</x:v>
      </x:c>
      <x:c r="I209" s="8" t="n">
        <x:v>25.562220298522483</x:v>
      </x:c>
      <x:c r="J209" s="8" t="n">
        <x:v>0</x:v>
      </x:c>
      <x:c r="K209" s="14" t="b">
        <x:v>0</x:v>
      </x:c>
    </x:row>
    <x:row r="210" ht="36" customHeight="1">
      <x:c r="A210" s="8" t="str">
        <x:v>Mixed consideration</x:v>
      </x:c>
      <x:c r="B210" s="8" t="str">
        <x:v>Severe synergies</x:v>
      </x:c>
      <x:c r="C210" s="22" t="n">
        <x:v>1</x:v>
      </x:c>
      <x:c r="D210" s="8" t="n">
        <x:v>1557.2999999999993</x:v>
      </x:c>
      <x:c r="E210" s="8" t="n">
        <x:v>74.62195431472081</x:v>
      </x:c>
      <x:c r="F210" s="8" t="n">
        <x:v>750</x:v>
      </x:c>
      <x:c r="G210" s="8" t="n">
        <x:v>1297.670781326056</x:v>
      </x:c>
      <x:c r="H210" s="8" t="n">
        <x:v>0.3516796900571863</x:v>
      </x:c>
      <x:c r="I210" s="8" t="n">
        <x:v>20.869193447172798</x:v>
      </x:c>
      <x:c r="J210" s="8" t="n">
        <x:v>0</x:v>
      </x:c>
      <x:c r="K210" s="14" t="b">
        <x:v>1</x:v>
      </x:c>
    </x:row>
    <x:row r="211" ht="36" customHeight="1">
      <x:c r="A211" s="8" t="str">
        <x:v>Mixed consideration</x:v>
      </x:c>
      <x:c r="B211" s="8" t="str">
        <x:v>Severe synergies</x:v>
      </x:c>
      <x:c r="C211" s="22" t="n">
        <x:v>2</x:v>
      </x:c>
      <x:c r="D211" s="8" t="n">
        <x:v>1608.0644999999975</x:v>
      </x:c>
      <x:c r="E211" s="8" t="n">
        <x:v>53.20853906630279</x:v>
      </x:c>
      <x:c r="F211" s="8" t="n">
        <x:v>750</x:v>
      </x:c>
      <x:c r="G211" s="8" t="n">
        <x:v>899.5173679887987</x:v>
      </x:c>
      <x:c r="H211" s="8" t="n">
        <x:v>0.09297970820747485</x:v>
      </x:c>
      <x:c r="I211" s="8" t="n">
        <x:v>30.221925431859713</x:v>
      </x:c>
      <x:c r="J211" s="8" t="n">
        <x:v>0</x:v>
      </x:c>
      <x:c r="K211" s="14" t="b">
        <x:v>1</x:v>
      </x:c>
    </x:row>
    <x:row r="212" ht="36" customHeight="1">
      <x:c r="A212" s="8" t="str">
        <x:v>Mixed consideration</x:v>
      </x:c>
      <x:c r="B212" s="8" t="str">
        <x:v>Severe synergies</x:v>
      </x:c>
      <x:c r="C212" s="22" t="n">
        <x:v>3</x:v>
      </x:c>
      <x:c r="D212" s="8" t="n">
        <x:v>1660.3347524999979</x:v>
      </x:c>
      <x:c r="E212" s="8" t="n">
        <x:v>34.18165998357435</x:v>
      </x:c>
      <x:c r="F212" s="8" t="n">
        <x:v>750</x:v>
      </x:c>
      <x:c r="G212" s="8" t="n">
        <x:v>421.0908198985692</x:v>
      </x:c>
      <x:c r="H212" s="8" t="n">
        <x:v>-0.19809811220670168</x:v>
      </x:c>
      <x:c r="I212" s="8" t="n">
        <x:v>48.573847885031185</x:v>
      </x:c>
      <x:c r="J212" s="8" t="n">
        <x:v>0</x:v>
      </x:c>
      <x:c r="K212" s="14" t="b">
        <x:v>1</x:v>
      </x:c>
    </x:row>
    <x:row r="213" ht="36" customHeight="1">
      <x:c r="A213" s="8" t="str">
        <x:v>Mixed consideration</x:v>
      </x:c>
      <x:c r="B213" s="8" t="str">
        <x:v>Severe synergies</x:v>
      </x:c>
      <x:c r="C213" s="22" t="n">
        <x:v>4</x:v>
      </x:c>
      <x:c r="D213" s="8" t="n">
        <x:v>1714.1531341124974</x:v>
      </x:c>
      <x:c r="E213" s="8" t="n">
        <x:v>16.001451156145627</x:v>
      </x:c>
      <x:c r="F213" s="8" t="n">
        <x:v>867.8049642391784</x:v>
      </x:c>
      <x:c r="G213" s="8" t="n">
        <x:v>0</x:v>
      </x:c>
      <x:c r="H213" s="8" t="n">
        <x:v>-0.506258715729318</x:v>
      </x:c>
      <x:c r="I213" s="8" t="n">
        <x:v>107.12485495130534</x:v>
      </x:c>
      <x:c r="J213" s="8" t="n">
        <x:v>0</x:v>
      </x:c>
      <x:c r="K213" s="14" t="b">
        <x:v>1</x:v>
      </x:c>
    </x:row>
    <x:row r="214" ht="36" customHeight="1">
      <x:c r="A214" s="8" t="str">
        <x:v>Mixed consideration</x:v>
      </x:c>
      <x:c r="B214" s="8" t="str">
        <x:v>Severe synergies</x:v>
      </x:c>
      <x:c r="C214" s="22" t="n">
        <x:v>5</x:v>
      </x:c>
      <x:c r="D214" s="8" t="n">
        <x:v>1769.56317552131</x:v>
      </x:c>
      <x:c r="E214" s="8" t="n">
        <x:v>0</x:v>
      </x:c>
      <x:c r="F214" s="8" t="n">
        <x:v>1446.3914183486575</x:v>
      </x:c>
      <x:c r="G214" s="8" t="n">
        <x:v>0</x:v>
      </x:c>
      <x:c r="H214" s="8" t="n">
        <x:v>-0.8173720149451873</x:v>
      </x:c>
      <x:c r="I214" s="8"/>
      <x:c r="J214" s="8" t="n">
        <x:v>0</x:v>
      </x:c>
      <x:c r="K214" s="14" t="b">
        <x:v>1</x:v>
      </x:c>
    </x:row>
    <x:row r="215" ht="36" customHeight="1">
      <x:c r="A215" s="8" t="str">
        <x:v>Cash-first</x:v>
      </x:c>
      <x:c r="B215" s="8" t="str">
        <x:v>Severe combined</x:v>
      </x:c>
      <x:c r="C215" s="22" t="n">
        <x:v>1</x:v>
      </x:c>
      <x:c r="D215" s="8" t="n">
        <x:v>862.3499999999981</x:v>
      </x:c>
      <x:c r="E215" s="8" t="n">
        <x:v>195.53565989847715</x:v>
      </x:c>
      <x:c r="F215" s="8" t="n">
        <x:v>642.8177828384661</x:v>
      </x:c>
      <x:c r="G215" s="8" t="n">
        <x:v>3257.299492385787</x:v>
      </x:c>
      <x:c r="H215" s="8" t="n">
        <x:v>3.0318104128803</x:v>
      </x:c>
      <x:c r="I215" s="8" t="n">
        <x:v>4.410193007494047</x:v>
      </x:c>
      <x:c r="J215" s="8" t="n">
        <x:v>0</x:v>
      </x:c>
      <x:c r="K215" s="14" t="b">
        <x:v>0</x:v>
      </x:c>
    </x:row>
    <x:row r="216" ht="36" customHeight="1">
      <x:c r="A216" s="8" t="str">
        <x:v>Cash-first</x:v>
      </x:c>
      <x:c r="B216" s="8" t="str">
        <x:v>Severe combined</x:v>
      </x:c>
      <x:c r="C216" s="22" t="n">
        <x:v>2</x:v>
      </x:c>
      <x:c r="D216" s="8" t="n">
        <x:v>895.7407500000004</x:v>
      </x:c>
      <x:c r="E216" s="8" t="n">
        <x:v>239.03819796954315</x:v>
      </x:c>
      <x:c r="F216" s="8" t="n">
        <x:v>362.39835518870314</x:v>
      </x:c>
      <x:c r="G216" s="8" t="n">
        <x:v>3214.497461928934</x:v>
      </x:c>
      <x:c r="H216" s="8" t="n">
        <x:v>3.1840676074413605</x:v>
      </x:c>
      <x:c r="I216" s="8" t="n">
        <x:v>3.747270342600769</x:v>
      </x:c>
      <x:c r="J216" s="8" t="n">
        <x:v>0</x:v>
      </x:c>
      <x:c r="K216" s="14" t="b">
        <x:v>0</x:v>
      </x:c>
    </x:row>
    <x:row r="217" ht="36" customHeight="1">
      <x:c r="A217" s="8" t="str">
        <x:v>Cash-first</x:v>
      </x:c>
      <x:c r="B217" s="8" t="str">
        <x:v>Severe combined</x:v>
      </x:c>
      <x:c r="C217" s="22" t="n">
        <x:v>3</x:v>
      </x:c>
      <x:c r="D217" s="8" t="n">
        <x:v>930.2029087499984</x:v>
      </x:c>
      <x:c r="E217" s="8" t="n">
        <x:v>230.69974619289343</x:v>
      </x:c>
      <x:c r="F217" s="8" t="n">
        <x:v>0</x:v>
      </x:c>
      <x:c r="G217" s="8" t="n">
        <x:v>3029.8696538185486</x:v>
      </x:c>
      <x:c r="H217" s="8" t="n">
        <x:v>3.2572136953324202</x:v>
      </x:c>
      <x:c r="I217" s="8" t="n">
        <x:v>4.032093333870572</x:v>
      </x:c>
      <x:c r="J217" s="8" t="n">
        <x:v>208.17422234646742</x:v>
      </x:c>
      <x:c r="K217" s="14" t="b">
        <x:v>0</x:v>
      </x:c>
    </x:row>
    <x:row r="218" ht="36" customHeight="1">
      <x:c r="A218" s="8" t="str">
        <x:v>Cash-first</x:v>
      </x:c>
      <x:c r="B218" s="8" t="str">
        <x:v>Severe combined</x:v>
      </x:c>
      <x:c r="C218" s="22" t="n">
        <x:v>4</x:v>
      </x:c>
      <x:c r="D218" s="8" t="n">
        <x:v>965.7679942687492</x:v>
      </x:c>
      <x:c r="E218" s="8" t="n">
        <x:v>221.88992530765012</x:v>
      </x:c>
      <x:c r="F218" s="8" t="n">
        <x:v>-137.04931525022636</x:v>
      </x:c>
      <x:c r="G218" s="8" t="n">
        <x:v>3029.8696538185486</x:v>
      </x:c>
      <x:c r="H218" s="8" t="n">
        <x:v>3.2791715897218894</x:v>
      </x:c>
      <x:c r="I218" s="8" t="n">
        <x:v>4.352464371375641</x:v>
      </x:c>
      <x:c r="J218" s="8" t="n">
        <x:v>1124.1742223464676</x:v>
      </x:c>
      <x:c r="K218" s="14" t="b">
        <x:v>0</x:v>
      </x:c>
    </x:row>
    <x:row r="219" ht="36" customHeight="1">
      <x:c r="A219" s="8" t="str">
        <x:v>Cash-first</x:v>
      </x:c>
      <x:c r="B219" s="8" t="str">
        <x:v>Severe combined</x:v>
      </x:c>
      <x:c r="C219" s="22" t="n">
        <x:v>5</x:v>
      </x:c>
      <x:c r="D219" s="8" t="n">
        <x:v>1002.4684071814665</x:v>
      </x:c>
      <x:c r="E219" s="8" t="n">
        <x:v>221.88992530765012</x:v>
      </x:c>
      <x:c r="F219" s="8" t="n">
        <x:v>-259.4472674901913</x:v>
      </x:c>
      <x:c r="G219" s="8" t="n">
        <x:v>3029.8696538185486</x:v>
      </x:c>
      <x:c r="H219" s="8" t="n">
        <x:v>3.281217540368141</x:v>
      </x:c>
      <x:c r="I219" s="8" t="n">
        <x:v>4.517863556858408</x:v>
      </x:c>
      <x:c r="J219" s="8" t="n">
        <x:v>3029.8696538185486</x:v>
      </x:c>
      <x:c r="K219" s="14" t="b">
        <x:v>0</x:v>
      </x:c>
    </x:row>
    <x:row r="220" ht="36" customHeight="1">
      <x:c r="A220" s="8" t="str">
        <x:v>Liquidity-first</x:v>
      </x:c>
      <x:c r="B220" s="8" t="str">
        <x:v>Severe combined</x:v>
      </x:c>
      <x:c r="C220" s="22" t="n">
        <x:v>1</x:v>
      </x:c>
      <x:c r="D220" s="8" t="n">
        <x:v>862.3499999999981</x:v>
      </x:c>
      <x:c r="E220" s="8" t="n">
        <x:v>288.2767766497462</x:v>
      </x:c>
      <x:c r="F220" s="8" t="n">
        <x:v>750</x:v>
      </x:c>
      <x:c r="G220" s="8" t="n">
        <x:v>3447.28627807524</x:v>
      </x:c>
      <x:c r="H220" s="8" t="n">
        <x:v>3.1278324092018854</x:v>
      </x:c>
      <x:c r="I220" s="8" t="n">
        <x:v>2.991396011922757</x:v>
      </x:c>
      <x:c r="J220" s="8" t="n">
        <x:v>0</x:v>
      </x:c>
      <x:c r="K220" s="14" t="b">
        <x:v>0</x:v>
      </x:c>
    </x:row>
    <x:row r="221" ht="36" customHeight="1">
      <x:c r="A221" s="8" t="str">
        <x:v>Liquidity-first</x:v>
      </x:c>
      <x:c r="B221" s="8" t="str">
        <x:v>Severe combined</x:v>
      </x:c>
      <x:c r="C221" s="22" t="n">
        <x:v>2</x:v>
      </x:c>
      <x:c r="D221" s="8" t="n">
        <x:v>895.7407500000004</x:v>
      </x:c>
      <x:c r="E221" s="8" t="n">
        <x:v>272.68684350271207</x:v>
      </x:c>
      <x:c r="F221" s="8" t="n">
        <x:v>750</x:v>
      </x:c>
      <x:c r="G221" s="8" t="n">
        <x:v>3710.140159418027</x:v>
      </x:c>
      <x:c r="H221" s="8" t="n">
        <x:v>3.3046840387891536</x:v>
      </x:c>
      <x:c r="I221" s="8" t="n">
        <x:v>3.284869700694202</x:v>
      </x:c>
      <x:c r="J221" s="8" t="n">
        <x:v>0</x:v>
      </x:c>
      <x:c r="K221" s="14" t="b">
        <x:v>0</x:v>
      </x:c>
    </x:row>
    <x:row r="222" ht="36" customHeight="1">
      <x:c r="A222" s="8" t="str">
        <x:v>Liquidity-first</x:v>
      </x:c>
      <x:c r="B222" s="8" t="str">
        <x:v>Severe combined</x:v>
      </x:c>
      <x:c r="C222" s="22" t="n">
        <x:v>3</x:v>
      </x:c>
      <x:c r="D222" s="8" t="n">
        <x:v>930.2029087499984</x:v>
      </x:c>
      <x:c r="E222" s="8" t="n">
        <x:v>287.16429599737677</x:v>
      </x:c>
      <x:c r="F222" s="8" t="n">
        <x:v>426.0931490732485</x:v>
      </x:c>
      <x:c r="G222" s="8" t="n">
        <x:v>3606.3522679229554</x:v>
      </x:c>
      <x:c r="H222" s="8" t="n">
        <x:v>3.4188875232859908</x:v>
      </x:c>
      <x:c r="I222" s="8" t="n">
        <x:v>3.239270764909074</x:v>
      </x:c>
      <x:c r="J222" s="8" t="n">
        <x:v>0</x:v>
      </x:c>
      <x:c r="K222" s="14" t="b">
        <x:v>0</x:v>
      </x:c>
    </x:row>
    <x:row r="223" ht="36" customHeight="1">
      <x:c r="A223" s="8" t="str">
        <x:v>Liquidity-first</x:v>
      </x:c>
      <x:c r="B223" s="8" t="str">
        <x:v>Severe combined</x:v>
      </x:c>
      <x:c r="C223" s="22" t="n">
        <x:v>4</x:v>
      </x:c>
      <x:c r="D223" s="8" t="n">
        <x:v>965.7679942687492</x:v>
      </x:c>
      <x:c r="E223" s="8" t="n">
        <x:v>289.06022679229557</x:v>
      </x:c>
      <x:c r="F223" s="8" t="n">
        <x:v>0</x:v>
      </x:c>
      <x:c r="G223" s="8" t="n">
        <x:v>3367.6861602134177</x:v>
      </x:c>
      <x:c r="H223" s="8" t="n">
        <x:v>3.4870550486230694</x:v>
      </x:c>
      <x:c r="I223" s="8" t="n">
        <x:v>3.34106149775736</x:v>
      </x:c>
      <x:c r="J223" s="8" t="n">
        <x:v>721.8008973666042</x:v>
      </x:c>
      <x:c r="K223" s="14" t="b">
        <x:v>0</x:v>
      </x:c>
    </x:row>
    <x:row r="224" ht="36" customHeight="1">
      <x:c r="A224" s="8" t="str">
        <x:v>Liquidity-first</x:v>
      </x:c>
      <x:c r="B224" s="8" t="str">
        <x:v>Severe combined</x:v>
      </x:c>
      <x:c r="C224" s="22" t="n">
        <x:v>5</x:v>
      </x:c>
      <x:c r="D224" s="8" t="n">
        <x:v>1002.4684071814665</x:v>
      </x:c>
      <x:c r="E224" s="8" t="n">
        <x:v>279.99091469933313</x:v>
      </x:c>
      <x:c r="F224" s="8" t="n">
        <x:v>-165.97369428372718</x:v>
      </x:c>
      <x:c r="G224" s="8" t="n">
        <x:v>3367.6861602134177</x:v>
      </x:c>
      <x:c r="H224" s="8" t="n">
        <x:v>3.524958820829436</x:v>
      </x:c>
      <x:c r="I224" s="8" t="n">
        <x:v>3.5803604851177484</x:v>
      </x:c>
      <x:c r="J224" s="8" t="n">
        <x:v>3367.6861602134177</x:v>
      </x:c>
      <x:c r="K224" s="14" t="b">
        <x:v>0</x:v>
      </x:c>
    </x:row>
    <x:row r="225" ht="36" customHeight="1">
      <x:c r="A225" s="8" t="str">
        <x:v>Mixed consideration</x:v>
      </x:c>
      <x:c r="B225" s="8" t="str">
        <x:v>Severe combined</x:v>
      </x:c>
      <x:c r="C225" s="22" t="n">
        <x:v>1</x:v>
      </x:c>
      <x:c r="D225" s="8" t="n">
        <x:v>862.3499999999981</x:v>
      </x:c>
      <x:c r="E225" s="8" t="n">
        <x:v>86.80469543147208</x:v>
      </x:c>
      <x:c r="F225" s="8" t="n">
        <x:v>745.076666087197</x:v>
      </x:c>
      <x:c r="G225" s="8" t="n">
        <x:v>2242.477157360406</x:v>
      </x:c>
      <x:c r="H225" s="8" t="n">
        <x:v>1.7364184974467587</x:v>
      </x:c>
      <x:c r="I225" s="8" t="n">
        <x:v>9.934370435995364</x:v>
      </x:c>
      <x:c r="J225" s="8" t="n">
        <x:v>0</x:v>
      </x:c>
      <x:c r="K225" s="14" t="b">
        <x:v>0</x:v>
      </x:c>
    </x:row>
    <x:row r="226" ht="36" customHeight="1">
      <x:c r="A226" s="8" t="str">
        <x:v>Mixed consideration</x:v>
      </x:c>
      <x:c r="B226" s="8" t="str">
        <x:v>Severe combined</x:v>
      </x:c>
      <x:c r="C226" s="22" t="n">
        <x:v>2</x:v>
      </x:c>
      <x:c r="D226" s="8" t="n">
        <x:v>895.7407500000004</x:v>
      </x:c>
      <x:c r="E226" s="8" t="n">
        <x:v>135.01890862944163</x:v>
      </x:c>
      <x:c r="F226" s="8" t="n">
        <x:v>563.3823653409875</x:v>
      </x:c>
      <x:c r="G226" s="8" t="n">
        <x:v>2220.3857868020305</x:v>
      </x:c>
      <x:c r="H226" s="8" t="n">
        <x:v>1.8498694197635224</x:v>
      </x:c>
      <x:c r="I226" s="8" t="n">
        <x:v>6.634187456353644</x:v>
      </x:c>
      <x:c r="J226" s="8" t="n">
        <x:v>0</x:v>
      </x:c>
      <x:c r="K226" s="14" t="b">
        <x:v>0</x:v>
      </x:c>
    </x:row>
    <x:row r="227" ht="36" customHeight="1">
      <x:c r="A227" s="8" t="str">
        <x:v>Mixed consideration</x:v>
      </x:c>
      <x:c r="B227" s="8" t="str">
        <x:v>Severe combined</x:v>
      </x:c>
      <x:c r="C227" s="22" t="n">
        <x:v>3</x:v>
      </x:c>
      <x:c r="D227" s="8" t="n">
        <x:v>930.2029087499984</x:v>
      </x:c>
      <x:c r="E227" s="8" t="n">
        <x:v>131.28857868020307</x:v>
      </x:c>
      <x:c r="F227" s="8" t="n">
        <x:v>88.07882333881194</x:v>
      </x:c>
      <x:c r="G227" s="8" t="n">
        <x:v>1848.294416243655</x:v>
      </x:c>
      <x:c r="H227" s="8" t="n">
        <x:v>1.8922920755754367</x:v>
      </x:c>
      <x:c r="I227" s="8" t="n">
        <x:v>7.085177691014665</x:v>
      </x:c>
      <x:c r="J227" s="8" t="n">
        <x:v>0</x:v>
      </x:c>
      <x:c r="K227" s="14" t="b">
        <x:v>0</x:v>
      </x:c>
    </x:row>
    <x:row r="228" ht="36" customHeight="1">
      <x:c r="A228" s="8" t="str">
        <x:v>Mixed consideration</x:v>
      </x:c>
      <x:c r="B228" s="8" t="str">
        <x:v>Severe combined</x:v>
      </x:c>
      <x:c r="C228" s="22" t="n">
        <x:v>4</x:v>
      </x:c>
      <x:c r="D228" s="8" t="n">
        <x:v>965.7679942687492</x:v>
      </x:c>
      <x:c r="E228" s="8" t="n">
        <x:v>113.25444162436551</x:v>
      </x:c>
      <x:c r="F228" s="8" t="n">
        <x:v>0</x:v>
      </x:c>
      <x:c r="G228" s="8" t="n">
        <x:v>1815.788295392606</x:v>
      </x:c>
      <x:c r="H228" s="8" t="n">
        <x:v>1.8801495868243872</x:v>
      </x:c>
      <x:c r="I228" s="8" t="n">
        <x:v>8.527418266490082</x:v>
      </x:c>
      <x:c r="J228" s="8" t="n">
        <x:v>889.5852497073266</x:v>
      </x:c>
      <x:c r="K228" s="14" t="b">
        <x:v>0</x:v>
      </x:c>
    </x:row>
    <x:row r="229" ht="36" customHeight="1">
      <x:c r="A229" s="8" t="str">
        <x:v>Mixed consideration</x:v>
      </x:c>
      <x:c r="B229" s="8" t="str">
        <x:v>Severe combined</x:v>
      </x:c>
      <x:c r="C229" s="22" t="n">
        <x:v>5</x:v>
      </x:c>
      <x:c r="D229" s="8" t="n">
        <x:v>1002.4684071814665</x:v>
      </x:c>
      <x:c r="E229" s="8" t="n">
        <x:v>112.01920903202566</x:v>
      </x:c>
      <x:c r="F229" s="8" t="n">
        <x:v>-39.994915033246485</x:v>
      </x:c>
      <x:c r="G229" s="8" t="n">
        <x:v>1815.788295392606</x:v>
      </x:c>
      <x:c r="H229" s="8" t="n">
        <x:v>1.8512136613297971</x:v>
      </x:c>
      <x:c r="I229" s="8" t="n">
        <x:v>8.949075929422662</x:v>
      </x:c>
      <x:c r="J229" s="8" t="n">
        <x:v>1815.788295392606</x:v>
      </x:c>
      <x:c r="K229" s="14" t="b">
        <x:v>0</x:v>
      </x:c>
    </x:row>
    <x:row r="230" ht="36" customHeight="1">
      <x:c r="A230" s="8" t="str">
        <x:v>Cash-first</x:v>
      </x:c>
      <x:c r="B230" s="8" t="str">
        <x:v>Assumed refinancing</x:v>
      </x:c>
      <x:c r="C230" s="22" t="n">
        <x:v>1</x:v>
      </x:c>
      <x:c r="D230" s="8" t="n">
        <x:v>1577.2999999999993</x:v>
      </x:c>
      <x:c r="E230" s="8" t="n">
        <x:v>141.93159898477157</x:v>
      </x:c>
      <x:c r="F230" s="8" t="n">
        <x:v>750</x:v>
      </x:c>
      <x:c r="G230" s="8" t="n">
        <x:v>2368.6860097524514</x:v>
      </x:c>
      <x:c r="H230" s="8" t="n">
        <x:v>1.0262385150272315</x:v>
      </x:c>
      <x:c r="I230" s="8" t="n">
        <x:v>11.113099628851742</x:v>
      </x:c>
      <x:c r="J230" s="8" t="n">
        <x:v>0</x:v>
      </x:c>
      <x:c r="K230" s="14" t="b">
        <x:v>1</x:v>
      </x:c>
    </x:row>
    <x:row r="231" ht="36" customHeight="1">
      <x:c r="A231" s="8" t="str">
        <x:v>Cash-first</x:v>
      </x:c>
      <x:c r="B231" s="8" t="str">
        <x:v>Assumed refinancing</x:v>
      </x:c>
      <x:c r="C231" s="22" t="n">
        <x:v>2</x:v>
      </x:c>
      <x:c r="D231" s="8" t="n">
        <x:v>1668.0644999999975</x:v>
      </x:c>
      <x:c r="E231" s="8" t="n">
        <x:v>119.94287560952822</x:v>
      </x:c>
      <x:c r="F231" s="8" t="n">
        <x:v>750</x:v>
      </x:c>
      <x:c r="G231" s="8" t="n">
        <x:v>1975.583348822613</x:v>
      </x:c>
      <x:c r="H231" s="8" t="n">
        <x:v>0.7347337880655184</x:v>
      </x:c>
      <x:c r="I231" s="8" t="n">
        <x:v>13.907157815945235</x:v>
      </x:c>
      <x:c r="J231" s="8" t="n">
        <x:v>0</x:v>
      </x:c>
      <x:c r="K231" s="14" t="b">
        <x:v>1</x:v>
      </x:c>
    </x:row>
    <x:row r="232" ht="36" customHeight="1">
      <x:c r="A232" s="8" t="str">
        <x:v>Cash-first</x:v>
      </x:c>
      <x:c r="B232" s="8" t="str">
        <x:v>Assumed refinancing</x:v>
      </x:c>
      <x:c r="C232" s="22" t="n">
        <x:v>3</x:v>
      </x:c>
      <x:c r="D232" s="8" t="n">
        <x:v>1760.3347524999979</x:v>
      </x:c>
      <x:c r="E232" s="8" t="n">
        <x:v>93.88000092935678</x:v>
      </x:c>
      <x:c r="F232" s="8" t="n">
        <x:v>750</x:v>
      </x:c>
      <x:c r="G232" s="8" t="n">
        <x:v>1472.1805564417205</x:v>
      </x:c>
      <x:c r="H232" s="8" t="n">
        <x:v>0.4102518315996953</x:v>
      </x:c>
      <x:c r="I232" s="8" t="n">
        <x:v>18.750902589195988</x:v>
      </x:c>
      <x:c r="J232" s="8" t="n">
        <x:v>0</x:v>
      </x:c>
      <x:c r="K232" s="14" t="b">
        <x:v>1</x:v>
      </x:c>
    </x:row>
    <x:row r="233" ht="36" customHeight="1">
      <x:c r="A233" s="8" t="str">
        <x:v>Cash-first</x:v>
      </x:c>
      <x:c r="B233" s="8" t="str">
        <x:v>Assumed refinancing</x:v>
      </x:c>
      <x:c r="C233" s="22" t="n">
        <x:v>4</x:v>
      </x:c>
      <x:c r="D233" s="8" t="n">
        <x:v>1814.1531341124974</x:v>
      </x:c>
      <x:c r="E233" s="8" t="n">
        <x:v>68.21083338650323</x:v>
      </x:c>
      <x:c r="F233" s="8" t="n">
        <x:v>750</x:v>
      </x:c>
      <x:c r="G233" s="8" t="n">
        <x:v>910.9418089767412</x:v>
      </x:c>
      <x:c r="H233" s="8" t="n">
        <x:v>0.08871456656577979</x:v>
      </x:c>
      <x:c r="I233" s="8" t="n">
        <x:v>26.596261092911103</x:v>
      </x:c>
      <x:c r="J233" s="8" t="n">
        <x:v>0</x:v>
      </x:c>
      <x:c r="K233" s="14" t="b">
        <x:v>1</x:v>
      </x:c>
    </x:row>
    <x:row r="234" ht="36" customHeight="1">
      <x:c r="A234" s="8" t="str">
        <x:v>Cash-first</x:v>
      </x:c>
      <x:c r="B234" s="8" t="str">
        <x:v>Assumed refinancing</x:v>
      </x:c>
      <x:c r="C234" s="22" t="n">
        <x:v>5</x:v>
      </x:c>
      <x:c r="D234" s="8" t="n">
        <x:v>1869.56317552131</x:v>
      </x:c>
      <x:c r="E234" s="8" t="n">
        <x:v>54.49650853860447</x:v>
      </x:c>
      <x:c r="F234" s="8" t="n">
        <x:v>750</x:v>
      </x:c>
      <x:c r="G234" s="8" t="n">
        <x:v>298.22773627121546</x:v>
      </x:c>
      <x:c r="H234" s="8" t="n">
        <x:v>-0.24164589335303532</x:v>
      </x:c>
      <x:c r="I234" s="8" t="n">
        <x:v>34.30610924729133</x:v>
      </x:c>
      <x:c r="J234" s="8" t="n">
        <x:v>0</x:v>
      </x:c>
      <x:c r="K234" s="14" t="b">
        <x:v>1</x:v>
      </x:c>
    </x:row>
    <x:row r="235" ht="36" customHeight="1">
      <x:c r="A235" s="8" t="str">
        <x:v>Liquidity-first</x:v>
      </x:c>
      <x:c r="B235" s="8" t="str">
        <x:v>Assumed refinancing</x:v>
      </x:c>
      <x:c r="C235" s="22" t="n">
        <x:v>1</x:v>
      </x:c>
      <x:c r="D235" s="8" t="n">
        <x:v>1577.2999999999993</x:v>
      </x:c>
      <x:c r="E235" s="8" t="n">
        <x:v>199.34276649746192</x:v>
      </x:c>
      <x:c r="F235" s="8" t="n">
        <x:v>750</x:v>
      </x:c>
      <x:c r="G235" s="8" t="n">
        <x:v>2424.9931163514366</x:v>
      </x:c>
      <x:c r="H235" s="8" t="n">
        <x:v>1.0619369278840027</x:v>
      </x:c>
      <x:c r="I235" s="8" t="n">
        <x:v>7.912501806380227</x:v>
      </x:c>
      <x:c r="J235" s="8" t="n">
        <x:v>0</x:v>
      </x:c>
      <x:c r="K235" s="14" t="b">
        <x:v>1</x:v>
      </x:c>
    </x:row>
    <x:row r="236" ht="36" customHeight="1">
      <x:c r="A236" s="8" t="str">
        <x:v>Liquidity-first</x:v>
      </x:c>
      <x:c r="B236" s="8" t="str">
        <x:v>Assumed refinancing</x:v>
      </x:c>
      <x:c r="C236" s="22" t="n">
        <x:v>2</x:v>
      </x:c>
      <x:c r="D236" s="8" t="n">
        <x:v>1668.0644999999975</x:v>
      </x:c>
      <x:c r="E236" s="8" t="n">
        <x:v>123.46206977196476</x:v>
      </x:c>
      <x:c r="F236" s="8" t="n">
        <x:v>750</x:v>
      </x:c>
      <x:c r="G236" s="8" t="n">
        <x:v>2034.5298510434254</x:v>
      </x:c>
      <x:c r="H236" s="8" t="n">
        <x:v>0.7700720511967177</x:v>
      </x:c>
      <x:c r="I236" s="8" t="n">
        <x:v>13.510744660938565</x:v>
      </x:c>
      <x:c r="J236" s="8" t="n">
        <x:v>0</x:v>
      </x:c>
      <x:c r="K236" s="14" t="b">
        <x:v>1</x:v>
      </x:c>
    </x:row>
    <x:row r="237" ht="36" customHeight="1">
      <x:c r="A237" s="8" t="str">
        <x:v>Liquidity-first</x:v>
      </x:c>
      <x:c r="B237" s="8" t="str">
        <x:v>Assumed refinancing</x:v>
      </x:c>
      <x:c r="C237" s="22" t="n">
        <x:v>3</x:v>
      </x:c>
      <x:c r="D237" s="8" t="n">
        <x:v>1760.3347524999979</x:v>
      </x:c>
      <x:c r="E237" s="8" t="n">
        <x:v>97.41679106260553</x:v>
      </x:c>
      <x:c r="F237" s="8" t="n">
        <x:v>750</x:v>
      </x:c>
      <x:c r="G237" s="8" t="n">
        <x:v>1533.7796512624693</x:v>
      </x:c>
      <x:c r="H237" s="8" t="n">
        <x:v>0.4452446616470865</x:v>
      </x:c>
      <x:c r="I237" s="8" t="n">
        <x:v>18.070136916835082</x:v>
      </x:c>
      <x:c r="J237" s="8" t="n">
        <x:v>0</x:v>
      </x:c>
      <x:c r="K237" s="14" t="b">
        <x:v>1</x:v>
      </x:c>
    </x:row>
    <x:row r="238" ht="36" customHeight="1">
      <x:c r="A238" s="8" t="str">
        <x:v>Liquidity-first</x:v>
      </x:c>
      <x:c r="B238" s="8" t="str">
        <x:v>Assumed refinancing</x:v>
      </x:c>
      <x:c r="C238" s="22" t="n">
        <x:v>4</x:v>
      </x:c>
      <x:c r="D238" s="8" t="n">
        <x:v>1814.1531341124974</x:v>
      </x:c>
      <x:c r="E238" s="8" t="n">
        <x:v>71.90677907574815</x:v>
      </x:c>
      <x:c r="F238" s="8" t="n">
        <x:v>750</x:v>
      </x:c>
      <x:c r="G238" s="8" t="n">
        <x:v>975.3128630644237</x:v>
      </x:c>
      <x:c r="H238" s="8" t="n">
        <x:v>0.12419726804079806</x:v>
      </x:c>
      <x:c r="I238" s="8" t="n">
        <x:v>25.229236484107144</x:v>
      </x:c>
      <x:c r="J238" s="8" t="n">
        <x:v>0</x:v>
      </x:c>
      <x:c r="K238" s="14" t="b">
        <x:v>1</x:v>
      </x:c>
    </x:row>
    <x:row r="239" ht="36" customHeight="1">
      <x:c r="A239" s="8" t="str">
        <x:v>Liquidity-first</x:v>
      </x:c>
      <x:c r="B239" s="8" t="str">
        <x:v>Assumed refinancing</x:v>
      </x:c>
      <x:c r="C239" s="22" t="n">
        <x:v>5</x:v>
      </x:c>
      <x:c r="D239" s="8" t="n">
        <x:v>1869.56317552131</x:v>
      </x:c>
      <x:c r="E239" s="8" t="n">
        <x:v>58.358771783865436</x:v>
      </x:c>
      <x:c r="F239" s="8" t="n">
        <x:v>750</x:v>
      </x:c>
      <x:c r="G239" s="8" t="n">
        <x:v>365.49548779284373</x:v>
      </x:c>
      <x:c r="H239" s="8" t="n">
        <x:v>-0.20566542882400365</x:v>
      </x:c>
      <x:c r="I239" s="8" t="n">
        <x:v>32.03568406897473</x:v>
      </x:c>
      <x:c r="J239" s="8" t="n">
        <x:v>0</x:v>
      </x:c>
      <x:c r="K239" s="14" t="b">
        <x:v>1</x:v>
      </x:c>
    </x:row>
    <x:row r="240" ht="36" customHeight="1">
      <x:c r="A240" s="8" t="str">
        <x:v>Mixed consideration</x:v>
      </x:c>
      <x:c r="B240" s="8" t="str">
        <x:v>Assumed refinancing</x:v>
      </x:c>
      <x:c r="C240" s="22" t="n">
        <x:v>1</x:v>
      </x:c>
      <x:c r="D240" s="8" t="n">
        <x:v>1577.2999999999993</x:v>
      </x:c>
      <x:c r="E240" s="8" t="n">
        <x:v>74.62195431472081</x:v>
      </x:c>
      <x:c r="F240" s="8" t="n">
        <x:v>750</x:v>
      </x:c>
      <x:c r="G240" s="8" t="n">
        <x:v>1282.670781326056</x:v>
      </x:c>
      <x:c r="H240" s="8" t="n">
        <x:v>0.3377105061345693</x:v>
      </x:c>
      <x:c r="I240" s="8" t="n">
        <x:v>21.13721108599862</x:v>
      </x:c>
      <x:c r="J240" s="8" t="n">
        <x:v>0</x:v>
      </x:c>
      <x:c r="K240" s="14" t="b">
        <x:v>1</x:v>
      </x:c>
    </x:row>
    <x:row r="241" ht="36" customHeight="1">
      <x:c r="A241" s="8" t="str">
        <x:v>Mixed consideration</x:v>
      </x:c>
      <x:c r="B241" s="8" t="str">
        <x:v>Assumed refinancing</x:v>
      </x:c>
      <x:c r="C241" s="22" t="n">
        <x:v>2</x:v>
      </x:c>
      <x:c r="D241" s="8" t="n">
        <x:v>1668.0644999999975</x:v>
      </x:c>
      <x:c r="E241" s="8" t="n">
        <x:v>52.45853906630279</x:v>
      </x:c>
      <x:c r="F241" s="8" t="n">
        <x:v>750</x:v>
      </x:c>
      <x:c r="G241" s="8" t="n">
        <x:v>838.9548679887987</x:v>
      </x:c>
      <x:c r="H241" s="8" t="n">
        <x:v>0.05332819443660532</x:v>
      </x:c>
      <x:c r="I241" s="8" t="n">
        <x:v>31.797768860694283</x:v>
      </x:c>
      <x:c r="J241" s="8" t="n">
        <x:v>0</x:v>
      </x:c>
      <x:c r="K241" s="14" t="b">
        <x:v>1</x:v>
      </x:c>
    </x:row>
    <x:row r="242" ht="36" customHeight="1">
      <x:c r="A242" s="8" t="str">
        <x:v>Mixed consideration</x:v>
      </x:c>
      <x:c r="B242" s="8" t="str">
        <x:v>Assumed refinancing</x:v>
      </x:c>
      <x:c r="C242" s="22" t="n">
        <x:v>3</x:v>
      </x:c>
      <x:c r="D242" s="8" t="n">
        <x:v>1760.3347524999979</x:v>
      </x:c>
      <x:c r="E242" s="8" t="n">
        <x:v>31.88028498357435</x:v>
      </x:c>
      <x:c r="F242" s="8" t="n">
        <x:v>750</x:v>
      </x:c>
      <x:c r="G242" s="8" t="n">
        <x:v>283.8022886485692</x:v>
      </x:c>
      <x:c r="H242" s="8" t="n">
        <x:v>-0.26483469163427276</x:v>
      </x:c>
      <x:c r="I242" s="8" t="n">
        <x:v>55.21703314154731</x:v>
      </x:c>
      <x:c r="J242" s="8" t="n">
        <x:v>0</x:v>
      </x:c>
      <x:c r="K242" s="14" t="b">
        <x:v>1</x:v>
      </x:c>
    </x:row>
    <x:row r="243" ht="36" customHeight="1">
      <x:c r="A243" s="8" t="str">
        <x:v>Mixed consideration</x:v>
      </x:c>
      <x:c r="B243" s="8" t="str">
        <x:v>Assumed refinancing</x:v>
      </x:c>
      <x:c r="C243" s="22" t="n">
        <x:v>4</x:v>
      </x:c>
      <x:c r="D243" s="8" t="n">
        <x:v>1814.1531341124974</x:v>
      </x:c>
      <x:c r="E243" s="8" t="n">
        <x:v>10.784486968645629</x:v>
      </x:c>
      <x:c r="F243" s="8" t="n">
        <x:v>1079.7491843000748</x:v>
      </x:c>
      <x:c r="G243" s="8" t="n">
        <x:v>0</x:v>
      </x:c>
      <x:c r="H243" s="8" t="n">
        <x:v>-0.59518083892532</x:v>
      </x:c>
      <x:c r="I243" s="8" t="n">
        <x:v>168.21877010810908</x:v>
      </x:c>
      <x:c r="J243" s="8" t="n">
        <x:v>0</x:v>
      </x:c>
      <x:c r="K243" s="14" t="b">
        <x:v>1</x:v>
      </x:c>
    </x:row>
    <x:row r="244" ht="36" customHeight="1">
      <x:c r="A244" s="8" t="str">
        <x:v>Mixed consideration</x:v>
      </x:c>
      <x:c r="B244" s="8" t="str">
        <x:v>Assumed refinancing</x:v>
      </x:c>
      <x:c r="C244" s="22" t="n">
        <x:v>5</x:v>
      </x:c>
      <x:c r="D244" s="8" t="n">
        <x:v>1869.56317552131</x:v>
      </x:c>
      <x:c r="E244" s="8" t="n">
        <x:v>0</x:v>
      </x:c>
      <x:c r="F244" s="8" t="n">
        <x:v>1733.335638409554</x:v>
      </x:c>
      <x:c r="G244" s="8" t="n">
        <x:v>0</x:v>
      </x:c>
      <x:c r="H244" s="8" t="n">
        <x:v>-0.9271340284749829</x:v>
      </x:c>
      <x:c r="I244" s="8"/>
      <x:c r="J244" s="8" t="n">
        <x:v>0</x:v>
      </x:c>
      <x:c r="K244" s="14" t="b">
        <x:v>1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2" ht="42" customHeight="1">
      <x:c r="A2" s="5" t="str">
        <x:v>Fictional Atlas / Beacon - illustrative only | Quarterly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42" customHeight="1">
      <x:c r="A4" s="7" t="str">
        <x:v>Structure</x:v>
      </x:c>
      <x:c r="B4" s="7" t="str">
        <x:v>Year</x:v>
      </x:c>
      <x:c r="C4" s="7" t="str">
        <x:v>Quarter</x:v>
      </x:c>
      <x:c r="D4" s="7" t="str">
        <x:v>Revenue</x:v>
      </x:c>
      <x:c r="E4" s="7" t="str">
        <x:v>EBITDA</x:v>
      </x:c>
      <x:c r="F4" s="7" t="str">
        <x:v>Inventory</x:v>
      </x:c>
      <x:c r="G4" s="7" t="str">
        <x:v>Change NWC</x:v>
      </x:c>
      <x:c r="H4" s="7" t="str">
        <x:v>Interest</x:v>
      </x:c>
      <x:c r="I4" s="7" t="str">
        <x:v>Tax</x:v>
      </x:c>
      <x:c r="J4" s="7" t="str">
        <x:v>Cash</x:v>
      </x:c>
      <x:c r="K4" s="7" t="str">
        <x:v>Debt</x:v>
      </x:c>
      <x:c r="L4" s="7" t="str">
        <x:v>TTM coverage</x:v>
      </x:c>
      <x:c r="M4" s="7" t="str">
        <x:v>Funding gap</x:v>
      </x:c>
    </x:row>
    <x:row r="5" ht="36" customHeight="1">
      <x:c r="A5" s="8" t="str">
        <x:v>Cash-first</x:v>
      </x:c>
      <x:c r="B5" s="22" t="n">
        <x:v>1</x:v>
      </x:c>
      <x:c r="C5" s="22" t="n">
        <x:v>1</x:v>
      </x:c>
      <x:c r="D5" s="8" t="n">
        <x:v>3698.1999999999994</x:v>
      </x:c>
      <x:c r="E5" s="8" t="n">
        <x:v>276.61400000000015</x:v>
      </x:c>
      <x:c r="F5" s="8" t="n">
        <x:v>2394.557260273972</x:v>
      </x:c>
      <x:c r="G5" s="8" t="n">
        <x:v>123.92164383561658</x:v>
      </x:c>
      <x:c r="H5" s="8" t="n">
        <x:v>35.48289974619289</x:v>
      </x:c>
      <x:c r="I5" s="8" t="n">
        <x:v>34.01715006345182</x:v>
      </x:c>
      <x:c r="J5" s="8" t="n">
        <x:v>750</x:v>
      </x:c>
      <x:c r="K5" s="8" t="n">
        <x:v>2781.346216487901</x:v>
      </x:c>
      <x:c r="L5" s="8" t="n">
        <x:v>10.726674052078781</x:v>
      </x:c>
      <x:c r="M5" s="8" t="n">
        <x:v>0</x:v>
      </x:c>
    </x:row>
    <x:row r="6" ht="36" customHeight="1">
      <x:c r="A6" s="8" t="str">
        <x:v>Cash-first</x:v>
      </x:c>
      <x:c r="B6" s="22" t="n">
        <x:v>1</x:v>
      </x:c>
      <x:c r="C6" s="22" t="n">
        <x:v>2</x:v>
      </x:c>
      <x:c r="D6" s="8" t="n">
        <x:v>3866.2999999999993</x:v>
      </x:c>
      <x:c r="E6" s="8" t="n">
        <x:v>315.8510000000002</x:v>
      </x:c>
      <x:c r="F6" s="8" t="n">
        <x:v>2486.6556164383555</x:v>
      </x:c>
      <x:c r="G6" s="8" t="n">
        <x:v>92.0983561643834</x:v>
      </x:c>
      <x:c r="H6" s="8" t="n">
        <x:v>37.22941026714122</x:v>
      </x:c>
      <x:c r="I6" s="8" t="n">
        <x:v>43.38977243321476</x:v>
      </x:c>
      <x:c r="J6" s="8" t="n">
        <x:v>750</x:v>
      </x:c>
      <x:c r="K6" s="8" t="n">
        <x:v>2838.53325535264</x:v>
      </x:c>
      <x:c r="L6" s="8" t="n">
        <x:v>10.703544230158299</x:v>
      </x:c>
      <x:c r="M6" s="8" t="n">
        <x:v>0</x:v>
      </x:c>
    </x:row>
    <x:row r="7" ht="36" customHeight="1">
      <x:c r="A7" s="8" t="str">
        <x:v>Cash-first</x:v>
      </x:c>
      <x:c r="B7" s="22" t="n">
        <x:v>1</x:v>
      </x:c>
      <x:c r="C7" s="22" t="n">
        <x:v>3</x:v>
      </x:c>
      <x:c r="D7" s="8" t="n">
        <x:v>4034.399999999999</x:v>
      </x:c>
      <x:c r="E7" s="8" t="n">
        <x:v>355.0880000000003</x:v>
      </x:c>
      <x:c r="F7" s="8" t="n">
        <x:v>2716.901506849314</x:v>
      </x:c>
      <x:c r="G7" s="8" t="n">
        <x:v>230.2458904109585</x:v>
      </x:c>
      <x:c r="H7" s="8" t="n">
        <x:v>38.13126993214388</x:v>
      </x:c>
      <x:c r="I7" s="8" t="n">
        <x:v>52.973557516964114</x:v>
      </x:c>
      <x:c r="J7" s="8" t="n">
        <x:v>750</x:v>
      </x:c>
      <x:c r="K7" s="8" t="n">
        <x:v>3010.999973212706</x:v>
      </x:c>
      <x:c r="L7" s="8" t="n">
        <x:v>10.621679707425297</x:v>
      </x:c>
      <x:c r="M7" s="8" t="n">
        <x:v>0</x:v>
      </x:c>
    </x:row>
    <x:row r="8" ht="36" customHeight="1">
      <x:c r="A8" s="8" t="str">
        <x:v>Cash-first</x:v>
      </x:c>
      <x:c r="B8" s="22" t="n">
        <x:v>1</x:v>
      </x:c>
      <x:c r="C8" s="22" t="n">
        <x:v>4</x:v>
      </x:c>
      <x:c r="D8" s="8" t="n">
        <x:v>5211.099999999999</x:v>
      </x:c>
      <x:c r="E8" s="8" t="n">
        <x:v>629.7470000000004</x:v>
      </x:c>
      <x:c r="F8" s="8" t="n">
        <x:v>2302.4589041095883</x:v>
      </x:c>
      <x:c r="G8" s="8" t="n">
        <x:v>-414.44260273972577</x:v>
      </x:c>
      <x:c r="H8" s="8" t="n">
        <x:v>40.83437458144853</x:v>
      </x:c>
      <x:c r="I8" s="8" t="n">
        <x:v>120.96253135463797</x:v>
      </x:c>
      <x:c r="J8" s="8" t="n">
        <x:v>750</x:v>
      </x:c>
      <x:c r="K8" s="8" t="n">
        <x:v>2375.9957764090664</x:v>
      </x:c>
      <x:c r="L8" s="8" t="n">
        <x:v>10.39900626903557</x:v>
      </x:c>
      <x:c r="M8" s="8" t="n">
        <x:v>0</x:v>
      </x:c>
    </x:row>
    <x:row r="9" ht="36" customHeight="1">
      <x:c r="A9" s="8" t="str">
        <x:v>Cash-first</x:v>
      </x:c>
      <x:c r="B9" s="22" t="n">
        <x:v>2</x:v>
      </x:c>
      <x:c r="C9" s="22" t="n">
        <x:v>1</x:v>
      </x:c>
      <x:c r="D9" s="8" t="n">
        <x:v>3790.654999999999</x:v>
      </x:c>
      <x:c r="E9" s="8" t="n">
        <x:v>296.3623499999999</x:v>
      </x:c>
      <x:c r="F9" s="8" t="n">
        <x:v>2454.421191780821</x:v>
      </x:c>
      <x:c r="G9" s="8" t="n">
        <x:v>127.01968493150684</x:v>
      </x:c>
      <x:c r="H9" s="8" t="n">
        <x:v>30.099934006391663</x:v>
      </x:c>
      <x:c r="I9" s="8" t="n">
        <x:v>39.64333837340206</x:v>
      </x:c>
      <x:c r="J9" s="8" t="n">
        <x:v>750</x:v>
      </x:c>
      <x:c r="K9" s="8" t="n">
        <x:v>2469.069308720367</x:v>
      </x:c>
      <x:c r="L9" s="8" t="n">
        <x:v>10.9166305916594</x:v>
      </x:c>
      <x:c r="M9" s="8" t="n">
        <x:v>0</x:v>
      </x:c>
    </x:row>
    <x:row r="10" ht="36" customHeight="1">
      <x:c r="A10" s="8" t="str">
        <x:v>Cash-first</x:v>
      </x:c>
      <x:c r="B10" s="22" t="n">
        <x:v>2</x:v>
      </x:c>
      <x:c r="C10" s="22" t="n">
        <x:v>2</x:v>
      </x:c>
      <x:c r="D10" s="8" t="n">
        <x:v>3962.9574999999986</x:v>
      </x:c>
      <x:c r="E10" s="8" t="n">
        <x:v>336.58027499999935</x:v>
      </x:c>
      <x:c r="F10" s="8" t="n">
        <x:v>2548.822006849314</x:v>
      </x:c>
      <x:c r="G10" s="8" t="n">
        <x:v>94.4008150684931</x:v>
      </x:c>
      <x:c r="H10" s="8" t="n">
        <x:v>31.501849173802285</x:v>
      </x:c>
      <x:c r="I10" s="8" t="n">
        <x:v>49.347340831549275</x:v>
      </x:c>
      <x:c r="J10" s="8" t="n">
        <x:v>750</x:v>
      </x:c>
      <x:c r="K10" s="8" t="n">
        <x:v>2506.4425512942125</x:v>
      </x:c>
      <x:c r="L10" s="8" t="n">
        <x:v>11.508908226763491</x:v>
      </x:c>
      <x:c r="M10" s="8" t="n">
        <x:v>0</x:v>
      </x:c>
    </x:row>
    <x:row r="11" ht="36" customHeight="1">
      <x:c r="A11" s="8" t="str">
        <x:v>Cash-first</x:v>
      </x:c>
      <x:c r="B11" s="22" t="n">
        <x:v>2</x:v>
      </x:c>
      <x:c r="C11" s="22" t="n">
        <x:v>3</x:v>
      </x:c>
      <x:c r="D11" s="8" t="n">
        <x:v>4135.259999999998</x:v>
      </x:c>
      <x:c r="E11" s="8" t="n">
        <x:v>376.79819999999984</x:v>
      </x:c>
      <x:c r="F11" s="8" t="n">
        <x:v>2784.8240445205465</x:v>
      </x:c>
      <x:c r="G11" s="8" t="n">
        <x:v>236.0020376712323</x:v>
      </x:c>
      <x:c r="H11" s="8" t="n">
        <x:v>32.06825999515108</x:v>
      </x:c>
      <x:c r="I11" s="8" t="n">
        <x:v>59.26021937621219</x:v>
      </x:c>
      <x:c r="J11" s="8" t="n">
        <x:v>750</x:v>
      </x:c>
      <x:c r="K11" s="8" t="n">
        <x:v>2661.708968336808</x:v>
      </x:c>
      <x:c r="L11" s="8" t="n">
        <x:v>12.189100197173206</x:v>
      </x:c>
      <x:c r="M11" s="8" t="n">
        <x:v>0</x:v>
      </x:c>
    </x:row>
    <x:row r="12" ht="36" customHeight="1">
      <x:c r="A12" s="8" t="str">
        <x:v>Cash-first</x:v>
      </x:c>
      <x:c r="B12" s="22" t="n">
        <x:v>2</x:v>
      </x:c>
      <x:c r="C12" s="22" t="n">
        <x:v>4</x:v>
      </x:c>
      <x:c r="D12" s="8" t="n">
        <x:v>5341.377499999999</x:v>
      </x:c>
      <x:c r="E12" s="8" t="n">
        <x:v>658.3236750000003</x:v>
      </x:c>
      <x:c r="F12" s="8" t="n">
        <x:v>2360.020376712328</x:v>
      </x:c>
      <x:c r="G12" s="8" t="n">
        <x:v>-424.8036678082185</x:v>
      </x:c>
      <x:c r="H12" s="8" t="n">
        <x:v>34.40306843353114</x:v>
      </x:c>
      <x:c r="I12" s="8" t="n">
        <x:v>129.0578860166173</x:v>
      </x:c>
      <x:c r="J12" s="8" t="n">
        <x:v>750</x:v>
      </x:c>
      <x:c r="K12" s="8" t="n">
        <x:v>1988.9907924787376</x:v>
      </x:c>
      <x:c r="L12" s="8" t="n">
        <x:v>13.024314620340602</x:v>
      </x:c>
      <x:c r="M12" s="8" t="n">
        <x:v>0</x:v>
      </x:c>
    </x:row>
    <x:row r="13" ht="36" customHeight="1">
      <x:c r="A13" s="8" t="str">
        <x:v>Liquidity-first</x:v>
      </x:c>
      <x:c r="B13" s="22" t="n">
        <x:v>1</x:v>
      </x:c>
      <x:c r="C13" s="22" t="n">
        <x:v>1</x:v>
      </x:c>
      <x:c r="D13" s="8" t="n">
        <x:v>3698.1999999999994</x:v>
      </x:c>
      <x:c r="E13" s="8" t="n">
        <x:v>276.61400000000015</x:v>
      </x:c>
      <x:c r="F13" s="8" t="n">
        <x:v>2394.557260273972</x:v>
      </x:c>
      <x:c r="G13" s="8" t="n">
        <x:v>123.92164383561658</x:v>
      </x:c>
      <x:c r="H13" s="8" t="n">
        <x:v>49.83569162436548</x:v>
      </x:c>
      <x:c r="I13" s="8" t="n">
        <x:v>30.428952093908674</x:v>
      </x:c>
      <x:c r="J13" s="8" t="n">
        <x:v>750</x:v>
      </x:c>
      <x:c r="K13" s="8" t="n">
        <x:v>2805.3595413609974</x:v>
      </x:c>
      <x:c r="L13" s="8" t="n">
        <x:v>7.637367669518043</x:v>
      </x:c>
      <x:c r="M13" s="8" t="n">
        <x:v>0</x:v>
      </x:c>
    </x:row>
    <x:row r="14" ht="36" customHeight="1">
      <x:c r="A14" s="8" t="str">
        <x:v>Liquidity-first</x:v>
      </x:c>
      <x:c r="B14" s="22" t="n">
        <x:v>1</x:v>
      </x:c>
      <x:c r="C14" s="22" t="n">
        <x:v>2</x:v>
      </x:c>
      <x:c r="D14" s="8" t="n">
        <x:v>3866.2999999999993</x:v>
      </x:c>
      <x:c r="E14" s="8" t="n">
        <x:v>315.8510000000002</x:v>
      </x:c>
      <x:c r="F14" s="8" t="n">
        <x:v>2486.6556164383555</x:v>
      </x:c>
      <x:c r="G14" s="8" t="n">
        <x:v>92.0983561643834</x:v>
      </x:c>
      <x:c r="H14" s="8" t="n">
        <x:v>37.69584254711621</x:v>
      </x:c>
      <x:c r="I14" s="8" t="n">
        <x:v>43.273164363221014</x:v>
      </x:c>
      <x:c r="J14" s="8" t="n">
        <x:v>750</x:v>
      </x:c>
      <x:c r="K14" s="8" t="n">
        <x:v>2862.8964044357176</x:v>
      </x:c>
      <x:c r="L14" s="8" t="n">
        <x:v>8.214962785798734</x:v>
      </x:c>
      <x:c r="M14" s="8" t="n">
        <x:v>0</x:v>
      </x:c>
    </x:row>
    <x:row r="15" ht="36" customHeight="1">
      <x:c r="A15" s="8" t="str">
        <x:v>Liquidity-first</x:v>
      </x:c>
      <x:c r="B15" s="22" t="n">
        <x:v>1</x:v>
      </x:c>
      <x:c r="C15" s="22" t="n">
        <x:v>3</x:v>
      </x:c>
      <x:c r="D15" s="8" t="n">
        <x:v>4034.399999999999</x:v>
      </x:c>
      <x:c r="E15" s="8" t="n">
        <x:v>355.0880000000003</x:v>
      </x:c>
      <x:c r="F15" s="8" t="n">
        <x:v>2716.901506849314</x:v>
      </x:c>
      <x:c r="G15" s="8" t="n">
        <x:v>230.2458904109585</x:v>
      </x:c>
      <x:c r="H15" s="8" t="n">
        <x:v>38.600408063115566</x:v>
      </x:c>
      <x:c r="I15" s="8" t="n">
        <x:v>52.85627298422119</x:v>
      </x:c>
      <x:c r="J15" s="8" t="n">
        <x:v>750</x:v>
      </x:c>
      <x:c r="K15" s="8" t="n">
        <x:v>3035.7149758940122</x:v>
      </x:c>
      <x:c r="L15" s="8" t="n">
        <x:v>8.832493600759054</x:v>
      </x:c>
      <x:c r="M15" s="8" t="n">
        <x:v>0</x:v>
      </x:c>
    </x:row>
    <x:row r="16" ht="36" customHeight="1">
      <x:c r="A16" s="8" t="str">
        <x:v>Liquidity-first</x:v>
      </x:c>
      <x:c r="B16" s="22" t="n">
        <x:v>1</x:v>
      </x:c>
      <x:c r="C16" s="22" t="n">
        <x:v>4</x:v>
      </x:c>
      <x:c r="D16" s="8" t="n">
        <x:v>5211.099999999999</x:v>
      </x:c>
      <x:c r="E16" s="8" t="n">
        <x:v>629.7470000000004</x:v>
      </x:c>
      <x:c r="F16" s="8" t="n">
        <x:v>2302.4589041095883</x:v>
      </x:c>
      <x:c r="G16" s="8" t="n">
        <x:v>-414.44260273972577</x:v>
      </x:c>
      <x:c r="H16" s="8" t="n">
        <x:v>41.30625027260828</x:v>
      </x:c>
      <x:c r="I16" s="8" t="n">
        <x:v>120.84456243184803</x:v>
      </x:c>
      <x:c r="J16" s="8" t="n">
        <x:v>750</x:v>
      </x:c>
      <x:c r="K16" s="8" t="n">
        <x:v>2401.0646858587425</x:v>
      </x:c>
      <x:c r="L16" s="8" t="n">
        <x:v>9.420192468526102</x:v>
      </x:c>
      <x:c r="M16" s="8" t="n">
        <x:v>0</x:v>
      </x:c>
    </x:row>
    <x:row r="17" ht="36" customHeight="1">
      <x:c r="A17" s="8" t="str">
        <x:v>Liquidity-first</x:v>
      </x:c>
      <x:c r="B17" s="22" t="n">
        <x:v>2</x:v>
      </x:c>
      <x:c r="C17" s="22" t="n">
        <x:v>1</x:v>
      </x:c>
      <x:c r="D17" s="8" t="n">
        <x:v>3790.654999999999</x:v>
      </x:c>
      <x:c r="E17" s="8" t="n">
        <x:v>296.3623499999999</x:v>
      </x:c>
      <x:c r="F17" s="8" t="n">
        <x:v>2454.421191780821</x:v>
      </x:c>
      <x:c r="G17" s="8" t="n">
        <x:v>127.01968493150684</x:v>
      </x:c>
      <x:c r="H17" s="8" t="n">
        <x:v>30.491635716542852</x:v>
      </x:c>
      <x:c r="I17" s="8" t="n">
        <x:v>39.545412945864264</x:v>
      </x:c>
      <x:c r="J17" s="8" t="n">
        <x:v>750</x:v>
      </x:c>
      <x:c r="K17" s="8" t="n">
        <x:v>2494.4319944526565</x:v>
      </x:c>
      <x:c r="L17" s="8" t="n">
        <x:v>10.784007974064894</x:v>
      </x:c>
      <x:c r="M17" s="8" t="n">
        <x:v>0</x:v>
      </x:c>
    </x:row>
    <x:row r="18" ht="36" customHeight="1">
      <x:c r="A18" s="8" t="str">
        <x:v>Liquidity-first</x:v>
      </x:c>
      <x:c r="B18" s="22" t="n">
        <x:v>2</x:v>
      </x:c>
      <x:c r="C18" s="22" t="n">
        <x:v>2</x:v>
      </x:c>
      <x:c r="D18" s="8" t="n">
        <x:v>3962.9574999999986</x:v>
      </x:c>
      <x:c r="E18" s="8" t="n">
        <x:v>336.58027499999935</x:v>
      </x:c>
      <x:c r="F18" s="8" t="n">
        <x:v>2548.822006849314</x:v>
      </x:c>
      <x:c r="G18" s="8" t="n">
        <x:v>94.4008150684931</x:v>
      </x:c>
      <x:c r="H18" s="8" t="n">
        <x:v>31.895197375908413</x:v>
      </x:c>
      <x:c r="I18" s="8" t="n">
        <x:v>49.249003781022736</x:v>
      </x:c>
      <x:c r="J18" s="8" t="n">
        <x:v>750</x:v>
      </x:c>
      <x:c r="K18" s="8" t="n">
        <x:v>2532.1002481780815</x:v>
      </x:c>
      <x:c r="L18" s="8" t="n">
        <x:v>11.369301636797623</x:v>
      </x:c>
      <x:c r="M18" s="8" t="n">
        <x:v>0</x:v>
      </x:c>
    </x:row>
    <x:row r="19" ht="36" customHeight="1">
      <x:c r="A19" s="8" t="str">
        <x:v>Liquidity-first</x:v>
      </x:c>
      <x:c r="B19" s="22" t="n">
        <x:v>2</x:v>
      </x:c>
      <x:c r="C19" s="22" t="n">
        <x:v>3</x:v>
      </x:c>
      <x:c r="D19" s="8" t="n">
        <x:v>4135.259999999998</x:v>
      </x:c>
      <x:c r="E19" s="8" t="n">
        <x:v>376.79819999999984</x:v>
      </x:c>
      <x:c r="F19" s="8" t="n">
        <x:v>2784.8240445205465</x:v>
      </x:c>
      <x:c r="G19" s="8" t="n">
        <x:v>236.0020376712323</x:v>
      </x:c>
      <x:c r="H19" s="8" t="n">
        <x:v>32.463273212246634</x:v>
      </x:c>
      <x:c r="I19" s="8" t="n">
        <x:v>59.16146607193831</x:v>
      </x:c>
      <x:c r="J19" s="8" t="n">
        <x:v>750</x:v>
      </x:c>
      <x:c r="K19" s="8" t="n">
        <x:v>2687.6629251334984</x:v>
      </x:c>
      <x:c r="L19" s="8" t="n">
        <x:v>12.041213985254807</x:v>
      </x:c>
      <x:c r="M19" s="8" t="n">
        <x:v>0</x:v>
      </x:c>
    </x:row>
    <x:row r="20" ht="36" customHeight="1">
      <x:c r="A20" s="8" t="str">
        <x:v>Liquidity-first</x:v>
      </x:c>
      <x:c r="B20" s="22" t="n">
        <x:v>2</x:v>
      </x:c>
      <x:c r="C20" s="22" t="n">
        <x:v>4</x:v>
      </x:c>
      <x:c r="D20" s="8" t="n">
        <x:v>5341.377499999999</x:v>
      </x:c>
      <x:c r="E20" s="8" t="n">
        <x:v>658.3236750000003</x:v>
      </x:c>
      <x:c r="F20" s="8" t="n">
        <x:v>2360.020376712328</x:v>
      </x:c>
      <x:c r="G20" s="8" t="n">
        <x:v>-424.8036678082185</x:v>
      </x:c>
      <x:c r="H20" s="8" t="n">
        <x:v>34.79976539703475</x:v>
      </x:c>
      <x:c r="I20" s="8" t="n">
        <x:v>128.9587117757414</x:v>
      </x:c>
      <x:c r="J20" s="8" t="n">
        <x:v>749.9999999999999</x:v>
      </x:c>
      <x:c r="K20" s="8" t="n">
        <x:v>2015.242271998056</x:v>
      </x:c>
      <x:c r="L20" s="8" t="n">
        <x:v>12.865917089663478</x:v>
      </x:c>
      <x:c r="M20" s="8" t="n">
        <x:v>0</x:v>
      </x:c>
    </x:row>
    <x:row r="21" ht="36" customHeight="1">
      <x:c r="A21" s="8" t="str">
        <x:v>Mixed consideration</x:v>
      </x:c>
      <x:c r="B21" s="22" t="n">
        <x:v>1</x:v>
      </x:c>
      <x:c r="C21" s="22" t="n">
        <x:v>1</x:v>
      </x:c>
      <x:c r="D21" s="8" t="n">
        <x:v>3698.1999999999994</x:v>
      </x:c>
      <x:c r="E21" s="8" t="n">
        <x:v>276.61400000000015</x:v>
      </x:c>
      <x:c r="F21" s="8" t="n">
        <x:v>2394.557260273972</x:v>
      </x:c>
      <x:c r="G21" s="8" t="n">
        <x:v>123.92164383561658</x:v>
      </x:c>
      <x:c r="H21" s="8" t="n">
        <x:v>18.655488578680202</x:v>
      </x:c>
      <x:c r="I21" s="8" t="n">
        <x:v>38.22400285532999</x:v>
      </x:c>
      <x:c r="J21" s="8" t="n">
        <x:v>750</x:v>
      </x:c>
      <x:c r="K21" s="8" t="n">
        <x:v>1733.1926631884085</x:v>
      </x:c>
      <x:c r="L21" s="8" t="n">
        <x:v>20.402226315046576</x:v>
      </x:c>
      <x:c r="M21" s="8" t="n">
        <x:v>0</x:v>
      </x:c>
    </x:row>
    <x:row r="22" ht="36" customHeight="1">
      <x:c r="A22" s="8" t="str">
        <x:v>Mixed consideration</x:v>
      </x:c>
      <x:c r="B22" s="22" t="n">
        <x:v>1</x:v>
      </x:c>
      <x:c r="C22" s="22" t="n">
        <x:v>2</x:v>
      </x:c>
      <x:c r="D22" s="8" t="n">
        <x:v>3866.2999999999993</x:v>
      </x:c>
      <x:c r="E22" s="8" t="n">
        <x:v>315.8510000000002</x:v>
      </x:c>
      <x:c r="F22" s="8" t="n">
        <x:v>2486.6556164383555</x:v>
      </x:c>
      <x:c r="G22" s="8" t="n">
        <x:v>92.0983561643834</x:v>
      </x:c>
      <x:c r="H22" s="8" t="n">
        <x:v>20.20803891561837</x:v>
      </x:c>
      <x:c r="I22" s="8" t="n">
        <x:v>47.64511527109547</x:v>
      </x:c>
      <x:c r="J22" s="8" t="n">
        <x:v>750</x:v>
      </x:c>
      <x:c r="K22" s="8" t="n">
        <x:v>1777.6136735395055</x:v>
      </x:c>
      <x:c r="L22" s="8" t="n">
        <x:v>20.188710212590898</x:v>
      </x:c>
      <x:c r="M22" s="8" t="n">
        <x:v>0</x:v>
      </x:c>
    </x:row>
    <x:row r="23" ht="36" customHeight="1">
      <x:c r="A23" s="8" t="str">
        <x:v>Mixed consideration</x:v>
      </x:c>
      <x:c r="B23" s="22" t="n">
        <x:v>1</x:v>
      </x:c>
      <x:c r="C23" s="22" t="n">
        <x:v>3</x:v>
      </x:c>
      <x:c r="D23" s="8" t="n">
        <x:v>4034.399999999999</x:v>
      </x:c>
      <x:c r="E23" s="8" t="n">
        <x:v>355.0880000000003</x:v>
      </x:c>
      <x:c r="F23" s="8" t="n">
        <x:v>2716.901506849314</x:v>
      </x:c>
      <x:c r="G23" s="8" t="n">
        <x:v>230.2458904109585</x:v>
      </x:c>
      <x:c r="H23" s="8" t="n">
        <x:v>20.913665425704515</x:v>
      </x:c>
      <x:c r="I23" s="8" t="n">
        <x:v>57.27795864357395</x:v>
      </x:c>
      <x:c r="J23" s="8" t="n">
        <x:v>750</x:v>
      </x:c>
      <x:c r="K23" s="8" t="n">
        <x:v>1937.167188019742</x:v>
      </x:c>
      <x:c r="L23" s="8" t="n">
        <x:v>19.8161400362946</x:v>
      </x:c>
      <x:c r="M23" s="8" t="n">
        <x:v>0</x:v>
      </x:c>
    </x:row>
    <x:row r="24" ht="36" customHeight="1">
      <x:c r="A24" s="8" t="str">
        <x:v>Mixed consideration</x:v>
      </x:c>
      <x:c r="B24" s="22" t="n">
        <x:v>1</x:v>
      </x:c>
      <x:c r="C24" s="22" t="n">
        <x:v>4</x:v>
      </x:c>
      <x:c r="D24" s="8" t="n">
        <x:v>5211.099999999999</x:v>
      </x:c>
      <x:c r="E24" s="8" t="n">
        <x:v>629.7470000000004</x:v>
      </x:c>
      <x:c r="F24" s="8" t="n">
        <x:v>2302.4589041095883</x:v>
      </x:c>
      <x:c r="G24" s="8" t="n">
        <x:v>-414.44260273972577</x:v>
      </x:c>
      <x:c r="H24" s="8" t="n">
        <x:v>23.418237312808472</x:v>
      </x:c>
      <x:c r="I24" s="8" t="n">
        <x:v>125.31656567179799</x:v>
      </x:c>
      <x:c r="J24" s="8" t="n">
        <x:v>750.0000000000002</x:v>
      </x:c>
      <x:c r="K24" s="8" t="n">
        <x:v>1289.1008882646224</x:v>
      </x:c>
      <x:c r="L24" s="8" t="n">
        <x:v>18.958974015593558</x:v>
      </x:c>
      <x:c r="M24" s="8" t="n">
        <x:v>0</x:v>
      </x:c>
    </x:row>
    <x:row r="25" ht="36" customHeight="1">
      <x:c r="A25" s="8" t="str">
        <x:v>Mixed consideration</x:v>
      </x:c>
      <x:c r="B25" s="22" t="n">
        <x:v>2</x:v>
      </x:c>
      <x:c r="C25" s="22" t="n">
        <x:v>1</x:v>
      </x:c>
      <x:c r="D25" s="8" t="n">
        <x:v>3790.654999999999</x:v>
      </x:c>
      <x:c r="E25" s="8" t="n">
        <x:v>296.3623499999999</x:v>
      </x:c>
      <x:c r="F25" s="8" t="n">
        <x:v>2454.421191780821</x:v>
      </x:c>
      <x:c r="G25" s="8" t="n">
        <x:v>127.01968493150684</x:v>
      </x:c>
      <x:c r="H25" s="8" t="n">
        <x:v>13.19501110330778</x:v>
      </x:c>
      <x:c r="I25" s="8" t="n">
        <x:v>43.86956909917303</x:v>
      </x:c>
      <x:c r="J25" s="8" t="n">
        <x:v>750</x:v>
      </x:c>
      <x:c r="K25" s="8" t="n">
        <x:v>1369.4957283986098</x:v>
      </x:c>
      <x:c r="L25" s="8" t="n">
        <x:v>20.54479089970458</x:v>
      </x:c>
      <x:c r="M25" s="8" t="n">
        <x:v>0</x:v>
      </x:c>
    </x:row>
    <x:row r="26" ht="36" customHeight="1">
      <x:c r="A26" s="8" t="str">
        <x:v>Mixed consideration</x:v>
      </x:c>
      <x:c r="B26" s="22" t="n">
        <x:v>2</x:v>
      </x:c>
      <x:c r="C26" s="22" t="n">
        <x:v>2</x:v>
      </x:c>
      <x:c r="D26" s="8" t="n">
        <x:v>3962.9574999999986</x:v>
      </x:c>
      <x:c r="E26" s="8" t="n">
        <x:v>336.58027499999935</x:v>
      </x:c>
      <x:c r="F26" s="8" t="n">
        <x:v>2548.822006849314</x:v>
      </x:c>
      <x:c r="G26" s="8" t="n">
        <x:v>94.4008150684931</x:v>
      </x:c>
      <x:c r="H26" s="8" t="n">
        <x:v>14.410933705317591</x:v>
      </x:c>
      <x:c r="I26" s="8" t="n">
        <x:v>53.62006969867044</x:v>
      </x:c>
      <x:c r="J26" s="8" t="n">
        <x:v>750</x:v>
      </x:c>
      <x:c r="K26" s="8" t="n">
        <x:v>1394.0507843710916</x:v>
      </x:c>
      <x:c r="L26" s="8" t="n">
        <x:v>22.488546435030973</x:v>
      </x:c>
      <x:c r="M26" s="8" t="n">
        <x:v>0</x:v>
      </x:c>
    </x:row>
    <x:row r="27" ht="36" customHeight="1">
      <x:c r="A27" s="8" t="str">
        <x:v>Mixed consideration</x:v>
      </x:c>
      <x:c r="B27" s="22" t="n">
        <x:v>2</x:v>
      </x:c>
      <x:c r="C27" s="22" t="n">
        <x:v>3</x:v>
      </x:c>
      <x:c r="D27" s="8" t="n">
        <x:v>4135.259999999998</x:v>
      </x:c>
      <x:c r="E27" s="8" t="n">
        <x:v>376.79819999999984</x:v>
      </x:c>
      <x:c r="F27" s="8" t="n">
        <x:v>2784.8240445205465</x:v>
      </x:c>
      <x:c r="G27" s="8" t="n">
        <x:v>236.0020376712323</x:v>
      </x:c>
      <x:c r="H27" s="8" t="n">
        <x:v>14.789259544904818</x:v>
      </x:c>
      <x:c r="I27" s="8" t="n">
        <x:v>63.57996948877376</x:v>
      </x:c>
      <x:c r="J27" s="8" t="n">
        <x:v>750</x:v>
      </x:c>
      <x:c r="K27" s="8" t="n">
        <x:v>1536.3579510760026</x:v>
      </x:c>
      <x:c r="L27" s="8" t="n">
        <x:v>24.91113947986315</x:v>
      </x:c>
      <x:c r="M27" s="8" t="n">
        <x:v>0</x:v>
      </x:c>
    </x:row>
    <x:row r="28" ht="36" customHeight="1">
      <x:c r="A28" s="8" t="str">
        <x:v>Mixed consideration</x:v>
      </x:c>
      <x:c r="B28" s="22" t="n">
        <x:v>2</x:v>
      </x:c>
      <x:c r="C28" s="22" t="n">
        <x:v>4</x:v>
      </x:c>
      <x:c r="D28" s="8" t="n">
        <x:v>5341.377499999999</x:v>
      </x:c>
      <x:c r="E28" s="8" t="n">
        <x:v>658.3236750000003</x:v>
      </x:c>
      <x:c r="F28" s="8" t="n">
        <x:v>2360.020376712328</x:v>
      </x:c>
      <x:c r="G28" s="8" t="n">
        <x:v>-424.8036678082185</x:v>
      </x:c>
      <x:c r="H28" s="8" t="n">
        <x:v>16.933867045478483</x:v>
      </x:c>
      <x:c r="I28" s="8" t="n">
        <x:v>133.42518636363047</x:v>
      </x:c>
      <x:c r="J28" s="8" t="n">
        <x:v>749.9999999999998</x:v>
      </x:c>
      <x:c r="K28" s="8" t="n">
        <x:v>850.5378741768925</x:v>
      </x:c>
      <x:c r="L28" s="8" t="n">
        <x:v>28.11546617309556</x:v>
      </x:c>
      <x:c r="M28" s="8" t="n">
        <x:v>0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0" hidden="0" customWidth="1"/>
    <x:col min="5" max="5" width="18" hidden="0" customWidth="1"/>
    <x:col min="6" max="6" width="70" hidden="0" customWidth="1"/>
    <x:col min="7" max="7" width="22" hidden="0" customWidth="1"/>
    <x:col min="8" max="8" width="35" hidden="0" customWidth="1"/>
  </x:cols>
  <x:sheetData>
    <x:row r="2" ht="42" customHeight="1">
      <x:c r="A2" s="5" t="str">
        <x:v>Fictional Atlas / Beacon - illustrative only | Capacity</x:v>
      </x:c>
      <x:c r="B2" s="5"/>
      <x:c r="C2" s="5"/>
      <x:c r="D2" s="5"/>
      <x:c r="E2" s="5"/>
      <x:c r="F2" s="5"/>
      <x:c r="G2" s="5"/>
      <x:c r="H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</x:row>
    <x:row r="4" ht="42" customHeight="1">
      <x:c r="A4" s="7" t="str">
        <x:v>Structure</x:v>
      </x:c>
      <x:c r="B4" s="7" t="str">
        <x:v>Maximum acquisition debt</x:v>
      </x:c>
      <x:c r="C4" s="7" t="str">
        <x:v>Residual analytical equity</x:v>
      </x:c>
      <x:c r="D4" s="7" t="str">
        <x:v>Eligible uses</x:v>
      </x:c>
      <x:c r="E4" s="7" t="str">
        <x:v>Funding limited</x:v>
      </x:c>
      <x:c r="F4" s="7" t="str">
        <x:v>Limiting constraint/period</x:v>
      </x:c>
      <x:c r="G4" s="7" t="str">
        <x:v>Boundary resolution</x:v>
      </x:c>
      <x:c r="H4" s="7" t="str">
        <x:v>Feasible ranges</x:v>
      </x:c>
    </x:row>
    <x:row r="5" ht="36" customHeight="1">
      <x:c r="A5" s="8" t="str">
        <x:v>Cash-first</x:v>
      </x:c>
      <x:c r="B5" s="8" t="n">
        <x:v>948</x:v>
      </x:c>
      <x:c r="C5" s="8" t="n">
        <x:v>222</x:v>
      </x:c>
      <x:c r="D5" s="8" t="n">
        <x:v>1170</x:v>
      </x:c>
      <x:c r="E5" s="14" t="b">
        <x:v>0</x:v>
      </x:c>
      <x:c r="F5" s="8" t="str">
        <x:v>Cash at year 5, period 5</x:v>
      </x:c>
      <x:c r="G5" s="8" t="n">
        <x:v>1</x:v>
      </x:c>
      <x:c r="H5" s="8" t="str">
        <x:v>[[0.0, 948.0]]</x:v>
      </x:c>
    </x:row>
    <x:row r="6" ht="36" customHeight="1">
      <x:c r="A6" s="8" t="str">
        <x:v>Liquidity-first</x:v>
      </x:c>
      <x:c r="B6" s="8" t="n">
        <x:v>1764</x:v>
      </x:c>
      <x:c r="C6" s="8" t="n">
        <x:v>276</x:v>
      </x:c>
      <x:c r="D6" s="8" t="n">
        <x:v>2040</x:v>
      </x:c>
      <x:c r="E6" s="14" t="b">
        <x:v>0</x:v>
      </x:c>
      <x:c r="F6" s="8" t="str">
        <x:v>Cash at year 5, period 5</x:v>
      </x:c>
      <x:c r="G6" s="8" t="n">
        <x:v>1</x:v>
      </x:c>
      <x:c r="H6" s="8" t="str">
        <x:v>[[0.0, 1764.0]]</x:v>
      </x:c>
    </x:row>
    <x:row r="7" ht="36" customHeight="1">
      <x:c r="A7" s="8" t="str">
        <x:v>Mixed consideration</x:v>
      </x:c>
      <x:c r="B7" s="8" t="n">
        <x:v>150</x:v>
      </x:c>
      <x:c r="C7" s="8" t="n">
        <x:v>0</x:v>
      </x:c>
      <x:c r="D7" s="8" t="n">
        <x:v>150</x:v>
      </x:c>
      <x:c r="E7" s="14" t="b">
        <x:v>1</x:v>
      </x:c>
      <x:c r="F7" s="8"/>
      <x:c r="G7" s="8" t="n">
        <x:v>1</x:v>
      </x:c>
      <x:c r="H7" s="8" t="str">
        <x:v>[[0.0, 150.0]]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18" hidden="0" customWidth="1"/>
    <x:col min="4" max="4" width="80" hidden="0" customWidth="1"/>
  </x:cols>
  <x:sheetData>
    <x:row r="2" ht="42" customHeight="1">
      <x:c r="A2" s="5" t="str">
        <x:v>Fictional Atlas / Beacon - illustrative only | Capacity Grid</x:v>
      </x:c>
      <x:c r="B2" s="5"/>
      <x:c r="C2" s="5"/>
      <x:c r="D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</x:row>
    <x:row r="4" ht="42" customHeight="1">
      <x:c r="A4" s="7" t="str">
        <x:v>Structure</x:v>
      </x:c>
      <x:c r="B4" s="7" t="str">
        <x:v>Acquisition borrowing</x:v>
      </x:c>
      <x:c r="C4" s="7" t="str">
        <x:v>Feasible</x:v>
      </x:c>
      <x:c r="D4" s="7" t="str">
        <x:v>First breach</x:v>
      </x:c>
    </x:row>
    <x:row r="5" ht="36" customHeight="1">
      <x:c r="A5" s="8" t="str">
        <x:v>Cash-first</x:v>
      </x:c>
      <x:c r="B5" s="8" t="n">
        <x:v>0</x:v>
      </x:c>
      <x:c r="C5" s="14" t="b">
        <x:v>1</x:v>
      </x:c>
      <x:c r="D5" s="8"/>
    </x:row>
    <x:row r="6" ht="36" customHeight="1">
      <x:c r="A6" s="8" t="str">
        <x:v>Cash-first</x:v>
      </x:c>
      <x:c r="B6" s="8" t="n">
        <x:v>10</x:v>
      </x:c>
      <x:c r="C6" s="14" t="b">
        <x:v>1</x:v>
      </x:c>
      <x:c r="D6" s="8"/>
    </x:row>
    <x:row r="7" ht="36" customHeight="1">
      <x:c r="A7" s="8" t="str">
        <x:v>Cash-first</x:v>
      </x:c>
      <x:c r="B7" s="8" t="n">
        <x:v>20</x:v>
      </x:c>
      <x:c r="C7" s="14" t="b">
        <x:v>1</x:v>
      </x:c>
      <x:c r="D7" s="8"/>
    </x:row>
    <x:row r="8" ht="36" customHeight="1">
      <x:c r="A8" s="8" t="str">
        <x:v>Cash-first</x:v>
      </x:c>
      <x:c r="B8" s="8" t="n">
        <x:v>30</x:v>
      </x:c>
      <x:c r="C8" s="14" t="b">
        <x:v>1</x:v>
      </x:c>
      <x:c r="D8" s="8"/>
    </x:row>
    <x:row r="9" ht="36" customHeight="1">
      <x:c r="A9" s="8" t="str">
        <x:v>Cash-first</x:v>
      </x:c>
      <x:c r="B9" s="8" t="n">
        <x:v>40</x:v>
      </x:c>
      <x:c r="C9" s="14" t="b">
        <x:v>1</x:v>
      </x:c>
      <x:c r="D9" s="8"/>
    </x:row>
    <x:row r="10" ht="36" customHeight="1">
      <x:c r="A10" s="8" t="str">
        <x:v>Cash-first</x:v>
      </x:c>
      <x:c r="B10" s="8" t="n">
        <x:v>50</x:v>
      </x:c>
      <x:c r="C10" s="14" t="b">
        <x:v>1</x:v>
      </x:c>
      <x:c r="D10" s="8"/>
    </x:row>
    <x:row r="11" ht="36" customHeight="1">
      <x:c r="A11" s="8" t="str">
        <x:v>Cash-first</x:v>
      </x:c>
      <x:c r="B11" s="8" t="n">
        <x:v>60</x:v>
      </x:c>
      <x:c r="C11" s="14" t="b">
        <x:v>1</x:v>
      </x:c>
      <x:c r="D11" s="8"/>
    </x:row>
    <x:row r="12" ht="36" customHeight="1">
      <x:c r="A12" s="8" t="str">
        <x:v>Cash-first</x:v>
      </x:c>
      <x:c r="B12" s="8" t="n">
        <x:v>70</x:v>
      </x:c>
      <x:c r="C12" s="14" t="b">
        <x:v>1</x:v>
      </x:c>
      <x:c r="D12" s="8"/>
    </x:row>
    <x:row r="13" ht="36" customHeight="1">
      <x:c r="A13" s="8" t="str">
        <x:v>Cash-first</x:v>
      </x:c>
      <x:c r="B13" s="8" t="n">
        <x:v>80</x:v>
      </x:c>
      <x:c r="C13" s="14" t="b">
        <x:v>1</x:v>
      </x:c>
      <x:c r="D13" s="8"/>
    </x:row>
    <x:row r="14" ht="36" customHeight="1">
      <x:c r="A14" s="8" t="str">
        <x:v>Cash-first</x:v>
      </x:c>
      <x:c r="B14" s="8" t="n">
        <x:v>90</x:v>
      </x:c>
      <x:c r="C14" s="14" t="b">
        <x:v>1</x:v>
      </x:c>
      <x:c r="D14" s="8"/>
    </x:row>
    <x:row r="15" ht="36" customHeight="1">
      <x:c r="A15" s="8" t="str">
        <x:v>Cash-first</x:v>
      </x:c>
      <x:c r="B15" s="8" t="n">
        <x:v>100</x:v>
      </x:c>
      <x:c r="C15" s="14" t="b">
        <x:v>1</x:v>
      </x:c>
      <x:c r="D15" s="8"/>
    </x:row>
    <x:row r="16" ht="36" customHeight="1">
      <x:c r="A16" s="8" t="str">
        <x:v>Cash-first</x:v>
      </x:c>
      <x:c r="B16" s="8" t="n">
        <x:v>110</x:v>
      </x:c>
      <x:c r="C16" s="14" t="b">
        <x:v>1</x:v>
      </x:c>
      <x:c r="D16" s="8"/>
    </x:row>
    <x:row r="17" ht="36" customHeight="1">
      <x:c r="A17" s="8" t="str">
        <x:v>Cash-first</x:v>
      </x:c>
      <x:c r="B17" s="8" t="n">
        <x:v>120</x:v>
      </x:c>
      <x:c r="C17" s="14" t="b">
        <x:v>1</x:v>
      </x:c>
      <x:c r="D17" s="8"/>
    </x:row>
    <x:row r="18" ht="36" customHeight="1">
      <x:c r="A18" s="8" t="str">
        <x:v>Cash-first</x:v>
      </x:c>
      <x:c r="B18" s="8" t="n">
        <x:v>130</x:v>
      </x:c>
      <x:c r="C18" s="14" t="b">
        <x:v>1</x:v>
      </x:c>
      <x:c r="D18" s="8"/>
    </x:row>
    <x:row r="19" ht="36" customHeight="1">
      <x:c r="A19" s="8" t="str">
        <x:v>Cash-first</x:v>
      </x:c>
      <x:c r="B19" s="8" t="n">
        <x:v>140</x:v>
      </x:c>
      <x:c r="C19" s="14" t="b">
        <x:v>1</x:v>
      </x:c>
      <x:c r="D19" s="8"/>
    </x:row>
    <x:row r="20" ht="36" customHeight="1">
      <x:c r="A20" s="8" t="str">
        <x:v>Cash-first</x:v>
      </x:c>
      <x:c r="B20" s="8" t="n">
        <x:v>150</x:v>
      </x:c>
      <x:c r="C20" s="14" t="b">
        <x:v>1</x:v>
      </x:c>
      <x:c r="D20" s="8"/>
    </x:row>
    <x:row r="21" ht="36" customHeight="1">
      <x:c r="A21" s="8" t="str">
        <x:v>Cash-first</x:v>
      </x:c>
      <x:c r="B21" s="8" t="n">
        <x:v>160</x:v>
      </x:c>
      <x:c r="C21" s="14" t="b">
        <x:v>1</x:v>
      </x:c>
      <x:c r="D21" s="8"/>
    </x:row>
    <x:row r="22" ht="36" customHeight="1">
      <x:c r="A22" s="8" t="str">
        <x:v>Cash-first</x:v>
      </x:c>
      <x:c r="B22" s="8" t="n">
        <x:v>170</x:v>
      </x:c>
      <x:c r="C22" s="14" t="b">
        <x:v>1</x:v>
      </x:c>
      <x:c r="D22" s="8"/>
    </x:row>
    <x:row r="23" ht="36" customHeight="1">
      <x:c r="A23" s="8" t="str">
        <x:v>Cash-first</x:v>
      </x:c>
      <x:c r="B23" s="8" t="n">
        <x:v>180</x:v>
      </x:c>
      <x:c r="C23" s="14" t="b">
        <x:v>1</x:v>
      </x:c>
      <x:c r="D23" s="8"/>
    </x:row>
    <x:row r="24" ht="36" customHeight="1">
      <x:c r="A24" s="8" t="str">
        <x:v>Cash-first</x:v>
      </x:c>
      <x:c r="B24" s="8" t="n">
        <x:v>190</x:v>
      </x:c>
      <x:c r="C24" s="14" t="b">
        <x:v>1</x:v>
      </x:c>
      <x:c r="D24" s="8"/>
    </x:row>
    <x:row r="25" ht="36" customHeight="1">
      <x:c r="A25" s="8" t="str">
        <x:v>Cash-first</x:v>
      </x:c>
      <x:c r="B25" s="8" t="n">
        <x:v>200</x:v>
      </x:c>
      <x:c r="C25" s="14" t="b">
        <x:v>1</x:v>
      </x:c>
      <x:c r="D25" s="8"/>
    </x:row>
    <x:row r="26" ht="36" customHeight="1">
      <x:c r="A26" s="8" t="str">
        <x:v>Cash-first</x:v>
      </x:c>
      <x:c r="B26" s="8" t="n">
        <x:v>210</x:v>
      </x:c>
      <x:c r="C26" s="14" t="b">
        <x:v>1</x:v>
      </x:c>
      <x:c r="D26" s="8"/>
    </x:row>
    <x:row r="27" ht="36" customHeight="1">
      <x:c r="A27" s="8" t="str">
        <x:v>Cash-first</x:v>
      </x:c>
      <x:c r="B27" s="8" t="n">
        <x:v>220</x:v>
      </x:c>
      <x:c r="C27" s="14" t="b">
        <x:v>1</x:v>
      </x:c>
      <x:c r="D27" s="8"/>
    </x:row>
    <x:row r="28" ht="36" customHeight="1">
      <x:c r="A28" s="8" t="str">
        <x:v>Cash-first</x:v>
      </x:c>
      <x:c r="B28" s="8" t="n">
        <x:v>230</x:v>
      </x:c>
      <x:c r="C28" s="14" t="b">
        <x:v>1</x:v>
      </x:c>
      <x:c r="D28" s="8"/>
    </x:row>
    <x:row r="29" ht="36" customHeight="1">
      <x:c r="A29" s="8" t="str">
        <x:v>Cash-first</x:v>
      </x:c>
      <x:c r="B29" s="8" t="n">
        <x:v>240</x:v>
      </x:c>
      <x:c r="C29" s="14" t="b">
        <x:v>1</x:v>
      </x:c>
      <x:c r="D29" s="8"/>
    </x:row>
    <x:row r="30" ht="36" customHeight="1">
      <x:c r="A30" s="8" t="str">
        <x:v>Cash-first</x:v>
      </x:c>
      <x:c r="B30" s="8" t="n">
        <x:v>250</x:v>
      </x:c>
      <x:c r="C30" s="14" t="b">
        <x:v>1</x:v>
      </x:c>
      <x:c r="D30" s="8"/>
    </x:row>
    <x:row r="31" ht="36" customHeight="1">
      <x:c r="A31" s="8" t="str">
        <x:v>Cash-first</x:v>
      </x:c>
      <x:c r="B31" s="8" t="n">
        <x:v>260</x:v>
      </x:c>
      <x:c r="C31" s="14" t="b">
        <x:v>1</x:v>
      </x:c>
      <x:c r="D31" s="8"/>
    </x:row>
    <x:row r="32" ht="36" customHeight="1">
      <x:c r="A32" s="8" t="str">
        <x:v>Cash-first</x:v>
      </x:c>
      <x:c r="B32" s="8" t="n">
        <x:v>270</x:v>
      </x:c>
      <x:c r="C32" s="14" t="b">
        <x:v>1</x:v>
      </x:c>
      <x:c r="D32" s="8"/>
    </x:row>
    <x:row r="33" ht="36" customHeight="1">
      <x:c r="A33" s="8" t="str">
        <x:v>Cash-first</x:v>
      </x:c>
      <x:c r="B33" s="8" t="n">
        <x:v>280</x:v>
      </x:c>
      <x:c r="C33" s="14" t="b">
        <x:v>1</x:v>
      </x:c>
      <x:c r="D33" s="8"/>
    </x:row>
    <x:row r="34" ht="36" customHeight="1">
      <x:c r="A34" s="8" t="str">
        <x:v>Cash-first</x:v>
      </x:c>
      <x:c r="B34" s="8" t="n">
        <x:v>290</x:v>
      </x:c>
      <x:c r="C34" s="14" t="b">
        <x:v>1</x:v>
      </x:c>
      <x:c r="D34" s="8"/>
    </x:row>
    <x:row r="35" ht="36" customHeight="1">
      <x:c r="A35" s="8" t="str">
        <x:v>Cash-first</x:v>
      </x:c>
      <x:c r="B35" s="8" t="n">
        <x:v>300</x:v>
      </x:c>
      <x:c r="C35" s="14" t="b">
        <x:v>1</x:v>
      </x:c>
      <x:c r="D35" s="8"/>
    </x:row>
    <x:row r="36" ht="36" customHeight="1">
      <x:c r="A36" s="8" t="str">
        <x:v>Cash-first</x:v>
      </x:c>
      <x:c r="B36" s="8" t="n">
        <x:v>310</x:v>
      </x:c>
      <x:c r="C36" s="14" t="b">
        <x:v>1</x:v>
      </x:c>
      <x:c r="D36" s="8"/>
    </x:row>
    <x:row r="37" ht="36" customHeight="1">
      <x:c r="A37" s="8" t="str">
        <x:v>Cash-first</x:v>
      </x:c>
      <x:c r="B37" s="8" t="n">
        <x:v>320</x:v>
      </x:c>
      <x:c r="C37" s="14" t="b">
        <x:v>1</x:v>
      </x:c>
      <x:c r="D37" s="8"/>
    </x:row>
    <x:row r="38" ht="36" customHeight="1">
      <x:c r="A38" s="8" t="str">
        <x:v>Cash-first</x:v>
      </x:c>
      <x:c r="B38" s="8" t="n">
        <x:v>330</x:v>
      </x:c>
      <x:c r="C38" s="14" t="b">
        <x:v>1</x:v>
      </x:c>
      <x:c r="D38" s="8"/>
    </x:row>
    <x:row r="39" ht="36" customHeight="1">
      <x:c r="A39" s="8" t="str">
        <x:v>Cash-first</x:v>
      </x:c>
      <x:c r="B39" s="8" t="n">
        <x:v>340</x:v>
      </x:c>
      <x:c r="C39" s="14" t="b">
        <x:v>1</x:v>
      </x:c>
      <x:c r="D39" s="8"/>
    </x:row>
    <x:row r="40" ht="36" customHeight="1">
      <x:c r="A40" s="8" t="str">
        <x:v>Cash-first</x:v>
      </x:c>
      <x:c r="B40" s="8" t="n">
        <x:v>350</x:v>
      </x:c>
      <x:c r="C40" s="14" t="b">
        <x:v>1</x:v>
      </x:c>
      <x:c r="D40" s="8"/>
    </x:row>
    <x:row r="41" ht="36" customHeight="1">
      <x:c r="A41" s="8" t="str">
        <x:v>Cash-first</x:v>
      </x:c>
      <x:c r="B41" s="8" t="n">
        <x:v>360</x:v>
      </x:c>
      <x:c r="C41" s="14" t="b">
        <x:v>1</x:v>
      </x:c>
      <x:c r="D41" s="8"/>
    </x:row>
    <x:row r="42" ht="36" customHeight="1">
      <x:c r="A42" s="8" t="str">
        <x:v>Cash-first</x:v>
      </x:c>
      <x:c r="B42" s="8" t="n">
        <x:v>370</x:v>
      </x:c>
      <x:c r="C42" s="14" t="b">
        <x:v>1</x:v>
      </x:c>
      <x:c r="D42" s="8"/>
    </x:row>
    <x:row r="43" ht="36" customHeight="1">
      <x:c r="A43" s="8" t="str">
        <x:v>Cash-first</x:v>
      </x:c>
      <x:c r="B43" s="8" t="n">
        <x:v>380</x:v>
      </x:c>
      <x:c r="C43" s="14" t="b">
        <x:v>1</x:v>
      </x:c>
      <x:c r="D43" s="8"/>
    </x:row>
    <x:row r="44" ht="36" customHeight="1">
      <x:c r="A44" s="8" t="str">
        <x:v>Cash-first</x:v>
      </x:c>
      <x:c r="B44" s="8" t="n">
        <x:v>390</x:v>
      </x:c>
      <x:c r="C44" s="14" t="b">
        <x:v>1</x:v>
      </x:c>
      <x:c r="D44" s="8"/>
    </x:row>
    <x:row r="45" ht="36" customHeight="1">
      <x:c r="A45" s="8" t="str">
        <x:v>Cash-first</x:v>
      </x:c>
      <x:c r="B45" s="8" t="n">
        <x:v>400</x:v>
      </x:c>
      <x:c r="C45" s="14" t="b">
        <x:v>1</x:v>
      </x:c>
      <x:c r="D45" s="8"/>
    </x:row>
    <x:row r="46" ht="36" customHeight="1">
      <x:c r="A46" s="8" t="str">
        <x:v>Cash-first</x:v>
      </x:c>
      <x:c r="B46" s="8" t="n">
        <x:v>410</x:v>
      </x:c>
      <x:c r="C46" s="14" t="b">
        <x:v>1</x:v>
      </x:c>
      <x:c r="D46" s="8"/>
    </x:row>
    <x:row r="47" ht="36" customHeight="1">
      <x:c r="A47" s="8" t="str">
        <x:v>Cash-first</x:v>
      </x:c>
      <x:c r="B47" s="8" t="n">
        <x:v>420</x:v>
      </x:c>
      <x:c r="C47" s="14" t="b">
        <x:v>1</x:v>
      </x:c>
      <x:c r="D47" s="8"/>
    </x:row>
    <x:row r="48" ht="36" customHeight="1">
      <x:c r="A48" s="8" t="str">
        <x:v>Cash-first</x:v>
      </x:c>
      <x:c r="B48" s="8" t="n">
        <x:v>430</x:v>
      </x:c>
      <x:c r="C48" s="14" t="b">
        <x:v>1</x:v>
      </x:c>
      <x:c r="D48" s="8"/>
    </x:row>
    <x:row r="49" ht="36" customHeight="1">
      <x:c r="A49" s="8" t="str">
        <x:v>Cash-first</x:v>
      </x:c>
      <x:c r="B49" s="8" t="n">
        <x:v>440</x:v>
      </x:c>
      <x:c r="C49" s="14" t="b">
        <x:v>1</x:v>
      </x:c>
      <x:c r="D49" s="8"/>
    </x:row>
    <x:row r="50" ht="36" customHeight="1">
      <x:c r="A50" s="8" t="str">
        <x:v>Cash-first</x:v>
      </x:c>
      <x:c r="B50" s="8" t="n">
        <x:v>450</x:v>
      </x:c>
      <x:c r="C50" s="14" t="b">
        <x:v>1</x:v>
      </x:c>
      <x:c r="D50" s="8"/>
    </x:row>
    <x:row r="51" ht="36" customHeight="1">
      <x:c r="A51" s="8" t="str">
        <x:v>Cash-first</x:v>
      </x:c>
      <x:c r="B51" s="8" t="n">
        <x:v>460</x:v>
      </x:c>
      <x:c r="C51" s="14" t="b">
        <x:v>1</x:v>
      </x:c>
      <x:c r="D51" s="8"/>
    </x:row>
    <x:row r="52" ht="36" customHeight="1">
      <x:c r="A52" s="8" t="str">
        <x:v>Cash-first</x:v>
      </x:c>
      <x:c r="B52" s="8" t="n">
        <x:v>470</x:v>
      </x:c>
      <x:c r="C52" s="14" t="b">
        <x:v>1</x:v>
      </x:c>
      <x:c r="D52" s="8"/>
    </x:row>
    <x:row r="53" ht="36" customHeight="1">
      <x:c r="A53" s="8" t="str">
        <x:v>Cash-first</x:v>
      </x:c>
      <x:c r="B53" s="8" t="n">
        <x:v>480</x:v>
      </x:c>
      <x:c r="C53" s="14" t="b">
        <x:v>1</x:v>
      </x:c>
      <x:c r="D53" s="8"/>
    </x:row>
    <x:row r="54" ht="36" customHeight="1">
      <x:c r="A54" s="8" t="str">
        <x:v>Cash-first</x:v>
      </x:c>
      <x:c r="B54" s="8" t="n">
        <x:v>490</x:v>
      </x:c>
      <x:c r="C54" s="14" t="b">
        <x:v>1</x:v>
      </x:c>
      <x:c r="D54" s="8"/>
    </x:row>
    <x:row r="55" ht="36" customHeight="1">
      <x:c r="A55" s="8" t="str">
        <x:v>Cash-first</x:v>
      </x:c>
      <x:c r="B55" s="8" t="n">
        <x:v>500</x:v>
      </x:c>
      <x:c r="C55" s="14" t="b">
        <x:v>1</x:v>
      </x:c>
      <x:c r="D55" s="8"/>
    </x:row>
    <x:row r="56" ht="36" customHeight="1">
      <x:c r="A56" s="8" t="str">
        <x:v>Cash-first</x:v>
      </x:c>
      <x:c r="B56" s="8" t="n">
        <x:v>510</x:v>
      </x:c>
      <x:c r="C56" s="14" t="b">
        <x:v>1</x:v>
      </x:c>
      <x:c r="D56" s="8"/>
    </x:row>
    <x:row r="57" ht="36" customHeight="1">
      <x:c r="A57" s="8" t="str">
        <x:v>Cash-first</x:v>
      </x:c>
      <x:c r="B57" s="8" t="n">
        <x:v>520</x:v>
      </x:c>
      <x:c r="C57" s="14" t="b">
        <x:v>1</x:v>
      </x:c>
      <x:c r="D57" s="8"/>
    </x:row>
    <x:row r="58" ht="36" customHeight="1">
      <x:c r="A58" s="8" t="str">
        <x:v>Cash-first</x:v>
      </x:c>
      <x:c r="B58" s="8" t="n">
        <x:v>530</x:v>
      </x:c>
      <x:c r="C58" s="14" t="b">
        <x:v>1</x:v>
      </x:c>
      <x:c r="D58" s="8"/>
    </x:row>
    <x:row r="59" ht="36" customHeight="1">
      <x:c r="A59" s="8" t="str">
        <x:v>Cash-first</x:v>
      </x:c>
      <x:c r="B59" s="8" t="n">
        <x:v>540</x:v>
      </x:c>
      <x:c r="C59" s="14" t="b">
        <x:v>1</x:v>
      </x:c>
      <x:c r="D59" s="8"/>
    </x:row>
    <x:row r="60" ht="36" customHeight="1">
      <x:c r="A60" s="8" t="str">
        <x:v>Cash-first</x:v>
      </x:c>
      <x:c r="B60" s="8" t="n">
        <x:v>550</x:v>
      </x:c>
      <x:c r="C60" s="14" t="b">
        <x:v>1</x:v>
      </x:c>
      <x:c r="D60" s="8"/>
    </x:row>
    <x:row r="61" ht="36" customHeight="1">
      <x:c r="A61" s="8" t="str">
        <x:v>Cash-first</x:v>
      </x:c>
      <x:c r="B61" s="8" t="n">
        <x:v>560</x:v>
      </x:c>
      <x:c r="C61" s="14" t="b">
        <x:v>1</x:v>
      </x:c>
      <x:c r="D61" s="8"/>
    </x:row>
    <x:row r="62" ht="36" customHeight="1">
      <x:c r="A62" s="8" t="str">
        <x:v>Cash-first</x:v>
      </x:c>
      <x:c r="B62" s="8" t="n">
        <x:v>570</x:v>
      </x:c>
      <x:c r="C62" s="14" t="b">
        <x:v>1</x:v>
      </x:c>
      <x:c r="D62" s="8"/>
    </x:row>
    <x:row r="63" ht="36" customHeight="1">
      <x:c r="A63" s="8" t="str">
        <x:v>Cash-first</x:v>
      </x:c>
      <x:c r="B63" s="8" t="n">
        <x:v>580</x:v>
      </x:c>
      <x:c r="C63" s="14" t="b">
        <x:v>1</x:v>
      </x:c>
      <x:c r="D63" s="8"/>
    </x:row>
    <x:row r="64" ht="36" customHeight="1">
      <x:c r="A64" s="8" t="str">
        <x:v>Cash-first</x:v>
      </x:c>
      <x:c r="B64" s="8" t="n">
        <x:v>590</x:v>
      </x:c>
      <x:c r="C64" s="14" t="b">
        <x:v>1</x:v>
      </x:c>
      <x:c r="D64" s="8"/>
    </x:row>
    <x:row r="65" ht="36" customHeight="1">
      <x:c r="A65" s="8" t="str">
        <x:v>Cash-first</x:v>
      </x:c>
      <x:c r="B65" s="8" t="n">
        <x:v>600</x:v>
      </x:c>
      <x:c r="C65" s="14" t="b">
        <x:v>1</x:v>
      </x:c>
      <x:c r="D65" s="8"/>
    </x:row>
    <x:row r="66" ht="36" customHeight="1">
      <x:c r="A66" s="8" t="str">
        <x:v>Cash-first</x:v>
      </x:c>
      <x:c r="B66" s="8" t="n">
        <x:v>610</x:v>
      </x:c>
      <x:c r="C66" s="14" t="b">
        <x:v>1</x:v>
      </x:c>
      <x:c r="D66" s="8"/>
    </x:row>
    <x:row r="67" ht="36" customHeight="1">
      <x:c r="A67" s="8" t="str">
        <x:v>Cash-first</x:v>
      </x:c>
      <x:c r="B67" s="8" t="n">
        <x:v>620</x:v>
      </x:c>
      <x:c r="C67" s="14" t="b">
        <x:v>1</x:v>
      </x:c>
      <x:c r="D67" s="8"/>
    </x:row>
    <x:row r="68" ht="36" customHeight="1">
      <x:c r="A68" s="8" t="str">
        <x:v>Cash-first</x:v>
      </x:c>
      <x:c r="B68" s="8" t="n">
        <x:v>630</x:v>
      </x:c>
      <x:c r="C68" s="14" t="b">
        <x:v>1</x:v>
      </x:c>
      <x:c r="D68" s="8"/>
    </x:row>
    <x:row r="69" ht="36" customHeight="1">
      <x:c r="A69" s="8" t="str">
        <x:v>Cash-first</x:v>
      </x:c>
      <x:c r="B69" s="8" t="n">
        <x:v>640</x:v>
      </x:c>
      <x:c r="C69" s="14" t="b">
        <x:v>1</x:v>
      </x:c>
      <x:c r="D69" s="8"/>
    </x:row>
    <x:row r="70" ht="36" customHeight="1">
      <x:c r="A70" s="8" t="str">
        <x:v>Cash-first</x:v>
      </x:c>
      <x:c r="B70" s="8" t="n">
        <x:v>650</x:v>
      </x:c>
      <x:c r="C70" s="14" t="b">
        <x:v>1</x:v>
      </x:c>
      <x:c r="D70" s="8"/>
    </x:row>
    <x:row r="71" ht="36" customHeight="1">
      <x:c r="A71" s="8" t="str">
        <x:v>Cash-first</x:v>
      </x:c>
      <x:c r="B71" s="8" t="n">
        <x:v>660</x:v>
      </x:c>
      <x:c r="C71" s="14" t="b">
        <x:v>1</x:v>
      </x:c>
      <x:c r="D71" s="8"/>
    </x:row>
    <x:row r="72" ht="36" customHeight="1">
      <x:c r="A72" s="8" t="str">
        <x:v>Cash-first</x:v>
      </x:c>
      <x:c r="B72" s="8" t="n">
        <x:v>670</x:v>
      </x:c>
      <x:c r="C72" s="14" t="b">
        <x:v>1</x:v>
      </x:c>
      <x:c r="D72" s="8"/>
    </x:row>
    <x:row r="73" ht="36" customHeight="1">
      <x:c r="A73" s="8" t="str">
        <x:v>Cash-first</x:v>
      </x:c>
      <x:c r="B73" s="8" t="n">
        <x:v>680</x:v>
      </x:c>
      <x:c r="C73" s="14" t="b">
        <x:v>1</x:v>
      </x:c>
      <x:c r="D73" s="8"/>
    </x:row>
    <x:row r="74" ht="36" customHeight="1">
      <x:c r="A74" s="8" t="str">
        <x:v>Cash-first</x:v>
      </x:c>
      <x:c r="B74" s="8" t="n">
        <x:v>690</x:v>
      </x:c>
      <x:c r="C74" s="14" t="b">
        <x:v>1</x:v>
      </x:c>
      <x:c r="D74" s="8"/>
    </x:row>
    <x:row r="75" ht="36" customHeight="1">
      <x:c r="A75" s="8" t="str">
        <x:v>Cash-first</x:v>
      </x:c>
      <x:c r="B75" s="8" t="n">
        <x:v>700</x:v>
      </x:c>
      <x:c r="C75" s="14" t="b">
        <x:v>1</x:v>
      </x:c>
      <x:c r="D75" s="8"/>
    </x:row>
    <x:row r="76" ht="36" customHeight="1">
      <x:c r="A76" s="8" t="str">
        <x:v>Cash-first</x:v>
      </x:c>
      <x:c r="B76" s="8" t="n">
        <x:v>710</x:v>
      </x:c>
      <x:c r="C76" s="14" t="b">
        <x:v>1</x:v>
      </x:c>
      <x:c r="D76" s="8"/>
    </x:row>
    <x:row r="77" ht="36" customHeight="1">
      <x:c r="A77" s="8" t="str">
        <x:v>Cash-first</x:v>
      </x:c>
      <x:c r="B77" s="8" t="n">
        <x:v>720</x:v>
      </x:c>
      <x:c r="C77" s="14" t="b">
        <x:v>1</x:v>
      </x:c>
      <x:c r="D77" s="8"/>
    </x:row>
    <x:row r="78" ht="36" customHeight="1">
      <x:c r="A78" s="8" t="str">
        <x:v>Cash-first</x:v>
      </x:c>
      <x:c r="B78" s="8" t="n">
        <x:v>730</x:v>
      </x:c>
      <x:c r="C78" s="14" t="b">
        <x:v>1</x:v>
      </x:c>
      <x:c r="D78" s="8"/>
    </x:row>
    <x:row r="79" ht="36" customHeight="1">
      <x:c r="A79" s="8" t="str">
        <x:v>Cash-first</x:v>
      </x:c>
      <x:c r="B79" s="8" t="n">
        <x:v>740</x:v>
      </x:c>
      <x:c r="C79" s="14" t="b">
        <x:v>1</x:v>
      </x:c>
      <x:c r="D79" s="8"/>
    </x:row>
    <x:row r="80" ht="36" customHeight="1">
      <x:c r="A80" s="8" t="str">
        <x:v>Cash-first</x:v>
      </x:c>
      <x:c r="B80" s="8" t="n">
        <x:v>750</x:v>
      </x:c>
      <x:c r="C80" s="14" t="b">
        <x:v>1</x:v>
      </x:c>
      <x:c r="D80" s="8"/>
    </x:row>
    <x:row r="81" ht="36" customHeight="1">
      <x:c r="A81" s="8" t="str">
        <x:v>Cash-first</x:v>
      </x:c>
      <x:c r="B81" s="8" t="n">
        <x:v>760</x:v>
      </x:c>
      <x:c r="C81" s="14" t="b">
        <x:v>1</x:v>
      </x:c>
      <x:c r="D81" s="8"/>
    </x:row>
    <x:row r="82" ht="36" customHeight="1">
      <x:c r="A82" s="8" t="str">
        <x:v>Cash-first</x:v>
      </x:c>
      <x:c r="B82" s="8" t="n">
        <x:v>770</x:v>
      </x:c>
      <x:c r="C82" s="14" t="b">
        <x:v>1</x:v>
      </x:c>
      <x:c r="D82" s="8"/>
    </x:row>
    <x:row r="83" ht="36" customHeight="1">
      <x:c r="A83" s="8" t="str">
        <x:v>Cash-first</x:v>
      </x:c>
      <x:c r="B83" s="8" t="n">
        <x:v>780</x:v>
      </x:c>
      <x:c r="C83" s="14" t="b">
        <x:v>1</x:v>
      </x:c>
      <x:c r="D83" s="8"/>
    </x:row>
    <x:row r="84" ht="36" customHeight="1">
      <x:c r="A84" s="8" t="str">
        <x:v>Cash-first</x:v>
      </x:c>
      <x:c r="B84" s="8" t="n">
        <x:v>790</x:v>
      </x:c>
      <x:c r="C84" s="14" t="b">
        <x:v>1</x:v>
      </x:c>
      <x:c r="D84" s="8"/>
    </x:row>
    <x:row r="85" ht="36" customHeight="1">
      <x:c r="A85" s="8" t="str">
        <x:v>Cash-first</x:v>
      </x:c>
      <x:c r="B85" s="8" t="n">
        <x:v>800</x:v>
      </x:c>
      <x:c r="C85" s="14" t="b">
        <x:v>1</x:v>
      </x:c>
      <x:c r="D85" s="8"/>
    </x:row>
    <x:row r="86" ht="36" customHeight="1">
      <x:c r="A86" s="8" t="str">
        <x:v>Cash-first</x:v>
      </x:c>
      <x:c r="B86" s="8" t="n">
        <x:v>810</x:v>
      </x:c>
      <x:c r="C86" s="14" t="b">
        <x:v>1</x:v>
      </x:c>
      <x:c r="D86" s="8"/>
    </x:row>
    <x:row r="87" ht="36" customHeight="1">
      <x:c r="A87" s="8" t="str">
        <x:v>Cash-first</x:v>
      </x:c>
      <x:c r="B87" s="8" t="n">
        <x:v>820</x:v>
      </x:c>
      <x:c r="C87" s="14" t="b">
        <x:v>1</x:v>
      </x:c>
      <x:c r="D87" s="8"/>
    </x:row>
    <x:row r="88" ht="36" customHeight="1">
      <x:c r="A88" s="8" t="str">
        <x:v>Cash-first</x:v>
      </x:c>
      <x:c r="B88" s="8" t="n">
        <x:v>830</x:v>
      </x:c>
      <x:c r="C88" s="14" t="b">
        <x:v>1</x:v>
      </x:c>
      <x:c r="D88" s="8"/>
    </x:row>
    <x:row r="89" ht="36" customHeight="1">
      <x:c r="A89" s="8" t="str">
        <x:v>Cash-first</x:v>
      </x:c>
      <x:c r="B89" s="8" t="n">
        <x:v>840</x:v>
      </x:c>
      <x:c r="C89" s="14" t="b">
        <x:v>1</x:v>
      </x:c>
      <x:c r="D89" s="8"/>
    </x:row>
    <x:row r="90" ht="36" customHeight="1">
      <x:c r="A90" s="8" t="str">
        <x:v>Cash-first</x:v>
      </x:c>
      <x:c r="B90" s="8" t="n">
        <x:v>850</x:v>
      </x:c>
      <x:c r="C90" s="14" t="b">
        <x:v>1</x:v>
      </x:c>
      <x:c r="D90" s="8"/>
    </x:row>
    <x:row r="91" ht="36" customHeight="1">
      <x:c r="A91" s="8" t="str">
        <x:v>Cash-first</x:v>
      </x:c>
      <x:c r="B91" s="8" t="n">
        <x:v>860</x:v>
      </x:c>
      <x:c r="C91" s="14" t="b">
        <x:v>1</x:v>
      </x:c>
      <x:c r="D91" s="8"/>
    </x:row>
    <x:row r="92" ht="36" customHeight="1">
      <x:c r="A92" s="8" t="str">
        <x:v>Cash-first</x:v>
      </x:c>
      <x:c r="B92" s="8" t="n">
        <x:v>870</x:v>
      </x:c>
      <x:c r="C92" s="14" t="b">
        <x:v>1</x:v>
      </x:c>
      <x:c r="D92" s="8"/>
    </x:row>
    <x:row r="93" ht="36" customHeight="1">
      <x:c r="A93" s="8" t="str">
        <x:v>Cash-first</x:v>
      </x:c>
      <x:c r="B93" s="8" t="n">
        <x:v>880</x:v>
      </x:c>
      <x:c r="C93" s="14" t="b">
        <x:v>1</x:v>
      </x:c>
      <x:c r="D93" s="8"/>
    </x:row>
    <x:row r="94" ht="36" customHeight="1">
      <x:c r="A94" s="8" t="str">
        <x:v>Cash-first</x:v>
      </x:c>
      <x:c r="B94" s="8" t="n">
        <x:v>890</x:v>
      </x:c>
      <x:c r="C94" s="14" t="b">
        <x:v>1</x:v>
      </x:c>
      <x:c r="D94" s="8"/>
    </x:row>
    <x:row r="95" ht="36" customHeight="1">
      <x:c r="A95" s="8" t="str">
        <x:v>Cash-first</x:v>
      </x:c>
      <x:c r="B95" s="8" t="n">
        <x:v>900</x:v>
      </x:c>
      <x:c r="C95" s="14" t="b">
        <x:v>1</x:v>
      </x:c>
      <x:c r="D95" s="8"/>
    </x:row>
    <x:row r="96" ht="36" customHeight="1">
      <x:c r="A96" s="8" t="str">
        <x:v>Cash-first</x:v>
      </x:c>
      <x:c r="B96" s="8" t="n">
        <x:v>910</x:v>
      </x:c>
      <x:c r="C96" s="14" t="b">
        <x:v>1</x:v>
      </x:c>
      <x:c r="D96" s="8"/>
    </x:row>
    <x:row r="97" ht="36" customHeight="1">
      <x:c r="A97" s="8" t="str">
        <x:v>Cash-first</x:v>
      </x:c>
      <x:c r="B97" s="8" t="n">
        <x:v>920</x:v>
      </x:c>
      <x:c r="C97" s="14" t="b">
        <x:v>1</x:v>
      </x:c>
      <x:c r="D97" s="8"/>
    </x:row>
    <x:row r="98" ht="36" customHeight="1">
      <x:c r="A98" s="8" t="str">
        <x:v>Cash-first</x:v>
      </x:c>
      <x:c r="B98" s="8" t="n">
        <x:v>930</x:v>
      </x:c>
      <x:c r="C98" s="14" t="b">
        <x:v>1</x:v>
      </x:c>
      <x:c r="D98" s="8"/>
    </x:row>
    <x:row r="99" ht="36" customHeight="1">
      <x:c r="A99" s="8" t="str">
        <x:v>Cash-first</x:v>
      </x:c>
      <x:c r="B99" s="8" t="n">
        <x:v>940</x:v>
      </x:c>
      <x:c r="C99" s="14" t="b">
        <x:v>1</x:v>
      </x:c>
      <x:c r="D99" s="8"/>
    </x:row>
    <x:row r="100" ht="36" customHeight="1">
      <x:c r="A100" s="8" t="str">
        <x:v>Cash-first</x:v>
      </x:c>
      <x:c r="B100" s="8" t="n">
        <x:v>941</x:v>
      </x:c>
      <x:c r="C100" s="14" t="b">
        <x:v>1</x:v>
      </x:c>
      <x:c r="D100" s="8"/>
    </x:row>
    <x:row r="101" ht="36" customHeight="1">
      <x:c r="A101" s="8" t="str">
        <x:v>Cash-first</x:v>
      </x:c>
      <x:c r="B101" s="8" t="n">
        <x:v>942</x:v>
      </x:c>
      <x:c r="C101" s="14" t="b">
        <x:v>1</x:v>
      </x:c>
      <x:c r="D101" s="8"/>
    </x:row>
    <x:row r="102" ht="36" customHeight="1">
      <x:c r="A102" s="8" t="str">
        <x:v>Cash-first</x:v>
      </x:c>
      <x:c r="B102" s="8" t="n">
        <x:v>943</x:v>
      </x:c>
      <x:c r="C102" s="14" t="b">
        <x:v>1</x:v>
      </x:c>
      <x:c r="D102" s="8"/>
    </x:row>
    <x:row r="103" ht="36" customHeight="1">
      <x:c r="A103" s="8" t="str">
        <x:v>Cash-first</x:v>
      </x:c>
      <x:c r="B103" s="8" t="n">
        <x:v>944</x:v>
      </x:c>
      <x:c r="C103" s="14" t="b">
        <x:v>1</x:v>
      </x:c>
      <x:c r="D103" s="8"/>
    </x:row>
    <x:row r="104" ht="36" customHeight="1">
      <x:c r="A104" s="8" t="str">
        <x:v>Cash-first</x:v>
      </x:c>
      <x:c r="B104" s="8" t="n">
        <x:v>945</x:v>
      </x:c>
      <x:c r="C104" s="14" t="b">
        <x:v>1</x:v>
      </x:c>
      <x:c r="D104" s="8"/>
    </x:row>
    <x:row r="105" ht="36" customHeight="1">
      <x:c r="A105" s="8" t="str">
        <x:v>Cash-first</x:v>
      </x:c>
      <x:c r="B105" s="8" t="n">
        <x:v>946</x:v>
      </x:c>
      <x:c r="C105" s="14" t="b">
        <x:v>1</x:v>
      </x:c>
      <x:c r="D105" s="8"/>
    </x:row>
    <x:row r="106" ht="36" customHeight="1">
      <x:c r="A106" s="8" t="str">
        <x:v>Cash-first</x:v>
      </x:c>
      <x:c r="B106" s="8" t="n">
        <x:v>947</x:v>
      </x:c>
      <x:c r="C106" s="14" t="b">
        <x:v>1</x:v>
      </x:c>
      <x:c r="D106" s="8"/>
    </x:row>
    <x:row r="107" ht="36" customHeight="1">
      <x:c r="A107" s="8" t="str">
        <x:v>Cash-first</x:v>
      </x:c>
      <x:c r="B107" s="8" t="n">
        <x:v>948</x:v>
      </x:c>
      <x:c r="C107" s="14" t="b">
        <x:v>1</x:v>
      </x:c>
      <x:c r="D107" s="8"/>
    </x:row>
    <x:row r="108" ht="36" customHeight="1">
      <x:c r="A108" s="8" t="str">
        <x:v>Cash-first</x:v>
      </x:c>
      <x:c r="B108" s="8" t="n">
        <x:v>949</x:v>
      </x:c>
      <x:c r="C108" s="14" t="b">
        <x:v>0</x:v>
      </x:c>
      <x:c r="D108" s="8" t="str">
        <x:v>Cash at year 5, period 5</x:v>
      </x:c>
    </x:row>
    <x:row r="109" ht="36" customHeight="1">
      <x:c r="A109" s="8" t="str">
        <x:v>Cash-first</x:v>
      </x:c>
      <x:c r="B109" s="8" t="n">
        <x:v>950</x:v>
      </x:c>
      <x:c r="C109" s="14" t="b">
        <x:v>0</x:v>
      </x:c>
      <x:c r="D109" s="8" t="str">
        <x:v>Cash at year 5, period 5</x:v>
      </x:c>
    </x:row>
    <x:row r="110" ht="36" customHeight="1">
      <x:c r="A110" s="8" t="str">
        <x:v>Cash-first</x:v>
      </x:c>
      <x:c r="B110" s="8" t="n">
        <x:v>960</x:v>
      </x:c>
      <x:c r="C110" s="14" t="b">
        <x:v>0</x:v>
      </x:c>
      <x:c r="D110" s="8" t="str">
        <x:v>Cash at year 5, period 5</x:v>
      </x:c>
    </x:row>
    <x:row r="111" ht="36" customHeight="1">
      <x:c r="A111" s="8" t="str">
        <x:v>Cash-first</x:v>
      </x:c>
      <x:c r="B111" s="8" t="n">
        <x:v>970</x:v>
      </x:c>
      <x:c r="C111" s="14" t="b">
        <x:v>0</x:v>
      </x:c>
      <x:c r="D111" s="8" t="str">
        <x:v>Cash at year 5, period 5</x:v>
      </x:c>
    </x:row>
    <x:row r="112" ht="36" customHeight="1">
      <x:c r="A112" s="8" t="str">
        <x:v>Cash-first</x:v>
      </x:c>
      <x:c r="B112" s="8" t="n">
        <x:v>980</x:v>
      </x:c>
      <x:c r="C112" s="14" t="b">
        <x:v>0</x:v>
      </x:c>
      <x:c r="D112" s="8" t="str">
        <x:v>Cash at year 5, period 5</x:v>
      </x:c>
    </x:row>
    <x:row r="113" ht="36" customHeight="1">
      <x:c r="A113" s="8" t="str">
        <x:v>Cash-first</x:v>
      </x:c>
      <x:c r="B113" s="8" t="n">
        <x:v>990</x:v>
      </x:c>
      <x:c r="C113" s="14" t="b">
        <x:v>0</x:v>
      </x:c>
      <x:c r="D113" s="8" t="str">
        <x:v>Cash at year 5, period 5</x:v>
      </x:c>
    </x:row>
    <x:row r="114" ht="36" customHeight="1">
      <x:c r="A114" s="8" t="str">
        <x:v>Cash-first</x:v>
      </x:c>
      <x:c r="B114" s="8" t="n">
        <x:v>1000</x:v>
      </x:c>
      <x:c r="C114" s="14" t="b">
        <x:v>0</x:v>
      </x:c>
      <x:c r="D114" s="8" t="str">
        <x:v>Cash at year 5, period 5</x:v>
      </x:c>
    </x:row>
    <x:row r="115" ht="36" customHeight="1">
      <x:c r="A115" s="8" t="str">
        <x:v>Cash-first</x:v>
      </x:c>
      <x:c r="B115" s="8" t="n">
        <x:v>1010</x:v>
      </x:c>
      <x:c r="C115" s="14" t="b">
        <x:v>0</x:v>
      </x:c>
      <x:c r="D115" s="8" t="str">
        <x:v>Cash at year 5, period 5</x:v>
      </x:c>
    </x:row>
    <x:row r="116" ht="36" customHeight="1">
      <x:c r="A116" s="8" t="str">
        <x:v>Cash-first</x:v>
      </x:c>
      <x:c r="B116" s="8" t="n">
        <x:v>1020</x:v>
      </x:c>
      <x:c r="C116" s="14" t="b">
        <x:v>0</x:v>
      </x:c>
      <x:c r="D116" s="8" t="str">
        <x:v>Cash at year 5, period 5</x:v>
      </x:c>
    </x:row>
    <x:row r="117" ht="36" customHeight="1">
      <x:c r="A117" s="8" t="str">
        <x:v>Cash-first</x:v>
      </x:c>
      <x:c r="B117" s="8" t="n">
        <x:v>1030</x:v>
      </x:c>
      <x:c r="C117" s="14" t="b">
        <x:v>0</x:v>
      </x:c>
      <x:c r="D117" s="8" t="str">
        <x:v>Cash at year 5, period 5</x:v>
      </x:c>
    </x:row>
    <x:row r="118" ht="36" customHeight="1">
      <x:c r="A118" s="8" t="str">
        <x:v>Cash-first</x:v>
      </x:c>
      <x:c r="B118" s="8" t="n">
        <x:v>1040</x:v>
      </x:c>
      <x:c r="C118" s="14" t="b">
        <x:v>0</x:v>
      </x:c>
      <x:c r="D118" s="8" t="str">
        <x:v>Cash at year 5, period 5</x:v>
      </x:c>
    </x:row>
    <x:row r="119" ht="36" customHeight="1">
      <x:c r="A119" s="8" t="str">
        <x:v>Cash-first</x:v>
      </x:c>
      <x:c r="B119" s="8" t="n">
        <x:v>1050</x:v>
      </x:c>
      <x:c r="C119" s="14" t="b">
        <x:v>0</x:v>
      </x:c>
      <x:c r="D119" s="8" t="str">
        <x:v>Cash at year 5, period 5</x:v>
      </x:c>
    </x:row>
    <x:row r="120" ht="36" customHeight="1">
      <x:c r="A120" s="8" t="str">
        <x:v>Cash-first</x:v>
      </x:c>
      <x:c r="B120" s="8" t="n">
        <x:v>1060</x:v>
      </x:c>
      <x:c r="C120" s="14" t="b">
        <x:v>0</x:v>
      </x:c>
      <x:c r="D120" s="8" t="str">
        <x:v>Cash at year 5, period 5</x:v>
      </x:c>
    </x:row>
    <x:row r="121" ht="36" customHeight="1">
      <x:c r="A121" s="8" t="str">
        <x:v>Cash-first</x:v>
      </x:c>
      <x:c r="B121" s="8" t="n">
        <x:v>1070</x:v>
      </x:c>
      <x:c r="C121" s="14" t="b">
        <x:v>0</x:v>
      </x:c>
      <x:c r="D121" s="8" t="str">
        <x:v>Cash at year 5, period 5</x:v>
      </x:c>
    </x:row>
    <x:row r="122" ht="36" customHeight="1">
      <x:c r="A122" s="8" t="str">
        <x:v>Cash-first</x:v>
      </x:c>
      <x:c r="B122" s="8" t="n">
        <x:v>1080</x:v>
      </x:c>
      <x:c r="C122" s="14" t="b">
        <x:v>0</x:v>
      </x:c>
      <x:c r="D122" s="8" t="str">
        <x:v>Cash at year 5, period 5</x:v>
      </x:c>
    </x:row>
    <x:row r="123" ht="36" customHeight="1">
      <x:c r="A123" s="8" t="str">
        <x:v>Cash-first</x:v>
      </x:c>
      <x:c r="B123" s="8" t="n">
        <x:v>1090</x:v>
      </x:c>
      <x:c r="C123" s="14" t="b">
        <x:v>0</x:v>
      </x:c>
      <x:c r="D123" s="8" t="str">
        <x:v>Cash at year 5, period 5</x:v>
      </x:c>
    </x:row>
    <x:row r="124" ht="36" customHeight="1">
      <x:c r="A124" s="8" t="str">
        <x:v>Cash-first</x:v>
      </x:c>
      <x:c r="B124" s="8" t="n">
        <x:v>1100</x:v>
      </x:c>
      <x:c r="C124" s="14" t="b">
        <x:v>0</x:v>
      </x:c>
      <x:c r="D124" s="8" t="str">
        <x:v>Cash at year 5, period 5</x:v>
      </x:c>
    </x:row>
    <x:row r="125" ht="36" customHeight="1">
      <x:c r="A125" s="8" t="str">
        <x:v>Cash-first</x:v>
      </x:c>
      <x:c r="B125" s="8" t="n">
        <x:v>1110</x:v>
      </x:c>
      <x:c r="C125" s="14" t="b">
        <x:v>0</x:v>
      </x:c>
      <x:c r="D125" s="8" t="str">
        <x:v>Cash at year 5, period 5</x:v>
      </x:c>
    </x:row>
    <x:row r="126" ht="36" customHeight="1">
      <x:c r="A126" s="8" t="str">
        <x:v>Cash-first</x:v>
      </x:c>
      <x:c r="B126" s="8" t="n">
        <x:v>1120</x:v>
      </x:c>
      <x:c r="C126" s="14" t="b">
        <x:v>0</x:v>
      </x:c>
      <x:c r="D126" s="8" t="str">
        <x:v>Cash at year 5, period 5</x:v>
      </x:c>
    </x:row>
    <x:row r="127" ht="36" customHeight="1">
      <x:c r="A127" s="8" t="str">
        <x:v>Cash-first</x:v>
      </x:c>
      <x:c r="B127" s="8" t="n">
        <x:v>1130</x:v>
      </x:c>
      <x:c r="C127" s="14" t="b">
        <x:v>0</x:v>
      </x:c>
      <x:c r="D127" s="8" t="str">
        <x:v>Cash at year 5, period 5</x:v>
      </x:c>
    </x:row>
    <x:row r="128" ht="36" customHeight="1">
      <x:c r="A128" s="8" t="str">
        <x:v>Cash-first</x:v>
      </x:c>
      <x:c r="B128" s="8" t="n">
        <x:v>1140</x:v>
      </x:c>
      <x:c r="C128" s="14" t="b">
        <x:v>0</x:v>
      </x:c>
      <x:c r="D128" s="8" t="str">
        <x:v>Cash at year 5, period 5</x:v>
      </x:c>
    </x:row>
    <x:row r="129" ht="36" customHeight="1">
      <x:c r="A129" s="8" t="str">
        <x:v>Cash-first</x:v>
      </x:c>
      <x:c r="B129" s="8" t="n">
        <x:v>1150</x:v>
      </x:c>
      <x:c r="C129" s="14" t="b">
        <x:v>0</x:v>
      </x:c>
      <x:c r="D129" s="8" t="str">
        <x:v>Cash at year 5, period 5</x:v>
      </x:c>
    </x:row>
    <x:row r="130" ht="36" customHeight="1">
      <x:c r="A130" s="8" t="str">
        <x:v>Cash-first</x:v>
      </x:c>
      <x:c r="B130" s="8" t="n">
        <x:v>1160</x:v>
      </x:c>
      <x:c r="C130" s="14" t="b">
        <x:v>0</x:v>
      </x:c>
      <x:c r="D130" s="8" t="str">
        <x:v>Cash at year 5, period 5</x:v>
      </x:c>
    </x:row>
    <x:row r="131" ht="36" customHeight="1">
      <x:c r="A131" s="8" t="str">
        <x:v>Cash-first</x:v>
      </x:c>
      <x:c r="B131" s="8" t="n">
        <x:v>1170</x:v>
      </x:c>
      <x:c r="C131" s="14" t="b">
        <x:v>0</x:v>
      </x:c>
      <x:c r="D131" s="8" t="str">
        <x:v>Cash at year 5, period 5</x:v>
      </x:c>
    </x:row>
    <x:row r="132" ht="36" customHeight="1">
      <x:c r="A132" s="8" t="str">
        <x:v>Liquidity-first</x:v>
      </x:c>
      <x:c r="B132" s="8" t="n">
        <x:v>0</x:v>
      </x:c>
      <x:c r="C132" s="14" t="b">
        <x:v>1</x:v>
      </x:c>
      <x:c r="D132" s="8"/>
    </x:row>
    <x:row r="133" ht="36" customHeight="1">
      <x:c r="A133" s="8" t="str">
        <x:v>Liquidity-first</x:v>
      </x:c>
      <x:c r="B133" s="8" t="n">
        <x:v>10</x:v>
      </x:c>
      <x:c r="C133" s="14" t="b">
        <x:v>1</x:v>
      </x:c>
      <x:c r="D133" s="8"/>
    </x:row>
    <x:row r="134" ht="36" customHeight="1">
      <x:c r="A134" s="8" t="str">
        <x:v>Liquidity-first</x:v>
      </x:c>
      <x:c r="B134" s="8" t="n">
        <x:v>20</x:v>
      </x:c>
      <x:c r="C134" s="14" t="b">
        <x:v>1</x:v>
      </x:c>
      <x:c r="D134" s="8"/>
    </x:row>
    <x:row r="135" ht="36" customHeight="1">
      <x:c r="A135" s="8" t="str">
        <x:v>Liquidity-first</x:v>
      </x:c>
      <x:c r="B135" s="8" t="n">
        <x:v>30</x:v>
      </x:c>
      <x:c r="C135" s="14" t="b">
        <x:v>1</x:v>
      </x:c>
      <x:c r="D135" s="8"/>
    </x:row>
    <x:row r="136" ht="36" customHeight="1">
      <x:c r="A136" s="8" t="str">
        <x:v>Liquidity-first</x:v>
      </x:c>
      <x:c r="B136" s="8" t="n">
        <x:v>40</x:v>
      </x:c>
      <x:c r="C136" s="14" t="b">
        <x:v>1</x:v>
      </x:c>
      <x:c r="D136" s="8"/>
    </x:row>
    <x:row r="137" ht="36" customHeight="1">
      <x:c r="A137" s="8" t="str">
        <x:v>Liquidity-first</x:v>
      </x:c>
      <x:c r="B137" s="8" t="n">
        <x:v>50</x:v>
      </x:c>
      <x:c r="C137" s="14" t="b">
        <x:v>1</x:v>
      </x:c>
      <x:c r="D137" s="8"/>
    </x:row>
    <x:row r="138" ht="36" customHeight="1">
      <x:c r="A138" s="8" t="str">
        <x:v>Liquidity-first</x:v>
      </x:c>
      <x:c r="B138" s="8" t="n">
        <x:v>60</x:v>
      </x:c>
      <x:c r="C138" s="14" t="b">
        <x:v>1</x:v>
      </x:c>
      <x:c r="D138" s="8"/>
    </x:row>
    <x:row r="139" ht="36" customHeight="1">
      <x:c r="A139" s="8" t="str">
        <x:v>Liquidity-first</x:v>
      </x:c>
      <x:c r="B139" s="8" t="n">
        <x:v>70</x:v>
      </x:c>
      <x:c r="C139" s="14" t="b">
        <x:v>1</x:v>
      </x:c>
      <x:c r="D139" s="8"/>
    </x:row>
    <x:row r="140" ht="36" customHeight="1">
      <x:c r="A140" s="8" t="str">
        <x:v>Liquidity-first</x:v>
      </x:c>
      <x:c r="B140" s="8" t="n">
        <x:v>80</x:v>
      </x:c>
      <x:c r="C140" s="14" t="b">
        <x:v>1</x:v>
      </x:c>
      <x:c r="D140" s="8"/>
    </x:row>
    <x:row r="141" ht="36" customHeight="1">
      <x:c r="A141" s="8" t="str">
        <x:v>Liquidity-first</x:v>
      </x:c>
      <x:c r="B141" s="8" t="n">
        <x:v>90</x:v>
      </x:c>
      <x:c r="C141" s="14" t="b">
        <x:v>1</x:v>
      </x:c>
      <x:c r="D141" s="8"/>
    </x:row>
    <x:row r="142" ht="36" customHeight="1">
      <x:c r="A142" s="8" t="str">
        <x:v>Liquidity-first</x:v>
      </x:c>
      <x:c r="B142" s="8" t="n">
        <x:v>100</x:v>
      </x:c>
      <x:c r="C142" s="14" t="b">
        <x:v>1</x:v>
      </x:c>
      <x:c r="D142" s="8"/>
    </x:row>
    <x:row r="143" ht="36" customHeight="1">
      <x:c r="A143" s="8" t="str">
        <x:v>Liquidity-first</x:v>
      </x:c>
      <x:c r="B143" s="8" t="n">
        <x:v>110</x:v>
      </x:c>
      <x:c r="C143" s="14" t="b">
        <x:v>1</x:v>
      </x:c>
      <x:c r="D143" s="8"/>
    </x:row>
    <x:row r="144" ht="36" customHeight="1">
      <x:c r="A144" s="8" t="str">
        <x:v>Liquidity-first</x:v>
      </x:c>
      <x:c r="B144" s="8" t="n">
        <x:v>120</x:v>
      </x:c>
      <x:c r="C144" s="14" t="b">
        <x:v>1</x:v>
      </x:c>
      <x:c r="D144" s="8"/>
    </x:row>
    <x:row r="145" ht="36" customHeight="1">
      <x:c r="A145" s="8" t="str">
        <x:v>Liquidity-first</x:v>
      </x:c>
      <x:c r="B145" s="8" t="n">
        <x:v>130</x:v>
      </x:c>
      <x:c r="C145" s="14" t="b">
        <x:v>1</x:v>
      </x:c>
      <x:c r="D145" s="8"/>
    </x:row>
    <x:row r="146" ht="36" customHeight="1">
      <x:c r="A146" s="8" t="str">
        <x:v>Liquidity-first</x:v>
      </x:c>
      <x:c r="B146" s="8" t="n">
        <x:v>140</x:v>
      </x:c>
      <x:c r="C146" s="14" t="b">
        <x:v>1</x:v>
      </x:c>
      <x:c r="D146" s="8"/>
    </x:row>
    <x:row r="147" ht="36" customHeight="1">
      <x:c r="A147" s="8" t="str">
        <x:v>Liquidity-first</x:v>
      </x:c>
      <x:c r="B147" s="8" t="n">
        <x:v>150</x:v>
      </x:c>
      <x:c r="C147" s="14" t="b">
        <x:v>1</x:v>
      </x:c>
      <x:c r="D147" s="8"/>
    </x:row>
    <x:row r="148" ht="36" customHeight="1">
      <x:c r="A148" s="8" t="str">
        <x:v>Liquidity-first</x:v>
      </x:c>
      <x:c r="B148" s="8" t="n">
        <x:v>160</x:v>
      </x:c>
      <x:c r="C148" s="14" t="b">
        <x:v>1</x:v>
      </x:c>
      <x:c r="D148" s="8"/>
    </x:row>
    <x:row r="149" ht="36" customHeight="1">
      <x:c r="A149" s="8" t="str">
        <x:v>Liquidity-first</x:v>
      </x:c>
      <x:c r="B149" s="8" t="n">
        <x:v>170</x:v>
      </x:c>
      <x:c r="C149" s="14" t="b">
        <x:v>1</x:v>
      </x:c>
      <x:c r="D149" s="8"/>
    </x:row>
    <x:row r="150" ht="36" customHeight="1">
      <x:c r="A150" s="8" t="str">
        <x:v>Liquidity-first</x:v>
      </x:c>
      <x:c r="B150" s="8" t="n">
        <x:v>180</x:v>
      </x:c>
      <x:c r="C150" s="14" t="b">
        <x:v>1</x:v>
      </x:c>
      <x:c r="D150" s="8"/>
    </x:row>
    <x:row r="151" ht="36" customHeight="1">
      <x:c r="A151" s="8" t="str">
        <x:v>Liquidity-first</x:v>
      </x:c>
      <x:c r="B151" s="8" t="n">
        <x:v>190</x:v>
      </x:c>
      <x:c r="C151" s="14" t="b">
        <x:v>1</x:v>
      </x:c>
      <x:c r="D151" s="8"/>
    </x:row>
    <x:row r="152" ht="36" customHeight="1">
      <x:c r="A152" s="8" t="str">
        <x:v>Liquidity-first</x:v>
      </x:c>
      <x:c r="B152" s="8" t="n">
        <x:v>200</x:v>
      </x:c>
      <x:c r="C152" s="14" t="b">
        <x:v>1</x:v>
      </x:c>
      <x:c r="D152" s="8"/>
    </x:row>
    <x:row r="153" ht="36" customHeight="1">
      <x:c r="A153" s="8" t="str">
        <x:v>Liquidity-first</x:v>
      </x:c>
      <x:c r="B153" s="8" t="n">
        <x:v>210</x:v>
      </x:c>
      <x:c r="C153" s="14" t="b">
        <x:v>1</x:v>
      </x:c>
      <x:c r="D153" s="8"/>
    </x:row>
    <x:row r="154" ht="36" customHeight="1">
      <x:c r="A154" s="8" t="str">
        <x:v>Liquidity-first</x:v>
      </x:c>
      <x:c r="B154" s="8" t="n">
        <x:v>220</x:v>
      </x:c>
      <x:c r="C154" s="14" t="b">
        <x:v>1</x:v>
      </x:c>
      <x:c r="D154" s="8"/>
    </x:row>
    <x:row r="155" ht="36" customHeight="1">
      <x:c r="A155" s="8" t="str">
        <x:v>Liquidity-first</x:v>
      </x:c>
      <x:c r="B155" s="8" t="n">
        <x:v>230</x:v>
      </x:c>
      <x:c r="C155" s="14" t="b">
        <x:v>1</x:v>
      </x:c>
      <x:c r="D155" s="8"/>
    </x:row>
    <x:row r="156" ht="36" customHeight="1">
      <x:c r="A156" s="8" t="str">
        <x:v>Liquidity-first</x:v>
      </x:c>
      <x:c r="B156" s="8" t="n">
        <x:v>240</x:v>
      </x:c>
      <x:c r="C156" s="14" t="b">
        <x:v>1</x:v>
      </x:c>
      <x:c r="D156" s="8"/>
    </x:row>
    <x:row r="157" ht="36" customHeight="1">
      <x:c r="A157" s="8" t="str">
        <x:v>Liquidity-first</x:v>
      </x:c>
      <x:c r="B157" s="8" t="n">
        <x:v>250</x:v>
      </x:c>
      <x:c r="C157" s="14" t="b">
        <x:v>1</x:v>
      </x:c>
      <x:c r="D157" s="8"/>
    </x:row>
    <x:row r="158" ht="36" customHeight="1">
      <x:c r="A158" s="8" t="str">
        <x:v>Liquidity-first</x:v>
      </x:c>
      <x:c r="B158" s="8" t="n">
        <x:v>260</x:v>
      </x:c>
      <x:c r="C158" s="14" t="b">
        <x:v>1</x:v>
      </x:c>
      <x:c r="D158" s="8"/>
    </x:row>
    <x:row r="159" ht="36" customHeight="1">
      <x:c r="A159" s="8" t="str">
        <x:v>Liquidity-first</x:v>
      </x:c>
      <x:c r="B159" s="8" t="n">
        <x:v>270</x:v>
      </x:c>
      <x:c r="C159" s="14" t="b">
        <x:v>1</x:v>
      </x:c>
      <x:c r="D159" s="8"/>
    </x:row>
    <x:row r="160" ht="36" customHeight="1">
      <x:c r="A160" s="8" t="str">
        <x:v>Liquidity-first</x:v>
      </x:c>
      <x:c r="B160" s="8" t="n">
        <x:v>280</x:v>
      </x:c>
      <x:c r="C160" s="14" t="b">
        <x:v>1</x:v>
      </x:c>
      <x:c r="D160" s="8"/>
    </x:row>
    <x:row r="161" ht="36" customHeight="1">
      <x:c r="A161" s="8" t="str">
        <x:v>Liquidity-first</x:v>
      </x:c>
      <x:c r="B161" s="8" t="n">
        <x:v>290</x:v>
      </x:c>
      <x:c r="C161" s="14" t="b">
        <x:v>1</x:v>
      </x:c>
      <x:c r="D161" s="8"/>
    </x:row>
    <x:row r="162" ht="36" customHeight="1">
      <x:c r="A162" s="8" t="str">
        <x:v>Liquidity-first</x:v>
      </x:c>
      <x:c r="B162" s="8" t="n">
        <x:v>300</x:v>
      </x:c>
      <x:c r="C162" s="14" t="b">
        <x:v>1</x:v>
      </x:c>
      <x:c r="D162" s="8"/>
    </x:row>
    <x:row r="163" ht="36" customHeight="1">
      <x:c r="A163" s="8" t="str">
        <x:v>Liquidity-first</x:v>
      </x:c>
      <x:c r="B163" s="8" t="n">
        <x:v>310</x:v>
      </x:c>
      <x:c r="C163" s="14" t="b">
        <x:v>1</x:v>
      </x:c>
      <x:c r="D163" s="8"/>
    </x:row>
    <x:row r="164" ht="36" customHeight="1">
      <x:c r="A164" s="8" t="str">
        <x:v>Liquidity-first</x:v>
      </x:c>
      <x:c r="B164" s="8" t="n">
        <x:v>320</x:v>
      </x:c>
      <x:c r="C164" s="14" t="b">
        <x:v>1</x:v>
      </x:c>
      <x:c r="D164" s="8"/>
    </x:row>
    <x:row r="165" ht="36" customHeight="1">
      <x:c r="A165" s="8" t="str">
        <x:v>Liquidity-first</x:v>
      </x:c>
      <x:c r="B165" s="8" t="n">
        <x:v>330</x:v>
      </x:c>
      <x:c r="C165" s="14" t="b">
        <x:v>1</x:v>
      </x:c>
      <x:c r="D165" s="8"/>
    </x:row>
    <x:row r="166" ht="36" customHeight="1">
      <x:c r="A166" s="8" t="str">
        <x:v>Liquidity-first</x:v>
      </x:c>
      <x:c r="B166" s="8" t="n">
        <x:v>340</x:v>
      </x:c>
      <x:c r="C166" s="14" t="b">
        <x:v>1</x:v>
      </x:c>
      <x:c r="D166" s="8"/>
    </x:row>
    <x:row r="167" ht="36" customHeight="1">
      <x:c r="A167" s="8" t="str">
        <x:v>Liquidity-first</x:v>
      </x:c>
      <x:c r="B167" s="8" t="n">
        <x:v>350</x:v>
      </x:c>
      <x:c r="C167" s="14" t="b">
        <x:v>1</x:v>
      </x:c>
      <x:c r="D167" s="8"/>
    </x:row>
    <x:row r="168" ht="36" customHeight="1">
      <x:c r="A168" s="8" t="str">
        <x:v>Liquidity-first</x:v>
      </x:c>
      <x:c r="B168" s="8" t="n">
        <x:v>360</x:v>
      </x:c>
      <x:c r="C168" s="14" t="b">
        <x:v>1</x:v>
      </x:c>
      <x:c r="D168" s="8"/>
    </x:row>
    <x:row r="169" ht="36" customHeight="1">
      <x:c r="A169" s="8" t="str">
        <x:v>Liquidity-first</x:v>
      </x:c>
      <x:c r="B169" s="8" t="n">
        <x:v>370</x:v>
      </x:c>
      <x:c r="C169" s="14" t="b">
        <x:v>1</x:v>
      </x:c>
      <x:c r="D169" s="8"/>
    </x:row>
    <x:row r="170" ht="36" customHeight="1">
      <x:c r="A170" s="8" t="str">
        <x:v>Liquidity-first</x:v>
      </x:c>
      <x:c r="B170" s="8" t="n">
        <x:v>380</x:v>
      </x:c>
      <x:c r="C170" s="14" t="b">
        <x:v>1</x:v>
      </x:c>
      <x:c r="D170" s="8"/>
    </x:row>
    <x:row r="171" ht="36" customHeight="1">
      <x:c r="A171" s="8" t="str">
        <x:v>Liquidity-first</x:v>
      </x:c>
      <x:c r="B171" s="8" t="n">
        <x:v>390</x:v>
      </x:c>
      <x:c r="C171" s="14" t="b">
        <x:v>1</x:v>
      </x:c>
      <x:c r="D171" s="8"/>
    </x:row>
    <x:row r="172" ht="36" customHeight="1">
      <x:c r="A172" s="8" t="str">
        <x:v>Liquidity-first</x:v>
      </x:c>
      <x:c r="B172" s="8" t="n">
        <x:v>400</x:v>
      </x:c>
      <x:c r="C172" s="14" t="b">
        <x:v>1</x:v>
      </x:c>
      <x:c r="D172" s="8"/>
    </x:row>
    <x:row r="173" ht="36" customHeight="1">
      <x:c r="A173" s="8" t="str">
        <x:v>Liquidity-first</x:v>
      </x:c>
      <x:c r="B173" s="8" t="n">
        <x:v>410</x:v>
      </x:c>
      <x:c r="C173" s="14" t="b">
        <x:v>1</x:v>
      </x:c>
      <x:c r="D173" s="8"/>
    </x:row>
    <x:row r="174" ht="36" customHeight="1">
      <x:c r="A174" s="8" t="str">
        <x:v>Liquidity-first</x:v>
      </x:c>
      <x:c r="B174" s="8" t="n">
        <x:v>420</x:v>
      </x:c>
      <x:c r="C174" s="14" t="b">
        <x:v>1</x:v>
      </x:c>
      <x:c r="D174" s="8"/>
    </x:row>
    <x:row r="175" ht="36" customHeight="1">
      <x:c r="A175" s="8" t="str">
        <x:v>Liquidity-first</x:v>
      </x:c>
      <x:c r="B175" s="8" t="n">
        <x:v>430</x:v>
      </x:c>
      <x:c r="C175" s="14" t="b">
        <x:v>1</x:v>
      </x:c>
      <x:c r="D175" s="8"/>
    </x:row>
    <x:row r="176" ht="36" customHeight="1">
      <x:c r="A176" s="8" t="str">
        <x:v>Liquidity-first</x:v>
      </x:c>
      <x:c r="B176" s="8" t="n">
        <x:v>440</x:v>
      </x:c>
      <x:c r="C176" s="14" t="b">
        <x:v>1</x:v>
      </x:c>
      <x:c r="D176" s="8"/>
    </x:row>
    <x:row r="177" ht="36" customHeight="1">
      <x:c r="A177" s="8" t="str">
        <x:v>Liquidity-first</x:v>
      </x:c>
      <x:c r="B177" s="8" t="n">
        <x:v>450</x:v>
      </x:c>
      <x:c r="C177" s="14" t="b">
        <x:v>1</x:v>
      </x:c>
      <x:c r="D177" s="8"/>
    </x:row>
    <x:row r="178" ht="36" customHeight="1">
      <x:c r="A178" s="8" t="str">
        <x:v>Liquidity-first</x:v>
      </x:c>
      <x:c r="B178" s="8" t="n">
        <x:v>460</x:v>
      </x:c>
      <x:c r="C178" s="14" t="b">
        <x:v>1</x:v>
      </x:c>
      <x:c r="D178" s="8"/>
    </x:row>
    <x:row r="179" ht="36" customHeight="1">
      <x:c r="A179" s="8" t="str">
        <x:v>Liquidity-first</x:v>
      </x:c>
      <x:c r="B179" s="8" t="n">
        <x:v>470</x:v>
      </x:c>
      <x:c r="C179" s="14" t="b">
        <x:v>1</x:v>
      </x:c>
      <x:c r="D179" s="8"/>
    </x:row>
    <x:row r="180" ht="36" customHeight="1">
      <x:c r="A180" s="8" t="str">
        <x:v>Liquidity-first</x:v>
      </x:c>
      <x:c r="B180" s="8" t="n">
        <x:v>480</x:v>
      </x:c>
      <x:c r="C180" s="14" t="b">
        <x:v>1</x:v>
      </x:c>
      <x:c r="D180" s="8"/>
    </x:row>
    <x:row r="181" ht="36" customHeight="1">
      <x:c r="A181" s="8" t="str">
        <x:v>Liquidity-first</x:v>
      </x:c>
      <x:c r="B181" s="8" t="n">
        <x:v>490</x:v>
      </x:c>
      <x:c r="C181" s="14" t="b">
        <x:v>1</x:v>
      </x:c>
      <x:c r="D181" s="8"/>
    </x:row>
    <x:row r="182" ht="36" customHeight="1">
      <x:c r="A182" s="8" t="str">
        <x:v>Liquidity-first</x:v>
      </x:c>
      <x:c r="B182" s="8" t="n">
        <x:v>500</x:v>
      </x:c>
      <x:c r="C182" s="14" t="b">
        <x:v>1</x:v>
      </x:c>
      <x:c r="D182" s="8"/>
    </x:row>
    <x:row r="183" ht="36" customHeight="1">
      <x:c r="A183" s="8" t="str">
        <x:v>Liquidity-first</x:v>
      </x:c>
      <x:c r="B183" s="8" t="n">
        <x:v>510</x:v>
      </x:c>
      <x:c r="C183" s="14" t="b">
        <x:v>1</x:v>
      </x:c>
      <x:c r="D183" s="8"/>
    </x:row>
    <x:row r="184" ht="36" customHeight="1">
      <x:c r="A184" s="8" t="str">
        <x:v>Liquidity-first</x:v>
      </x:c>
      <x:c r="B184" s="8" t="n">
        <x:v>520</x:v>
      </x:c>
      <x:c r="C184" s="14" t="b">
        <x:v>1</x:v>
      </x:c>
      <x:c r="D184" s="8"/>
    </x:row>
    <x:row r="185" ht="36" customHeight="1">
      <x:c r="A185" s="8" t="str">
        <x:v>Liquidity-first</x:v>
      </x:c>
      <x:c r="B185" s="8" t="n">
        <x:v>530</x:v>
      </x:c>
      <x:c r="C185" s="14" t="b">
        <x:v>1</x:v>
      </x:c>
      <x:c r="D185" s="8"/>
    </x:row>
    <x:row r="186" ht="36" customHeight="1">
      <x:c r="A186" s="8" t="str">
        <x:v>Liquidity-first</x:v>
      </x:c>
      <x:c r="B186" s="8" t="n">
        <x:v>540</x:v>
      </x:c>
      <x:c r="C186" s="14" t="b">
        <x:v>1</x:v>
      </x:c>
      <x:c r="D186" s="8"/>
    </x:row>
    <x:row r="187" ht="36" customHeight="1">
      <x:c r="A187" s="8" t="str">
        <x:v>Liquidity-first</x:v>
      </x:c>
      <x:c r="B187" s="8" t="n">
        <x:v>550</x:v>
      </x:c>
      <x:c r="C187" s="14" t="b">
        <x:v>1</x:v>
      </x:c>
      <x:c r="D187" s="8"/>
    </x:row>
    <x:row r="188" ht="36" customHeight="1">
      <x:c r="A188" s="8" t="str">
        <x:v>Liquidity-first</x:v>
      </x:c>
      <x:c r="B188" s="8" t="n">
        <x:v>560</x:v>
      </x:c>
      <x:c r="C188" s="14" t="b">
        <x:v>1</x:v>
      </x:c>
      <x:c r="D188" s="8"/>
    </x:row>
    <x:row r="189" ht="36" customHeight="1">
      <x:c r="A189" s="8" t="str">
        <x:v>Liquidity-first</x:v>
      </x:c>
      <x:c r="B189" s="8" t="n">
        <x:v>570</x:v>
      </x:c>
      <x:c r="C189" s="14" t="b">
        <x:v>1</x:v>
      </x:c>
      <x:c r="D189" s="8"/>
    </x:row>
    <x:row r="190" ht="36" customHeight="1">
      <x:c r="A190" s="8" t="str">
        <x:v>Liquidity-first</x:v>
      </x:c>
      <x:c r="B190" s="8" t="n">
        <x:v>580</x:v>
      </x:c>
      <x:c r="C190" s="14" t="b">
        <x:v>1</x:v>
      </x:c>
      <x:c r="D190" s="8"/>
    </x:row>
    <x:row r="191" ht="36" customHeight="1">
      <x:c r="A191" s="8" t="str">
        <x:v>Liquidity-first</x:v>
      </x:c>
      <x:c r="B191" s="8" t="n">
        <x:v>590</x:v>
      </x:c>
      <x:c r="C191" s="14" t="b">
        <x:v>1</x:v>
      </x:c>
      <x:c r="D191" s="8"/>
    </x:row>
    <x:row r="192" ht="36" customHeight="1">
      <x:c r="A192" s="8" t="str">
        <x:v>Liquidity-first</x:v>
      </x:c>
      <x:c r="B192" s="8" t="n">
        <x:v>600</x:v>
      </x:c>
      <x:c r="C192" s="14" t="b">
        <x:v>1</x:v>
      </x:c>
      <x:c r="D192" s="8"/>
    </x:row>
    <x:row r="193" ht="36" customHeight="1">
      <x:c r="A193" s="8" t="str">
        <x:v>Liquidity-first</x:v>
      </x:c>
      <x:c r="B193" s="8" t="n">
        <x:v>610</x:v>
      </x:c>
      <x:c r="C193" s="14" t="b">
        <x:v>1</x:v>
      </x:c>
      <x:c r="D193" s="8"/>
    </x:row>
    <x:row r="194" ht="36" customHeight="1">
      <x:c r="A194" s="8" t="str">
        <x:v>Liquidity-first</x:v>
      </x:c>
      <x:c r="B194" s="8" t="n">
        <x:v>620</x:v>
      </x:c>
      <x:c r="C194" s="14" t="b">
        <x:v>1</x:v>
      </x:c>
      <x:c r="D194" s="8"/>
    </x:row>
    <x:row r="195" ht="36" customHeight="1">
      <x:c r="A195" s="8" t="str">
        <x:v>Liquidity-first</x:v>
      </x:c>
      <x:c r="B195" s="8" t="n">
        <x:v>630</x:v>
      </x:c>
      <x:c r="C195" s="14" t="b">
        <x:v>1</x:v>
      </x:c>
      <x:c r="D195" s="8"/>
    </x:row>
    <x:row r="196" ht="36" customHeight="1">
      <x:c r="A196" s="8" t="str">
        <x:v>Liquidity-first</x:v>
      </x:c>
      <x:c r="B196" s="8" t="n">
        <x:v>640</x:v>
      </x:c>
      <x:c r="C196" s="14" t="b">
        <x:v>1</x:v>
      </x:c>
      <x:c r="D196" s="8"/>
    </x:row>
    <x:row r="197" ht="36" customHeight="1">
      <x:c r="A197" s="8" t="str">
        <x:v>Liquidity-first</x:v>
      </x:c>
      <x:c r="B197" s="8" t="n">
        <x:v>650</x:v>
      </x:c>
      <x:c r="C197" s="14" t="b">
        <x:v>1</x:v>
      </x:c>
      <x:c r="D197" s="8"/>
    </x:row>
    <x:row r="198" ht="36" customHeight="1">
      <x:c r="A198" s="8" t="str">
        <x:v>Liquidity-first</x:v>
      </x:c>
      <x:c r="B198" s="8" t="n">
        <x:v>660</x:v>
      </x:c>
      <x:c r="C198" s="14" t="b">
        <x:v>1</x:v>
      </x:c>
      <x:c r="D198" s="8"/>
    </x:row>
    <x:row r="199" ht="36" customHeight="1">
      <x:c r="A199" s="8" t="str">
        <x:v>Liquidity-first</x:v>
      </x:c>
      <x:c r="B199" s="8" t="n">
        <x:v>670</x:v>
      </x:c>
      <x:c r="C199" s="14" t="b">
        <x:v>1</x:v>
      </x:c>
      <x:c r="D199" s="8"/>
    </x:row>
    <x:row r="200" ht="36" customHeight="1">
      <x:c r="A200" s="8" t="str">
        <x:v>Liquidity-first</x:v>
      </x:c>
      <x:c r="B200" s="8" t="n">
        <x:v>680</x:v>
      </x:c>
      <x:c r="C200" s="14" t="b">
        <x:v>1</x:v>
      </x:c>
      <x:c r="D200" s="8"/>
    </x:row>
    <x:row r="201" ht="36" customHeight="1">
      <x:c r="A201" s="8" t="str">
        <x:v>Liquidity-first</x:v>
      </x:c>
      <x:c r="B201" s="8" t="n">
        <x:v>690</x:v>
      </x:c>
      <x:c r="C201" s="14" t="b">
        <x:v>1</x:v>
      </x:c>
      <x:c r="D201" s="8"/>
    </x:row>
    <x:row r="202" ht="36" customHeight="1">
      <x:c r="A202" s="8" t="str">
        <x:v>Liquidity-first</x:v>
      </x:c>
      <x:c r="B202" s="8" t="n">
        <x:v>700</x:v>
      </x:c>
      <x:c r="C202" s="14" t="b">
        <x:v>1</x:v>
      </x:c>
      <x:c r="D202" s="8"/>
    </x:row>
    <x:row r="203" ht="36" customHeight="1">
      <x:c r="A203" s="8" t="str">
        <x:v>Liquidity-first</x:v>
      </x:c>
      <x:c r="B203" s="8" t="n">
        <x:v>710</x:v>
      </x:c>
      <x:c r="C203" s="14" t="b">
        <x:v>1</x:v>
      </x:c>
      <x:c r="D203" s="8"/>
    </x:row>
    <x:row r="204" ht="36" customHeight="1">
      <x:c r="A204" s="8" t="str">
        <x:v>Liquidity-first</x:v>
      </x:c>
      <x:c r="B204" s="8" t="n">
        <x:v>720</x:v>
      </x:c>
      <x:c r="C204" s="14" t="b">
        <x:v>1</x:v>
      </x:c>
      <x:c r="D204" s="8"/>
    </x:row>
    <x:row r="205" ht="36" customHeight="1">
      <x:c r="A205" s="8" t="str">
        <x:v>Liquidity-first</x:v>
      </x:c>
      <x:c r="B205" s="8" t="n">
        <x:v>730</x:v>
      </x:c>
      <x:c r="C205" s="14" t="b">
        <x:v>1</x:v>
      </x:c>
      <x:c r="D205" s="8"/>
    </x:row>
    <x:row r="206" ht="36" customHeight="1">
      <x:c r="A206" s="8" t="str">
        <x:v>Liquidity-first</x:v>
      </x:c>
      <x:c r="B206" s="8" t="n">
        <x:v>740</x:v>
      </x:c>
      <x:c r="C206" s="14" t="b">
        <x:v>1</x:v>
      </x:c>
      <x:c r="D206" s="8"/>
    </x:row>
    <x:row r="207" ht="36" customHeight="1">
      <x:c r="A207" s="8" t="str">
        <x:v>Liquidity-first</x:v>
      </x:c>
      <x:c r="B207" s="8" t="n">
        <x:v>750</x:v>
      </x:c>
      <x:c r="C207" s="14" t="b">
        <x:v>1</x:v>
      </x:c>
      <x:c r="D207" s="8"/>
    </x:row>
    <x:row r="208" ht="36" customHeight="1">
      <x:c r="A208" s="8" t="str">
        <x:v>Liquidity-first</x:v>
      </x:c>
      <x:c r="B208" s="8" t="n">
        <x:v>760</x:v>
      </x:c>
      <x:c r="C208" s="14" t="b">
        <x:v>1</x:v>
      </x:c>
      <x:c r="D208" s="8"/>
    </x:row>
    <x:row r="209" ht="36" customHeight="1">
      <x:c r="A209" s="8" t="str">
        <x:v>Liquidity-first</x:v>
      </x:c>
      <x:c r="B209" s="8" t="n">
        <x:v>770</x:v>
      </x:c>
      <x:c r="C209" s="14" t="b">
        <x:v>1</x:v>
      </x:c>
      <x:c r="D209" s="8"/>
    </x:row>
    <x:row r="210" ht="36" customHeight="1">
      <x:c r="A210" s="8" t="str">
        <x:v>Liquidity-first</x:v>
      </x:c>
      <x:c r="B210" s="8" t="n">
        <x:v>780</x:v>
      </x:c>
      <x:c r="C210" s="14" t="b">
        <x:v>1</x:v>
      </x:c>
      <x:c r="D210" s="8"/>
    </x:row>
    <x:row r="211" ht="36" customHeight="1">
      <x:c r="A211" s="8" t="str">
        <x:v>Liquidity-first</x:v>
      </x:c>
      <x:c r="B211" s="8" t="n">
        <x:v>790</x:v>
      </x:c>
      <x:c r="C211" s="14" t="b">
        <x:v>1</x:v>
      </x:c>
      <x:c r="D211" s="8"/>
    </x:row>
    <x:row r="212" ht="36" customHeight="1">
      <x:c r="A212" s="8" t="str">
        <x:v>Liquidity-first</x:v>
      </x:c>
      <x:c r="B212" s="8" t="n">
        <x:v>800</x:v>
      </x:c>
      <x:c r="C212" s="14" t="b">
        <x:v>1</x:v>
      </x:c>
      <x:c r="D212" s="8"/>
    </x:row>
    <x:row r="213" ht="36" customHeight="1">
      <x:c r="A213" s="8" t="str">
        <x:v>Liquidity-first</x:v>
      </x:c>
      <x:c r="B213" s="8" t="n">
        <x:v>810</x:v>
      </x:c>
      <x:c r="C213" s="14" t="b">
        <x:v>1</x:v>
      </x:c>
      <x:c r="D213" s="8"/>
    </x:row>
    <x:row r="214" ht="36" customHeight="1">
      <x:c r="A214" s="8" t="str">
        <x:v>Liquidity-first</x:v>
      </x:c>
      <x:c r="B214" s="8" t="n">
        <x:v>820</x:v>
      </x:c>
      <x:c r="C214" s="14" t="b">
        <x:v>1</x:v>
      </x:c>
      <x:c r="D214" s="8"/>
    </x:row>
    <x:row r="215" ht="36" customHeight="1">
      <x:c r="A215" s="8" t="str">
        <x:v>Liquidity-first</x:v>
      </x:c>
      <x:c r="B215" s="8" t="n">
        <x:v>830</x:v>
      </x:c>
      <x:c r="C215" s="14" t="b">
        <x:v>1</x:v>
      </x:c>
      <x:c r="D215" s="8"/>
    </x:row>
    <x:row r="216" ht="36" customHeight="1">
      <x:c r="A216" s="8" t="str">
        <x:v>Liquidity-first</x:v>
      </x:c>
      <x:c r="B216" s="8" t="n">
        <x:v>840</x:v>
      </x:c>
      <x:c r="C216" s="14" t="b">
        <x:v>1</x:v>
      </x:c>
      <x:c r="D216" s="8"/>
    </x:row>
    <x:row r="217" ht="36" customHeight="1">
      <x:c r="A217" s="8" t="str">
        <x:v>Liquidity-first</x:v>
      </x:c>
      <x:c r="B217" s="8" t="n">
        <x:v>850</x:v>
      </x:c>
      <x:c r="C217" s="14" t="b">
        <x:v>1</x:v>
      </x:c>
      <x:c r="D217" s="8"/>
    </x:row>
    <x:row r="218" ht="36" customHeight="1">
      <x:c r="A218" s="8" t="str">
        <x:v>Liquidity-first</x:v>
      </x:c>
      <x:c r="B218" s="8" t="n">
        <x:v>860</x:v>
      </x:c>
      <x:c r="C218" s="14" t="b">
        <x:v>1</x:v>
      </x:c>
      <x:c r="D218" s="8"/>
    </x:row>
    <x:row r="219" ht="36" customHeight="1">
      <x:c r="A219" s="8" t="str">
        <x:v>Liquidity-first</x:v>
      </x:c>
      <x:c r="B219" s="8" t="n">
        <x:v>870</x:v>
      </x:c>
      <x:c r="C219" s="14" t="b">
        <x:v>1</x:v>
      </x:c>
      <x:c r="D219" s="8"/>
    </x:row>
    <x:row r="220" ht="36" customHeight="1">
      <x:c r="A220" s="8" t="str">
        <x:v>Liquidity-first</x:v>
      </x:c>
      <x:c r="B220" s="8" t="n">
        <x:v>880</x:v>
      </x:c>
      <x:c r="C220" s="14" t="b">
        <x:v>1</x:v>
      </x:c>
      <x:c r="D220" s="8"/>
    </x:row>
    <x:row r="221" ht="36" customHeight="1">
      <x:c r="A221" s="8" t="str">
        <x:v>Liquidity-first</x:v>
      </x:c>
      <x:c r="B221" s="8" t="n">
        <x:v>890</x:v>
      </x:c>
      <x:c r="C221" s="14" t="b">
        <x:v>1</x:v>
      </x:c>
      <x:c r="D221" s="8"/>
    </x:row>
    <x:row r="222" ht="36" customHeight="1">
      <x:c r="A222" s="8" t="str">
        <x:v>Liquidity-first</x:v>
      </x:c>
      <x:c r="B222" s="8" t="n">
        <x:v>900</x:v>
      </x:c>
      <x:c r="C222" s="14" t="b">
        <x:v>1</x:v>
      </x:c>
      <x:c r="D222" s="8"/>
    </x:row>
    <x:row r="223" ht="36" customHeight="1">
      <x:c r="A223" s="8" t="str">
        <x:v>Liquidity-first</x:v>
      </x:c>
      <x:c r="B223" s="8" t="n">
        <x:v>910</x:v>
      </x:c>
      <x:c r="C223" s="14" t="b">
        <x:v>1</x:v>
      </x:c>
      <x:c r="D223" s="8"/>
    </x:row>
    <x:row r="224" ht="36" customHeight="1">
      <x:c r="A224" s="8" t="str">
        <x:v>Liquidity-first</x:v>
      </x:c>
      <x:c r="B224" s="8" t="n">
        <x:v>920</x:v>
      </x:c>
      <x:c r="C224" s="14" t="b">
        <x:v>1</x:v>
      </x:c>
      <x:c r="D224" s="8"/>
    </x:row>
    <x:row r="225" ht="36" customHeight="1">
      <x:c r="A225" s="8" t="str">
        <x:v>Liquidity-first</x:v>
      </x:c>
      <x:c r="B225" s="8" t="n">
        <x:v>930</x:v>
      </x:c>
      <x:c r="C225" s="14" t="b">
        <x:v>1</x:v>
      </x:c>
      <x:c r="D225" s="8"/>
    </x:row>
    <x:row r="226" ht="36" customHeight="1">
      <x:c r="A226" s="8" t="str">
        <x:v>Liquidity-first</x:v>
      </x:c>
      <x:c r="B226" s="8" t="n">
        <x:v>940</x:v>
      </x:c>
      <x:c r="C226" s="14" t="b">
        <x:v>1</x:v>
      </x:c>
      <x:c r="D226" s="8"/>
    </x:row>
    <x:row r="227" ht="36" customHeight="1">
      <x:c r="A227" s="8" t="str">
        <x:v>Liquidity-first</x:v>
      </x:c>
      <x:c r="B227" s="8" t="n">
        <x:v>950</x:v>
      </x:c>
      <x:c r="C227" s="14" t="b">
        <x:v>1</x:v>
      </x:c>
      <x:c r="D227" s="8"/>
    </x:row>
    <x:row r="228" ht="36" customHeight="1">
      <x:c r="A228" s="8" t="str">
        <x:v>Liquidity-first</x:v>
      </x:c>
      <x:c r="B228" s="8" t="n">
        <x:v>960</x:v>
      </x:c>
      <x:c r="C228" s="14" t="b">
        <x:v>1</x:v>
      </x:c>
      <x:c r="D228" s="8"/>
    </x:row>
    <x:row r="229" ht="36" customHeight="1">
      <x:c r="A229" s="8" t="str">
        <x:v>Liquidity-first</x:v>
      </x:c>
      <x:c r="B229" s="8" t="n">
        <x:v>970</x:v>
      </x:c>
      <x:c r="C229" s="14" t="b">
        <x:v>1</x:v>
      </x:c>
      <x:c r="D229" s="8"/>
    </x:row>
    <x:row r="230" ht="36" customHeight="1">
      <x:c r="A230" s="8" t="str">
        <x:v>Liquidity-first</x:v>
      </x:c>
      <x:c r="B230" s="8" t="n">
        <x:v>980</x:v>
      </x:c>
      <x:c r="C230" s="14" t="b">
        <x:v>1</x:v>
      </x:c>
      <x:c r="D230" s="8"/>
    </x:row>
    <x:row r="231" ht="36" customHeight="1">
      <x:c r="A231" s="8" t="str">
        <x:v>Liquidity-first</x:v>
      </x:c>
      <x:c r="B231" s="8" t="n">
        <x:v>990</x:v>
      </x:c>
      <x:c r="C231" s="14" t="b">
        <x:v>1</x:v>
      </x:c>
      <x:c r="D231" s="8"/>
    </x:row>
    <x:row r="232" ht="36" customHeight="1">
      <x:c r="A232" s="8" t="str">
        <x:v>Liquidity-first</x:v>
      </x:c>
      <x:c r="B232" s="8" t="n">
        <x:v>1000</x:v>
      </x:c>
      <x:c r="C232" s="14" t="b">
        <x:v>1</x:v>
      </x:c>
      <x:c r="D232" s="8"/>
    </x:row>
    <x:row r="233" ht="36" customHeight="1">
      <x:c r="A233" s="8" t="str">
        <x:v>Liquidity-first</x:v>
      </x:c>
      <x:c r="B233" s="8" t="n">
        <x:v>1010</x:v>
      </x:c>
      <x:c r="C233" s="14" t="b">
        <x:v>1</x:v>
      </x:c>
      <x:c r="D233" s="8"/>
    </x:row>
    <x:row r="234" ht="36" customHeight="1">
      <x:c r="A234" s="8" t="str">
        <x:v>Liquidity-first</x:v>
      </x:c>
      <x:c r="B234" s="8" t="n">
        <x:v>1020</x:v>
      </x:c>
      <x:c r="C234" s="14" t="b">
        <x:v>1</x:v>
      </x:c>
      <x:c r="D234" s="8"/>
    </x:row>
    <x:row r="235" ht="36" customHeight="1">
      <x:c r="A235" s="8" t="str">
        <x:v>Liquidity-first</x:v>
      </x:c>
      <x:c r="B235" s="8" t="n">
        <x:v>1030</x:v>
      </x:c>
      <x:c r="C235" s="14" t="b">
        <x:v>1</x:v>
      </x:c>
      <x:c r="D235" s="8"/>
    </x:row>
    <x:row r="236" ht="36" customHeight="1">
      <x:c r="A236" s="8" t="str">
        <x:v>Liquidity-first</x:v>
      </x:c>
      <x:c r="B236" s="8" t="n">
        <x:v>1040</x:v>
      </x:c>
      <x:c r="C236" s="14" t="b">
        <x:v>1</x:v>
      </x:c>
      <x:c r="D236" s="8"/>
    </x:row>
    <x:row r="237" ht="36" customHeight="1">
      <x:c r="A237" s="8" t="str">
        <x:v>Liquidity-first</x:v>
      </x:c>
      <x:c r="B237" s="8" t="n">
        <x:v>1050</x:v>
      </x:c>
      <x:c r="C237" s="14" t="b">
        <x:v>1</x:v>
      </x:c>
      <x:c r="D237" s="8"/>
    </x:row>
    <x:row r="238" ht="36" customHeight="1">
      <x:c r="A238" s="8" t="str">
        <x:v>Liquidity-first</x:v>
      </x:c>
      <x:c r="B238" s="8" t="n">
        <x:v>1060</x:v>
      </x:c>
      <x:c r="C238" s="14" t="b">
        <x:v>1</x:v>
      </x:c>
      <x:c r="D238" s="8"/>
    </x:row>
    <x:row r="239" ht="36" customHeight="1">
      <x:c r="A239" s="8" t="str">
        <x:v>Liquidity-first</x:v>
      </x:c>
      <x:c r="B239" s="8" t="n">
        <x:v>1070</x:v>
      </x:c>
      <x:c r="C239" s="14" t="b">
        <x:v>1</x:v>
      </x:c>
      <x:c r="D239" s="8"/>
    </x:row>
    <x:row r="240" ht="36" customHeight="1">
      <x:c r="A240" s="8" t="str">
        <x:v>Liquidity-first</x:v>
      </x:c>
      <x:c r="B240" s="8" t="n">
        <x:v>1080</x:v>
      </x:c>
      <x:c r="C240" s="14" t="b">
        <x:v>1</x:v>
      </x:c>
      <x:c r="D240" s="8"/>
    </x:row>
    <x:row r="241" ht="36" customHeight="1">
      <x:c r="A241" s="8" t="str">
        <x:v>Liquidity-first</x:v>
      </x:c>
      <x:c r="B241" s="8" t="n">
        <x:v>1090</x:v>
      </x:c>
      <x:c r="C241" s="14" t="b">
        <x:v>1</x:v>
      </x:c>
      <x:c r="D241" s="8"/>
    </x:row>
    <x:row r="242" ht="36" customHeight="1">
      <x:c r="A242" s="8" t="str">
        <x:v>Liquidity-first</x:v>
      </x:c>
      <x:c r="B242" s="8" t="n">
        <x:v>1100</x:v>
      </x:c>
      <x:c r="C242" s="14" t="b">
        <x:v>1</x:v>
      </x:c>
      <x:c r="D242" s="8"/>
    </x:row>
    <x:row r="243" ht="36" customHeight="1">
      <x:c r="A243" s="8" t="str">
        <x:v>Liquidity-first</x:v>
      </x:c>
      <x:c r="B243" s="8" t="n">
        <x:v>1110</x:v>
      </x:c>
      <x:c r="C243" s="14" t="b">
        <x:v>1</x:v>
      </x:c>
      <x:c r="D243" s="8"/>
    </x:row>
    <x:row r="244" ht="36" customHeight="1">
      <x:c r="A244" s="8" t="str">
        <x:v>Liquidity-first</x:v>
      </x:c>
      <x:c r="B244" s="8" t="n">
        <x:v>1120</x:v>
      </x:c>
      <x:c r="C244" s="14" t="b">
        <x:v>1</x:v>
      </x:c>
      <x:c r="D244" s="8"/>
    </x:row>
    <x:row r="245" ht="36" customHeight="1">
      <x:c r="A245" s="8" t="str">
        <x:v>Liquidity-first</x:v>
      </x:c>
      <x:c r="B245" s="8" t="n">
        <x:v>1130</x:v>
      </x:c>
      <x:c r="C245" s="14" t="b">
        <x:v>1</x:v>
      </x:c>
      <x:c r="D245" s="8"/>
    </x:row>
    <x:row r="246" ht="36" customHeight="1">
      <x:c r="A246" s="8" t="str">
        <x:v>Liquidity-first</x:v>
      </x:c>
      <x:c r="B246" s="8" t="n">
        <x:v>1140</x:v>
      </x:c>
      <x:c r="C246" s="14" t="b">
        <x:v>1</x:v>
      </x:c>
      <x:c r="D246" s="8"/>
    </x:row>
    <x:row r="247" ht="36" customHeight="1">
      <x:c r="A247" s="8" t="str">
        <x:v>Liquidity-first</x:v>
      </x:c>
      <x:c r="B247" s="8" t="n">
        <x:v>1150</x:v>
      </x:c>
      <x:c r="C247" s="14" t="b">
        <x:v>1</x:v>
      </x:c>
      <x:c r="D247" s="8"/>
    </x:row>
    <x:row r="248" ht="36" customHeight="1">
      <x:c r="A248" s="8" t="str">
        <x:v>Liquidity-first</x:v>
      </x:c>
      <x:c r="B248" s="8" t="n">
        <x:v>1160</x:v>
      </x:c>
      <x:c r="C248" s="14" t="b">
        <x:v>1</x:v>
      </x:c>
      <x:c r="D248" s="8"/>
    </x:row>
    <x:row r="249" ht="36" customHeight="1">
      <x:c r="A249" s="8" t="str">
        <x:v>Liquidity-first</x:v>
      </x:c>
      <x:c r="B249" s="8" t="n">
        <x:v>1170</x:v>
      </x:c>
      <x:c r="C249" s="14" t="b">
        <x:v>1</x:v>
      </x:c>
      <x:c r="D249" s="8"/>
    </x:row>
    <x:row r="250" ht="36" customHeight="1">
      <x:c r="A250" s="8" t="str">
        <x:v>Liquidity-first</x:v>
      </x:c>
      <x:c r="B250" s="8" t="n">
        <x:v>1180</x:v>
      </x:c>
      <x:c r="C250" s="14" t="b">
        <x:v>1</x:v>
      </x:c>
      <x:c r="D250" s="8"/>
    </x:row>
    <x:row r="251" ht="36" customHeight="1">
      <x:c r="A251" s="8" t="str">
        <x:v>Liquidity-first</x:v>
      </x:c>
      <x:c r="B251" s="8" t="n">
        <x:v>1190</x:v>
      </x:c>
      <x:c r="C251" s="14" t="b">
        <x:v>1</x:v>
      </x:c>
      <x:c r="D251" s="8"/>
    </x:row>
    <x:row r="252" ht="36" customHeight="1">
      <x:c r="A252" s="8" t="str">
        <x:v>Liquidity-first</x:v>
      </x:c>
      <x:c r="B252" s="8" t="n">
        <x:v>1200</x:v>
      </x:c>
      <x:c r="C252" s="14" t="b">
        <x:v>1</x:v>
      </x:c>
      <x:c r="D252" s="8"/>
    </x:row>
    <x:row r="253" ht="36" customHeight="1">
      <x:c r="A253" s="8" t="str">
        <x:v>Liquidity-first</x:v>
      </x:c>
      <x:c r="B253" s="8" t="n">
        <x:v>1210</x:v>
      </x:c>
      <x:c r="C253" s="14" t="b">
        <x:v>1</x:v>
      </x:c>
      <x:c r="D253" s="8"/>
    </x:row>
    <x:row r="254" ht="36" customHeight="1">
      <x:c r="A254" s="8" t="str">
        <x:v>Liquidity-first</x:v>
      </x:c>
      <x:c r="B254" s="8" t="n">
        <x:v>1220</x:v>
      </x:c>
      <x:c r="C254" s="14" t="b">
        <x:v>1</x:v>
      </x:c>
      <x:c r="D254" s="8"/>
    </x:row>
    <x:row r="255" ht="36" customHeight="1">
      <x:c r="A255" s="8" t="str">
        <x:v>Liquidity-first</x:v>
      </x:c>
      <x:c r="B255" s="8" t="n">
        <x:v>1230</x:v>
      </x:c>
      <x:c r="C255" s="14" t="b">
        <x:v>1</x:v>
      </x:c>
      <x:c r="D255" s="8"/>
    </x:row>
    <x:row r="256" ht="36" customHeight="1">
      <x:c r="A256" s="8" t="str">
        <x:v>Liquidity-first</x:v>
      </x:c>
      <x:c r="B256" s="8" t="n">
        <x:v>1240</x:v>
      </x:c>
      <x:c r="C256" s="14" t="b">
        <x:v>1</x:v>
      </x:c>
      <x:c r="D256" s="8"/>
    </x:row>
    <x:row r="257" ht="36" customHeight="1">
      <x:c r="A257" s="8" t="str">
        <x:v>Liquidity-first</x:v>
      </x:c>
      <x:c r="B257" s="8" t="n">
        <x:v>1250</x:v>
      </x:c>
      <x:c r="C257" s="14" t="b">
        <x:v>1</x:v>
      </x:c>
      <x:c r="D257" s="8"/>
    </x:row>
    <x:row r="258" ht="36" customHeight="1">
      <x:c r="A258" s="8" t="str">
        <x:v>Liquidity-first</x:v>
      </x:c>
      <x:c r="B258" s="8" t="n">
        <x:v>1260</x:v>
      </x:c>
      <x:c r="C258" s="14" t="b">
        <x:v>1</x:v>
      </x:c>
      <x:c r="D258" s="8"/>
    </x:row>
    <x:row r="259" ht="36" customHeight="1">
      <x:c r="A259" s="8" t="str">
        <x:v>Liquidity-first</x:v>
      </x:c>
      <x:c r="B259" s="8" t="n">
        <x:v>1270</x:v>
      </x:c>
      <x:c r="C259" s="14" t="b">
        <x:v>1</x:v>
      </x:c>
      <x:c r="D259" s="8"/>
    </x:row>
    <x:row r="260" ht="36" customHeight="1">
      <x:c r="A260" s="8" t="str">
        <x:v>Liquidity-first</x:v>
      </x:c>
      <x:c r="B260" s="8" t="n">
        <x:v>1280</x:v>
      </x:c>
      <x:c r="C260" s="14" t="b">
        <x:v>1</x:v>
      </x:c>
      <x:c r="D260" s="8"/>
    </x:row>
    <x:row r="261" ht="36" customHeight="1">
      <x:c r="A261" s="8" t="str">
        <x:v>Liquidity-first</x:v>
      </x:c>
      <x:c r="B261" s="8" t="n">
        <x:v>1290</x:v>
      </x:c>
      <x:c r="C261" s="14" t="b">
        <x:v>1</x:v>
      </x:c>
      <x:c r="D261" s="8"/>
    </x:row>
    <x:row r="262" ht="36" customHeight="1">
      <x:c r="A262" s="8" t="str">
        <x:v>Liquidity-first</x:v>
      </x:c>
      <x:c r="B262" s="8" t="n">
        <x:v>1300</x:v>
      </x:c>
      <x:c r="C262" s="14" t="b">
        <x:v>1</x:v>
      </x:c>
      <x:c r="D262" s="8"/>
    </x:row>
    <x:row r="263" ht="36" customHeight="1">
      <x:c r="A263" s="8" t="str">
        <x:v>Liquidity-first</x:v>
      </x:c>
      <x:c r="B263" s="8" t="n">
        <x:v>1310</x:v>
      </x:c>
      <x:c r="C263" s="14" t="b">
        <x:v>1</x:v>
      </x:c>
      <x:c r="D263" s="8"/>
    </x:row>
    <x:row r="264" ht="36" customHeight="1">
      <x:c r="A264" s="8" t="str">
        <x:v>Liquidity-first</x:v>
      </x:c>
      <x:c r="B264" s="8" t="n">
        <x:v>1320</x:v>
      </x:c>
      <x:c r="C264" s="14" t="b">
        <x:v>1</x:v>
      </x:c>
      <x:c r="D264" s="8"/>
    </x:row>
    <x:row r="265" ht="36" customHeight="1">
      <x:c r="A265" s="8" t="str">
        <x:v>Liquidity-first</x:v>
      </x:c>
      <x:c r="B265" s="8" t="n">
        <x:v>1330</x:v>
      </x:c>
      <x:c r="C265" s="14" t="b">
        <x:v>1</x:v>
      </x:c>
      <x:c r="D265" s="8"/>
    </x:row>
    <x:row r="266" ht="36" customHeight="1">
      <x:c r="A266" s="8" t="str">
        <x:v>Liquidity-first</x:v>
      </x:c>
      <x:c r="B266" s="8" t="n">
        <x:v>1340</x:v>
      </x:c>
      <x:c r="C266" s="14" t="b">
        <x:v>1</x:v>
      </x:c>
      <x:c r="D266" s="8"/>
    </x:row>
    <x:row r="267" ht="36" customHeight="1">
      <x:c r="A267" s="8" t="str">
        <x:v>Liquidity-first</x:v>
      </x:c>
      <x:c r="B267" s="8" t="n">
        <x:v>1350</x:v>
      </x:c>
      <x:c r="C267" s="14" t="b">
        <x:v>1</x:v>
      </x:c>
      <x:c r="D267" s="8"/>
    </x:row>
    <x:row r="268" ht="36" customHeight="1">
      <x:c r="A268" s="8" t="str">
        <x:v>Liquidity-first</x:v>
      </x:c>
      <x:c r="B268" s="8" t="n">
        <x:v>1360</x:v>
      </x:c>
      <x:c r="C268" s="14" t="b">
        <x:v>1</x:v>
      </x:c>
      <x:c r="D268" s="8"/>
    </x:row>
    <x:row r="269" ht="36" customHeight="1">
      <x:c r="A269" s="8" t="str">
        <x:v>Liquidity-first</x:v>
      </x:c>
      <x:c r="B269" s="8" t="n">
        <x:v>1370</x:v>
      </x:c>
      <x:c r="C269" s="14" t="b">
        <x:v>1</x:v>
      </x:c>
      <x:c r="D269" s="8"/>
    </x:row>
    <x:row r="270" ht="36" customHeight="1">
      <x:c r="A270" s="8" t="str">
        <x:v>Liquidity-first</x:v>
      </x:c>
      <x:c r="B270" s="8" t="n">
        <x:v>1380</x:v>
      </x:c>
      <x:c r="C270" s="14" t="b">
        <x:v>1</x:v>
      </x:c>
      <x:c r="D270" s="8"/>
    </x:row>
    <x:row r="271" ht="36" customHeight="1">
      <x:c r="A271" s="8" t="str">
        <x:v>Liquidity-first</x:v>
      </x:c>
      <x:c r="B271" s="8" t="n">
        <x:v>1390</x:v>
      </x:c>
      <x:c r="C271" s="14" t="b">
        <x:v>1</x:v>
      </x:c>
      <x:c r="D271" s="8"/>
    </x:row>
    <x:row r="272" ht="36" customHeight="1">
      <x:c r="A272" s="8" t="str">
        <x:v>Liquidity-first</x:v>
      </x:c>
      <x:c r="B272" s="8" t="n">
        <x:v>1400</x:v>
      </x:c>
      <x:c r="C272" s="14" t="b">
        <x:v>1</x:v>
      </x:c>
      <x:c r="D272" s="8"/>
    </x:row>
    <x:row r="273" ht="36" customHeight="1">
      <x:c r="A273" s="8" t="str">
        <x:v>Liquidity-first</x:v>
      </x:c>
      <x:c r="B273" s="8" t="n">
        <x:v>1410</x:v>
      </x:c>
      <x:c r="C273" s="14" t="b">
        <x:v>1</x:v>
      </x:c>
      <x:c r="D273" s="8"/>
    </x:row>
    <x:row r="274" ht="36" customHeight="1">
      <x:c r="A274" s="8" t="str">
        <x:v>Liquidity-first</x:v>
      </x:c>
      <x:c r="B274" s="8" t="n">
        <x:v>1420</x:v>
      </x:c>
      <x:c r="C274" s="14" t="b">
        <x:v>1</x:v>
      </x:c>
      <x:c r="D274" s="8"/>
    </x:row>
    <x:row r="275" ht="36" customHeight="1">
      <x:c r="A275" s="8" t="str">
        <x:v>Liquidity-first</x:v>
      </x:c>
      <x:c r="B275" s="8" t="n">
        <x:v>1430</x:v>
      </x:c>
      <x:c r="C275" s="14" t="b">
        <x:v>1</x:v>
      </x:c>
      <x:c r="D275" s="8"/>
    </x:row>
    <x:row r="276" ht="36" customHeight="1">
      <x:c r="A276" s="8" t="str">
        <x:v>Liquidity-first</x:v>
      </x:c>
      <x:c r="B276" s="8" t="n">
        <x:v>1440</x:v>
      </x:c>
      <x:c r="C276" s="14" t="b">
        <x:v>1</x:v>
      </x:c>
      <x:c r="D276" s="8"/>
    </x:row>
    <x:row r="277" ht="36" customHeight="1">
      <x:c r="A277" s="8" t="str">
        <x:v>Liquidity-first</x:v>
      </x:c>
      <x:c r="B277" s="8" t="n">
        <x:v>1450</x:v>
      </x:c>
      <x:c r="C277" s="14" t="b">
        <x:v>1</x:v>
      </x:c>
      <x:c r="D277" s="8"/>
    </x:row>
    <x:row r="278" ht="36" customHeight="1">
      <x:c r="A278" s="8" t="str">
        <x:v>Liquidity-first</x:v>
      </x:c>
      <x:c r="B278" s="8" t="n">
        <x:v>1460</x:v>
      </x:c>
      <x:c r="C278" s="14" t="b">
        <x:v>1</x:v>
      </x:c>
      <x:c r="D278" s="8"/>
    </x:row>
    <x:row r="279" ht="36" customHeight="1">
      <x:c r="A279" s="8" t="str">
        <x:v>Liquidity-first</x:v>
      </x:c>
      <x:c r="B279" s="8" t="n">
        <x:v>1470</x:v>
      </x:c>
      <x:c r="C279" s="14" t="b">
        <x:v>1</x:v>
      </x:c>
      <x:c r="D279" s="8"/>
    </x:row>
    <x:row r="280" ht="36" customHeight="1">
      <x:c r="A280" s="8" t="str">
        <x:v>Liquidity-first</x:v>
      </x:c>
      <x:c r="B280" s="8" t="n">
        <x:v>1480</x:v>
      </x:c>
      <x:c r="C280" s="14" t="b">
        <x:v>1</x:v>
      </x:c>
      <x:c r="D280" s="8"/>
    </x:row>
    <x:row r="281" ht="36" customHeight="1">
      <x:c r="A281" s="8" t="str">
        <x:v>Liquidity-first</x:v>
      </x:c>
      <x:c r="B281" s="8" t="n">
        <x:v>1490</x:v>
      </x:c>
      <x:c r="C281" s="14" t="b">
        <x:v>1</x:v>
      </x:c>
      <x:c r="D281" s="8"/>
    </x:row>
    <x:row r="282" ht="36" customHeight="1">
      <x:c r="A282" s="8" t="str">
        <x:v>Liquidity-first</x:v>
      </x:c>
      <x:c r="B282" s="8" t="n">
        <x:v>1500</x:v>
      </x:c>
      <x:c r="C282" s="14" t="b">
        <x:v>1</x:v>
      </x:c>
      <x:c r="D282" s="8"/>
    </x:row>
    <x:row r="283" ht="36" customHeight="1">
      <x:c r="A283" s="8" t="str">
        <x:v>Liquidity-first</x:v>
      </x:c>
      <x:c r="B283" s="8" t="n">
        <x:v>1510</x:v>
      </x:c>
      <x:c r="C283" s="14" t="b">
        <x:v>1</x:v>
      </x:c>
      <x:c r="D283" s="8"/>
    </x:row>
    <x:row r="284" ht="36" customHeight="1">
      <x:c r="A284" s="8" t="str">
        <x:v>Liquidity-first</x:v>
      </x:c>
      <x:c r="B284" s="8" t="n">
        <x:v>1520</x:v>
      </x:c>
      <x:c r="C284" s="14" t="b">
        <x:v>1</x:v>
      </x:c>
      <x:c r="D284" s="8"/>
    </x:row>
    <x:row r="285" ht="36" customHeight="1">
      <x:c r="A285" s="8" t="str">
        <x:v>Liquidity-first</x:v>
      </x:c>
      <x:c r="B285" s="8" t="n">
        <x:v>1530</x:v>
      </x:c>
      <x:c r="C285" s="14" t="b">
        <x:v>1</x:v>
      </x:c>
      <x:c r="D285" s="8"/>
    </x:row>
    <x:row r="286" ht="36" customHeight="1">
      <x:c r="A286" s="8" t="str">
        <x:v>Liquidity-first</x:v>
      </x:c>
      <x:c r="B286" s="8" t="n">
        <x:v>1540</x:v>
      </x:c>
      <x:c r="C286" s="14" t="b">
        <x:v>1</x:v>
      </x:c>
      <x:c r="D286" s="8"/>
    </x:row>
    <x:row r="287" ht="36" customHeight="1">
      <x:c r="A287" s="8" t="str">
        <x:v>Liquidity-first</x:v>
      </x:c>
      <x:c r="B287" s="8" t="n">
        <x:v>1550</x:v>
      </x:c>
      <x:c r="C287" s="14" t="b">
        <x:v>1</x:v>
      </x:c>
      <x:c r="D287" s="8"/>
    </x:row>
    <x:row r="288" ht="36" customHeight="1">
      <x:c r="A288" s="8" t="str">
        <x:v>Liquidity-first</x:v>
      </x:c>
      <x:c r="B288" s="8" t="n">
        <x:v>1560</x:v>
      </x:c>
      <x:c r="C288" s="14" t="b">
        <x:v>1</x:v>
      </x:c>
      <x:c r="D288" s="8"/>
    </x:row>
    <x:row r="289" ht="36" customHeight="1">
      <x:c r="A289" s="8" t="str">
        <x:v>Liquidity-first</x:v>
      </x:c>
      <x:c r="B289" s="8" t="n">
        <x:v>1570</x:v>
      </x:c>
      <x:c r="C289" s="14" t="b">
        <x:v>1</x:v>
      </x:c>
      <x:c r="D289" s="8"/>
    </x:row>
    <x:row r="290" ht="36" customHeight="1">
      <x:c r="A290" s="8" t="str">
        <x:v>Liquidity-first</x:v>
      </x:c>
      <x:c r="B290" s="8" t="n">
        <x:v>1580</x:v>
      </x:c>
      <x:c r="C290" s="14" t="b">
        <x:v>1</x:v>
      </x:c>
      <x:c r="D290" s="8"/>
    </x:row>
    <x:row r="291" ht="36" customHeight="1">
      <x:c r="A291" s="8" t="str">
        <x:v>Liquidity-first</x:v>
      </x:c>
      <x:c r="B291" s="8" t="n">
        <x:v>1590</x:v>
      </x:c>
      <x:c r="C291" s="14" t="b">
        <x:v>1</x:v>
      </x:c>
      <x:c r="D291" s="8"/>
    </x:row>
    <x:row r="292" ht="36" customHeight="1">
      <x:c r="A292" s="8" t="str">
        <x:v>Liquidity-first</x:v>
      </x:c>
      <x:c r="B292" s="8" t="n">
        <x:v>1600</x:v>
      </x:c>
      <x:c r="C292" s="14" t="b">
        <x:v>1</x:v>
      </x:c>
      <x:c r="D292" s="8"/>
    </x:row>
    <x:row r="293" ht="36" customHeight="1">
      <x:c r="A293" s="8" t="str">
        <x:v>Liquidity-first</x:v>
      </x:c>
      <x:c r="B293" s="8" t="n">
        <x:v>1610</x:v>
      </x:c>
      <x:c r="C293" s="14" t="b">
        <x:v>1</x:v>
      </x:c>
      <x:c r="D293" s="8"/>
    </x:row>
    <x:row r="294" ht="36" customHeight="1">
      <x:c r="A294" s="8" t="str">
        <x:v>Liquidity-first</x:v>
      </x:c>
      <x:c r="B294" s="8" t="n">
        <x:v>1620</x:v>
      </x:c>
      <x:c r="C294" s="14" t="b">
        <x:v>1</x:v>
      </x:c>
      <x:c r="D294" s="8"/>
    </x:row>
    <x:row r="295" ht="36" customHeight="1">
      <x:c r="A295" s="8" t="str">
        <x:v>Liquidity-first</x:v>
      </x:c>
      <x:c r="B295" s="8" t="n">
        <x:v>1630</x:v>
      </x:c>
      <x:c r="C295" s="14" t="b">
        <x:v>1</x:v>
      </x:c>
      <x:c r="D295" s="8"/>
    </x:row>
    <x:row r="296" ht="36" customHeight="1">
      <x:c r="A296" s="8" t="str">
        <x:v>Liquidity-first</x:v>
      </x:c>
      <x:c r="B296" s="8" t="n">
        <x:v>1640</x:v>
      </x:c>
      <x:c r="C296" s="14" t="b">
        <x:v>1</x:v>
      </x:c>
      <x:c r="D296" s="8"/>
    </x:row>
    <x:row r="297" ht="36" customHeight="1">
      <x:c r="A297" s="8" t="str">
        <x:v>Liquidity-first</x:v>
      </x:c>
      <x:c r="B297" s="8" t="n">
        <x:v>1650</x:v>
      </x:c>
      <x:c r="C297" s="14" t="b">
        <x:v>1</x:v>
      </x:c>
      <x:c r="D297" s="8"/>
    </x:row>
    <x:row r="298" ht="36" customHeight="1">
      <x:c r="A298" s="8" t="str">
        <x:v>Liquidity-first</x:v>
      </x:c>
      <x:c r="B298" s="8" t="n">
        <x:v>1660</x:v>
      </x:c>
      <x:c r="C298" s="14" t="b">
        <x:v>1</x:v>
      </x:c>
      <x:c r="D298" s="8"/>
    </x:row>
    <x:row r="299" ht="36" customHeight="1">
      <x:c r="A299" s="8" t="str">
        <x:v>Liquidity-first</x:v>
      </x:c>
      <x:c r="B299" s="8" t="n">
        <x:v>1670</x:v>
      </x:c>
      <x:c r="C299" s="14" t="b">
        <x:v>1</x:v>
      </x:c>
      <x:c r="D299" s="8"/>
    </x:row>
    <x:row r="300" ht="36" customHeight="1">
      <x:c r="A300" s="8" t="str">
        <x:v>Liquidity-first</x:v>
      </x:c>
      <x:c r="B300" s="8" t="n">
        <x:v>1680</x:v>
      </x:c>
      <x:c r="C300" s="14" t="b">
        <x:v>1</x:v>
      </x:c>
      <x:c r="D300" s="8"/>
    </x:row>
    <x:row r="301" ht="36" customHeight="1">
      <x:c r="A301" s="8" t="str">
        <x:v>Liquidity-first</x:v>
      </x:c>
      <x:c r="B301" s="8" t="n">
        <x:v>1690</x:v>
      </x:c>
      <x:c r="C301" s="14" t="b">
        <x:v>1</x:v>
      </x:c>
      <x:c r="D301" s="8"/>
    </x:row>
    <x:row r="302" ht="36" customHeight="1">
      <x:c r="A302" s="8" t="str">
        <x:v>Liquidity-first</x:v>
      </x:c>
      <x:c r="B302" s="8" t="n">
        <x:v>1700</x:v>
      </x:c>
      <x:c r="C302" s="14" t="b">
        <x:v>1</x:v>
      </x:c>
      <x:c r="D302" s="8"/>
    </x:row>
    <x:row r="303" ht="36" customHeight="1">
      <x:c r="A303" s="8" t="str">
        <x:v>Liquidity-first</x:v>
      </x:c>
      <x:c r="B303" s="8" t="n">
        <x:v>1710</x:v>
      </x:c>
      <x:c r="C303" s="14" t="b">
        <x:v>1</x:v>
      </x:c>
      <x:c r="D303" s="8"/>
    </x:row>
    <x:row r="304" ht="36" customHeight="1">
      <x:c r="A304" s="8" t="str">
        <x:v>Liquidity-first</x:v>
      </x:c>
      <x:c r="B304" s="8" t="n">
        <x:v>1720</x:v>
      </x:c>
      <x:c r="C304" s="14" t="b">
        <x:v>1</x:v>
      </x:c>
      <x:c r="D304" s="8"/>
    </x:row>
    <x:row r="305" ht="36" customHeight="1">
      <x:c r="A305" s="8" t="str">
        <x:v>Liquidity-first</x:v>
      </x:c>
      <x:c r="B305" s="8" t="n">
        <x:v>1730</x:v>
      </x:c>
      <x:c r="C305" s="14" t="b">
        <x:v>1</x:v>
      </x:c>
      <x:c r="D305" s="8"/>
    </x:row>
    <x:row r="306" ht="36" customHeight="1">
      <x:c r="A306" s="8" t="str">
        <x:v>Liquidity-first</x:v>
      </x:c>
      <x:c r="B306" s="8" t="n">
        <x:v>1740</x:v>
      </x:c>
      <x:c r="C306" s="14" t="b">
        <x:v>1</x:v>
      </x:c>
      <x:c r="D306" s="8"/>
    </x:row>
    <x:row r="307" ht="36" customHeight="1">
      <x:c r="A307" s="8" t="str">
        <x:v>Liquidity-first</x:v>
      </x:c>
      <x:c r="B307" s="8" t="n">
        <x:v>1750</x:v>
      </x:c>
      <x:c r="C307" s="14" t="b">
        <x:v>1</x:v>
      </x:c>
      <x:c r="D307" s="8"/>
    </x:row>
    <x:row r="308" ht="36" customHeight="1">
      <x:c r="A308" s="8" t="str">
        <x:v>Liquidity-first</x:v>
      </x:c>
      <x:c r="B308" s="8" t="n">
        <x:v>1760</x:v>
      </x:c>
      <x:c r="C308" s="14" t="b">
        <x:v>1</x:v>
      </x:c>
      <x:c r="D308" s="8"/>
    </x:row>
    <x:row r="309" ht="36" customHeight="1">
      <x:c r="A309" s="8" t="str">
        <x:v>Liquidity-first</x:v>
      </x:c>
      <x:c r="B309" s="8" t="n">
        <x:v>1761</x:v>
      </x:c>
      <x:c r="C309" s="14" t="b">
        <x:v>1</x:v>
      </x:c>
      <x:c r="D309" s="8"/>
    </x:row>
    <x:row r="310" ht="36" customHeight="1">
      <x:c r="A310" s="8" t="str">
        <x:v>Liquidity-first</x:v>
      </x:c>
      <x:c r="B310" s="8" t="n">
        <x:v>1762</x:v>
      </x:c>
      <x:c r="C310" s="14" t="b">
        <x:v>1</x:v>
      </x:c>
      <x:c r="D310" s="8"/>
    </x:row>
    <x:row r="311" ht="36" customHeight="1">
      <x:c r="A311" s="8" t="str">
        <x:v>Liquidity-first</x:v>
      </x:c>
      <x:c r="B311" s="8" t="n">
        <x:v>1763</x:v>
      </x:c>
      <x:c r="C311" s="14" t="b">
        <x:v>1</x:v>
      </x:c>
      <x:c r="D311" s="8"/>
    </x:row>
    <x:row r="312" ht="36" customHeight="1">
      <x:c r="A312" s="8" t="str">
        <x:v>Liquidity-first</x:v>
      </x:c>
      <x:c r="B312" s="8" t="n">
        <x:v>1764</x:v>
      </x:c>
      <x:c r="C312" s="14" t="b">
        <x:v>1</x:v>
      </x:c>
      <x:c r="D312" s="8"/>
    </x:row>
    <x:row r="313" ht="36" customHeight="1">
      <x:c r="A313" s="8" t="str">
        <x:v>Liquidity-first</x:v>
      </x:c>
      <x:c r="B313" s="8" t="n">
        <x:v>1765</x:v>
      </x:c>
      <x:c r="C313" s="14" t="b">
        <x:v>0</x:v>
      </x:c>
      <x:c r="D313" s="8" t="str">
        <x:v>Cash at year 5, period 5</x:v>
      </x:c>
    </x:row>
    <x:row r="314" ht="36" customHeight="1">
      <x:c r="A314" s="8" t="str">
        <x:v>Liquidity-first</x:v>
      </x:c>
      <x:c r="B314" s="8" t="n">
        <x:v>1766</x:v>
      </x:c>
      <x:c r="C314" s="14" t="b">
        <x:v>0</x:v>
      </x:c>
      <x:c r="D314" s="8" t="str">
        <x:v>Cash at year 5, period 5</x:v>
      </x:c>
    </x:row>
    <x:row r="315" ht="36" customHeight="1">
      <x:c r="A315" s="8" t="str">
        <x:v>Liquidity-first</x:v>
      </x:c>
      <x:c r="B315" s="8" t="n">
        <x:v>1767</x:v>
      </x:c>
      <x:c r="C315" s="14" t="b">
        <x:v>0</x:v>
      </x:c>
      <x:c r="D315" s="8" t="str">
        <x:v>Cash at year 5, period 5</x:v>
      </x:c>
    </x:row>
    <x:row r="316" ht="36" customHeight="1">
      <x:c r="A316" s="8" t="str">
        <x:v>Liquidity-first</x:v>
      </x:c>
      <x:c r="B316" s="8" t="n">
        <x:v>1768</x:v>
      </x:c>
      <x:c r="C316" s="14" t="b">
        <x:v>0</x:v>
      </x:c>
      <x:c r="D316" s="8" t="str">
        <x:v>Cash at year 5, period 5</x:v>
      </x:c>
    </x:row>
    <x:row r="317" ht="36" customHeight="1">
      <x:c r="A317" s="8" t="str">
        <x:v>Liquidity-first</x:v>
      </x:c>
      <x:c r="B317" s="8" t="n">
        <x:v>1769</x:v>
      </x:c>
      <x:c r="C317" s="14" t="b">
        <x:v>0</x:v>
      </x:c>
      <x:c r="D317" s="8" t="str">
        <x:v>Cash at year 5, period 5</x:v>
      </x:c>
    </x:row>
    <x:row r="318" ht="36" customHeight="1">
      <x:c r="A318" s="8" t="str">
        <x:v>Liquidity-first</x:v>
      </x:c>
      <x:c r="B318" s="8" t="n">
        <x:v>1770</x:v>
      </x:c>
      <x:c r="C318" s="14" t="b">
        <x:v>0</x:v>
      </x:c>
      <x:c r="D318" s="8" t="str">
        <x:v>Cash at year 5, period 5</x:v>
      </x:c>
    </x:row>
    <x:row r="319" ht="36" customHeight="1">
      <x:c r="A319" s="8" t="str">
        <x:v>Liquidity-first</x:v>
      </x:c>
      <x:c r="B319" s="8" t="n">
        <x:v>1780</x:v>
      </x:c>
      <x:c r="C319" s="14" t="b">
        <x:v>0</x:v>
      </x:c>
      <x:c r="D319" s="8" t="str">
        <x:v>Cash at year 5, period 5</x:v>
      </x:c>
    </x:row>
    <x:row r="320" ht="36" customHeight="1">
      <x:c r="A320" s="8" t="str">
        <x:v>Liquidity-first</x:v>
      </x:c>
      <x:c r="B320" s="8" t="n">
        <x:v>1790</x:v>
      </x:c>
      <x:c r="C320" s="14" t="b">
        <x:v>0</x:v>
      </x:c>
      <x:c r="D320" s="8" t="str">
        <x:v>Cash at year 5, period 5</x:v>
      </x:c>
    </x:row>
    <x:row r="321" ht="36" customHeight="1">
      <x:c r="A321" s="8" t="str">
        <x:v>Liquidity-first</x:v>
      </x:c>
      <x:c r="B321" s="8" t="n">
        <x:v>1800</x:v>
      </x:c>
      <x:c r="C321" s="14" t="b">
        <x:v>0</x:v>
      </x:c>
      <x:c r="D321" s="8" t="str">
        <x:v>Cash at year 5, period 5</x:v>
      </x:c>
    </x:row>
    <x:row r="322" ht="36" customHeight="1">
      <x:c r="A322" s="8" t="str">
        <x:v>Liquidity-first</x:v>
      </x:c>
      <x:c r="B322" s="8" t="n">
        <x:v>1810</x:v>
      </x:c>
      <x:c r="C322" s="14" t="b">
        <x:v>0</x:v>
      </x:c>
      <x:c r="D322" s="8" t="str">
        <x:v>Cash at year 5, period 5</x:v>
      </x:c>
    </x:row>
    <x:row r="323" ht="36" customHeight="1">
      <x:c r="A323" s="8" t="str">
        <x:v>Liquidity-first</x:v>
      </x:c>
      <x:c r="B323" s="8" t="n">
        <x:v>1820</x:v>
      </x:c>
      <x:c r="C323" s="14" t="b">
        <x:v>0</x:v>
      </x:c>
      <x:c r="D323" s="8" t="str">
        <x:v>Cash at year 5, period 5</x:v>
      </x:c>
    </x:row>
    <x:row r="324" ht="36" customHeight="1">
      <x:c r="A324" s="8" t="str">
        <x:v>Liquidity-first</x:v>
      </x:c>
      <x:c r="B324" s="8" t="n">
        <x:v>1830</x:v>
      </x:c>
      <x:c r="C324" s="14" t="b">
        <x:v>0</x:v>
      </x:c>
      <x:c r="D324" s="8" t="str">
        <x:v>Cash at year 5, period 5</x:v>
      </x:c>
    </x:row>
    <x:row r="325" ht="36" customHeight="1">
      <x:c r="A325" s="8" t="str">
        <x:v>Liquidity-first</x:v>
      </x:c>
      <x:c r="B325" s="8" t="n">
        <x:v>1840</x:v>
      </x:c>
      <x:c r="C325" s="14" t="b">
        <x:v>0</x:v>
      </x:c>
      <x:c r="D325" s="8" t="str">
        <x:v>Cash at year 5, period 5</x:v>
      </x:c>
    </x:row>
    <x:row r="326" ht="36" customHeight="1">
      <x:c r="A326" s="8" t="str">
        <x:v>Liquidity-first</x:v>
      </x:c>
      <x:c r="B326" s="8" t="n">
        <x:v>1850</x:v>
      </x:c>
      <x:c r="C326" s="14" t="b">
        <x:v>0</x:v>
      </x:c>
      <x:c r="D326" s="8" t="str">
        <x:v>Cash at year 5, period 5</x:v>
      </x:c>
    </x:row>
    <x:row r="327" ht="36" customHeight="1">
      <x:c r="A327" s="8" t="str">
        <x:v>Liquidity-first</x:v>
      </x:c>
      <x:c r="B327" s="8" t="n">
        <x:v>1860</x:v>
      </x:c>
      <x:c r="C327" s="14" t="b">
        <x:v>0</x:v>
      </x:c>
      <x:c r="D327" s="8" t="str">
        <x:v>Cash at year 5, period 5</x:v>
      </x:c>
    </x:row>
    <x:row r="328" ht="36" customHeight="1">
      <x:c r="A328" s="8" t="str">
        <x:v>Liquidity-first</x:v>
      </x:c>
      <x:c r="B328" s="8" t="n">
        <x:v>1870</x:v>
      </x:c>
      <x:c r="C328" s="14" t="b">
        <x:v>0</x:v>
      </x:c>
      <x:c r="D328" s="8" t="str">
        <x:v>Cash at year 5, period 5</x:v>
      </x:c>
    </x:row>
    <x:row r="329" ht="36" customHeight="1">
      <x:c r="A329" s="8" t="str">
        <x:v>Liquidity-first</x:v>
      </x:c>
      <x:c r="B329" s="8" t="n">
        <x:v>1880</x:v>
      </x:c>
      <x:c r="C329" s="14" t="b">
        <x:v>0</x:v>
      </x:c>
      <x:c r="D329" s="8" t="str">
        <x:v>Cash at year 5, period 5</x:v>
      </x:c>
    </x:row>
    <x:row r="330" ht="36" customHeight="1">
      <x:c r="A330" s="8" t="str">
        <x:v>Liquidity-first</x:v>
      </x:c>
      <x:c r="B330" s="8" t="n">
        <x:v>1890</x:v>
      </x:c>
      <x:c r="C330" s="14" t="b">
        <x:v>0</x:v>
      </x:c>
      <x:c r="D330" s="8" t="str">
        <x:v>Cash at year 5, period 5</x:v>
      </x:c>
    </x:row>
    <x:row r="331" ht="36" customHeight="1">
      <x:c r="A331" s="8" t="str">
        <x:v>Liquidity-first</x:v>
      </x:c>
      <x:c r="B331" s="8" t="n">
        <x:v>1900</x:v>
      </x:c>
      <x:c r="C331" s="14" t="b">
        <x:v>0</x:v>
      </x:c>
      <x:c r="D331" s="8" t="str">
        <x:v>Cash at year 5, period 5</x:v>
      </x:c>
    </x:row>
    <x:row r="332" ht="36" customHeight="1">
      <x:c r="A332" s="8" t="str">
        <x:v>Liquidity-first</x:v>
      </x:c>
      <x:c r="B332" s="8" t="n">
        <x:v>1910</x:v>
      </x:c>
      <x:c r="C332" s="14" t="b">
        <x:v>0</x:v>
      </x:c>
      <x:c r="D332" s="8" t="str">
        <x:v>Cash at year 5, period 5</x:v>
      </x:c>
    </x:row>
    <x:row r="333" ht="36" customHeight="1">
      <x:c r="A333" s="8" t="str">
        <x:v>Liquidity-first</x:v>
      </x:c>
      <x:c r="B333" s="8" t="n">
        <x:v>1920</x:v>
      </x:c>
      <x:c r="C333" s="14" t="b">
        <x:v>0</x:v>
      </x:c>
      <x:c r="D333" s="8" t="str">
        <x:v>Cash at year 5, period 5</x:v>
      </x:c>
    </x:row>
    <x:row r="334" ht="36" customHeight="1">
      <x:c r="A334" s="8" t="str">
        <x:v>Liquidity-first</x:v>
      </x:c>
      <x:c r="B334" s="8" t="n">
        <x:v>1930</x:v>
      </x:c>
      <x:c r="C334" s="14" t="b">
        <x:v>0</x:v>
      </x:c>
      <x:c r="D334" s="8" t="str">
        <x:v>Cash at year 5, period 5</x:v>
      </x:c>
    </x:row>
    <x:row r="335" ht="36" customHeight="1">
      <x:c r="A335" s="8" t="str">
        <x:v>Liquidity-first</x:v>
      </x:c>
      <x:c r="B335" s="8" t="n">
        <x:v>1940</x:v>
      </x:c>
      <x:c r="C335" s="14" t="b">
        <x:v>0</x:v>
      </x:c>
      <x:c r="D335" s="8" t="str">
        <x:v>Cash at year 5, period 5</x:v>
      </x:c>
    </x:row>
    <x:row r="336" ht="36" customHeight="1">
      <x:c r="A336" s="8" t="str">
        <x:v>Liquidity-first</x:v>
      </x:c>
      <x:c r="B336" s="8" t="n">
        <x:v>1950</x:v>
      </x:c>
      <x:c r="C336" s="14" t="b">
        <x:v>0</x:v>
      </x:c>
      <x:c r="D336" s="8" t="str">
        <x:v>Cash at year 5, period 5</x:v>
      </x:c>
    </x:row>
    <x:row r="337" ht="36" customHeight="1">
      <x:c r="A337" s="8" t="str">
        <x:v>Liquidity-first</x:v>
      </x:c>
      <x:c r="B337" s="8" t="n">
        <x:v>1960</x:v>
      </x:c>
      <x:c r="C337" s="14" t="b">
        <x:v>0</x:v>
      </x:c>
      <x:c r="D337" s="8" t="str">
        <x:v>Cash at year 5, period 5</x:v>
      </x:c>
    </x:row>
    <x:row r="338" ht="36" customHeight="1">
      <x:c r="A338" s="8" t="str">
        <x:v>Liquidity-first</x:v>
      </x:c>
      <x:c r="B338" s="8" t="n">
        <x:v>1970</x:v>
      </x:c>
      <x:c r="C338" s="14" t="b">
        <x:v>0</x:v>
      </x:c>
      <x:c r="D338" s="8" t="str">
        <x:v>Cash at year 5, period 5</x:v>
      </x:c>
    </x:row>
    <x:row r="339" ht="36" customHeight="1">
      <x:c r="A339" s="8" t="str">
        <x:v>Liquidity-first</x:v>
      </x:c>
      <x:c r="B339" s="8" t="n">
        <x:v>1980</x:v>
      </x:c>
      <x:c r="C339" s="14" t="b">
        <x:v>0</x:v>
      </x:c>
      <x:c r="D339" s="8" t="str">
        <x:v>Cash at year 5, period 5</x:v>
      </x:c>
    </x:row>
    <x:row r="340" ht="36" customHeight="1">
      <x:c r="A340" s="8" t="str">
        <x:v>Liquidity-first</x:v>
      </x:c>
      <x:c r="B340" s="8" t="n">
        <x:v>1990</x:v>
      </x:c>
      <x:c r="C340" s="14" t="b">
        <x:v>0</x:v>
      </x:c>
      <x:c r="D340" s="8" t="str">
        <x:v>Cash at year 5, period 5</x:v>
      </x:c>
    </x:row>
    <x:row r="341" ht="36" customHeight="1">
      <x:c r="A341" s="8" t="str">
        <x:v>Liquidity-first</x:v>
      </x:c>
      <x:c r="B341" s="8" t="n">
        <x:v>2000</x:v>
      </x:c>
      <x:c r="C341" s="14" t="b">
        <x:v>0</x:v>
      </x:c>
      <x:c r="D341" s="8" t="str">
        <x:v>Cash at year 5, period 5</x:v>
      </x:c>
    </x:row>
    <x:row r="342" ht="36" customHeight="1">
      <x:c r="A342" s="8" t="str">
        <x:v>Liquidity-first</x:v>
      </x:c>
      <x:c r="B342" s="8" t="n">
        <x:v>2010</x:v>
      </x:c>
      <x:c r="C342" s="14" t="b">
        <x:v>0</x:v>
      </x:c>
      <x:c r="D342" s="8" t="str">
        <x:v>Cash at year 5, period 5</x:v>
      </x:c>
    </x:row>
    <x:row r="343" ht="36" customHeight="1">
      <x:c r="A343" s="8" t="str">
        <x:v>Liquidity-first</x:v>
      </x:c>
      <x:c r="B343" s="8" t="n">
        <x:v>2020</x:v>
      </x:c>
      <x:c r="C343" s="14" t="b">
        <x:v>0</x:v>
      </x:c>
      <x:c r="D343" s="8" t="str">
        <x:v>Cash at year 5, period 5</x:v>
      </x:c>
    </x:row>
    <x:row r="344" ht="36" customHeight="1">
      <x:c r="A344" s="8" t="str">
        <x:v>Liquidity-first</x:v>
      </x:c>
      <x:c r="B344" s="8" t="n">
        <x:v>2030</x:v>
      </x:c>
      <x:c r="C344" s="14" t="b">
        <x:v>0</x:v>
      </x:c>
      <x:c r="D344" s="8" t="str">
        <x:v>Cash at year 5, period 5</x:v>
      </x:c>
    </x:row>
    <x:row r="345" ht="36" customHeight="1">
      <x:c r="A345" s="8" t="str">
        <x:v>Liquidity-first</x:v>
      </x:c>
      <x:c r="B345" s="8" t="n">
        <x:v>2040</x:v>
      </x:c>
      <x:c r="C345" s="14" t="b">
        <x:v>0</x:v>
      </x:c>
      <x:c r="D345" s="8" t="str">
        <x:v>Cash at year 5, period 5</x:v>
      </x:c>
    </x:row>
    <x:row r="346" ht="36" customHeight="1">
      <x:c r="A346" s="8" t="str">
        <x:v>Mixed consideration</x:v>
      </x:c>
      <x:c r="B346" s="8" t="n">
        <x:v>0</x:v>
      </x:c>
      <x:c r="C346" s="14" t="b">
        <x:v>1</x:v>
      </x:c>
      <x:c r="D346" s="8"/>
    </x:row>
    <x:row r="347" ht="36" customHeight="1">
      <x:c r="A347" s="8" t="str">
        <x:v>Mixed consideration</x:v>
      </x:c>
      <x:c r="B347" s="8" t="n">
        <x:v>10</x:v>
      </x:c>
      <x:c r="C347" s="14" t="b">
        <x:v>1</x:v>
      </x:c>
      <x:c r="D347" s="8"/>
    </x:row>
    <x:row r="348" ht="36" customHeight="1">
      <x:c r="A348" s="8" t="str">
        <x:v>Mixed consideration</x:v>
      </x:c>
      <x:c r="B348" s="8" t="n">
        <x:v>20</x:v>
      </x:c>
      <x:c r="C348" s="14" t="b">
        <x:v>1</x:v>
      </x:c>
      <x:c r="D348" s="8"/>
    </x:row>
    <x:row r="349" ht="36" customHeight="1">
      <x:c r="A349" s="8" t="str">
        <x:v>Mixed consideration</x:v>
      </x:c>
      <x:c r="B349" s="8" t="n">
        <x:v>30</x:v>
      </x:c>
      <x:c r="C349" s="14" t="b">
        <x:v>1</x:v>
      </x:c>
      <x:c r="D349" s="8"/>
    </x:row>
    <x:row r="350" ht="36" customHeight="1">
      <x:c r="A350" s="8" t="str">
        <x:v>Mixed consideration</x:v>
      </x:c>
      <x:c r="B350" s="8" t="n">
        <x:v>40</x:v>
      </x:c>
      <x:c r="C350" s="14" t="b">
        <x:v>1</x:v>
      </x:c>
      <x:c r="D350" s="8"/>
    </x:row>
    <x:row r="351" ht="36" customHeight="1">
      <x:c r="A351" s="8" t="str">
        <x:v>Mixed consideration</x:v>
      </x:c>
      <x:c r="B351" s="8" t="n">
        <x:v>50</x:v>
      </x:c>
      <x:c r="C351" s="14" t="b">
        <x:v>1</x:v>
      </x:c>
      <x:c r="D351" s="8"/>
    </x:row>
    <x:row r="352" ht="36" customHeight="1">
      <x:c r="A352" s="8" t="str">
        <x:v>Mixed consideration</x:v>
      </x:c>
      <x:c r="B352" s="8" t="n">
        <x:v>60</x:v>
      </x:c>
      <x:c r="C352" s="14" t="b">
        <x:v>1</x:v>
      </x:c>
      <x:c r="D352" s="8"/>
    </x:row>
    <x:row r="353" ht="36" customHeight="1">
      <x:c r="A353" s="8" t="str">
        <x:v>Mixed consideration</x:v>
      </x:c>
      <x:c r="B353" s="8" t="n">
        <x:v>70</x:v>
      </x:c>
      <x:c r="C353" s="14" t="b">
        <x:v>1</x:v>
      </x:c>
      <x:c r="D353" s="8"/>
    </x:row>
    <x:row r="354" ht="36" customHeight="1">
      <x:c r="A354" s="8" t="str">
        <x:v>Mixed consideration</x:v>
      </x:c>
      <x:c r="B354" s="8" t="n">
        <x:v>80</x:v>
      </x:c>
      <x:c r="C354" s="14" t="b">
        <x:v>1</x:v>
      </x:c>
      <x:c r="D354" s="8"/>
    </x:row>
    <x:row r="355" ht="36" customHeight="1">
      <x:c r="A355" s="8" t="str">
        <x:v>Mixed consideration</x:v>
      </x:c>
      <x:c r="B355" s="8" t="n">
        <x:v>90</x:v>
      </x:c>
      <x:c r="C355" s="14" t="b">
        <x:v>1</x:v>
      </x:c>
      <x:c r="D355" s="8"/>
    </x:row>
    <x:row r="356" ht="36" customHeight="1">
      <x:c r="A356" s="8" t="str">
        <x:v>Mixed consideration</x:v>
      </x:c>
      <x:c r="B356" s="8" t="n">
        <x:v>100</x:v>
      </x:c>
      <x:c r="C356" s="14" t="b">
        <x:v>1</x:v>
      </x:c>
      <x:c r="D356" s="8"/>
    </x:row>
    <x:row r="357" ht="36" customHeight="1">
      <x:c r="A357" s="8" t="str">
        <x:v>Mixed consideration</x:v>
      </x:c>
      <x:c r="B357" s="8" t="n">
        <x:v>110</x:v>
      </x:c>
      <x:c r="C357" s="14" t="b">
        <x:v>1</x:v>
      </x:c>
      <x:c r="D357" s="8"/>
    </x:row>
    <x:row r="358" ht="36" customHeight="1">
      <x:c r="A358" s="8" t="str">
        <x:v>Mixed consideration</x:v>
      </x:c>
      <x:c r="B358" s="8" t="n">
        <x:v>120</x:v>
      </x:c>
      <x:c r="C358" s="14" t="b">
        <x:v>1</x:v>
      </x:c>
      <x:c r="D358" s="8"/>
    </x:row>
    <x:row r="359" ht="36" customHeight="1">
      <x:c r="A359" s="8" t="str">
        <x:v>Mixed consideration</x:v>
      </x:c>
      <x:c r="B359" s="8" t="n">
        <x:v>130</x:v>
      </x:c>
      <x:c r="C359" s="14" t="b">
        <x:v>1</x:v>
      </x:c>
      <x:c r="D359" s="8"/>
    </x:row>
    <x:row r="360" ht="36" customHeight="1">
      <x:c r="A360" s="8" t="str">
        <x:v>Mixed consideration</x:v>
      </x:c>
      <x:c r="B360" s="8" t="n">
        <x:v>140</x:v>
      </x:c>
      <x:c r="C360" s="14" t="b">
        <x:v>1</x:v>
      </x:c>
      <x:c r="D360" s="8"/>
    </x:row>
    <x:row r="361" ht="36" customHeight="1">
      <x:c r="A361" s="8" t="str">
        <x:v>Mixed consideration</x:v>
      </x:c>
      <x:c r="B361" s="8" t="n">
        <x:v>150</x:v>
      </x:c>
      <x:c r="C361" s="14" t="b">
        <x:v>1</x:v>
      </x:c>
      <x:c r="D361" s="8"/>
    </x:row>
  </x:sheetData>
  <x:mergeCells>
    <x:mergeCell ref="A2:D2"/>
    <x:mergeCell ref="A3:D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25" hidden="0" customWidth="1"/>
    <x:col min="4" max="4" width="75" hidden="0" customWidth="1"/>
  </x:cols>
  <x:sheetData>
    <x:row r="2" ht="42" customHeight="1">
      <x:c r="A2" s="5" t="str">
        <x:v>Fictional Atlas / Beacon - illustrative only | Sensitivity</x:v>
      </x:c>
      <x:c r="B2" s="5"/>
      <x:c r="C2" s="5"/>
      <x:c r="D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</x:row>
    <x:row r="4" ht="42" customHeight="1">
      <x:c r="A4" s="7" t="str">
        <x:v>Cash-first case</x:v>
      </x:c>
      <x:c r="B4" s="7" t="str">
        <x:v>Capacity</x:v>
      </x:c>
      <x:c r="C4" s="7" t="str">
        <x:v>Residual equity</x:v>
      </x:c>
      <x:c r="D4" s="7" t="str">
        <x:v>Limiting constraint</x:v>
      </x:c>
    </x:row>
    <x:row r="5" ht="36" customHeight="1">
      <x:c r="A5" s="8" t="str">
        <x:v>Cash floor 500</x:v>
      </x:c>
      <x:c r="B5" s="8" t="n">
        <x:v>920</x:v>
      </x:c>
      <x:c r="C5" s="8" t="n">
        <x:v>0</x:v>
      </x:c>
      <x:c r="D5" s="8"/>
    </x:row>
    <x:row r="6" ht="36" customHeight="1">
      <x:c r="A6" s="8" t="str">
        <x:v>Cash floor 1000</x:v>
      </x:c>
      <x:c r="B6" s="8" t="n">
        <x:v>944</x:v>
      </x:c>
      <x:c r="C6" s="8" t="n">
        <x:v>476</x:v>
      </x:c>
      <x:c r="D6" s="8" t="str">
        <x:v>Cash at year 5, period 5</x:v>
      </x:c>
    </x:row>
    <x:row r="7" ht="36" customHeight="1">
      <x:c r="A7" s="8" t="str">
        <x:v>Leverage 2.5x</x:v>
      </x:c>
      <x:c r="B7" s="8" t="n">
        <x:v>948</x:v>
      </x:c>
      <x:c r="C7" s="8" t="n">
        <x:v>222</x:v>
      </x:c>
      <x:c r="D7" s="8" t="str">
        <x:v>Cash at year 5, period 5</x:v>
      </x:c>
    </x:row>
    <x:row r="8" ht="36" customHeight="1">
      <x:c r="A8" s="8" t="str">
        <x:v>Leverage 3.5x</x:v>
      </x:c>
      <x:c r="B8" s="8" t="n">
        <x:v>948</x:v>
      </x:c>
      <x:c r="C8" s="8" t="n">
        <x:v>222</x:v>
      </x:c>
      <x:c r="D8" s="8" t="str">
        <x:v>Cash at year 5, period 5</x:v>
      </x:c>
    </x:row>
    <x:row r="9" ht="36" customHeight="1">
      <x:c r="A9" s="8" t="str">
        <x:v>Coverage 5x</x:v>
      </x:c>
      <x:c r="B9" s="8" t="n">
        <x:v>948</x:v>
      </x:c>
      <x:c r="C9" s="8" t="n">
        <x:v>222</x:v>
      </x:c>
      <x:c r="D9" s="8" t="str">
        <x:v>Cash at year 5, period 5</x:v>
      </x:c>
    </x:row>
    <x:row r="10" ht="36" customHeight="1">
      <x:c r="A10" s="8" t="str">
        <x:v>Coverage 3x</x:v>
      </x:c>
      <x:c r="B10" s="8" t="n">
        <x:v>948</x:v>
      </x:c>
      <x:c r="C10" s="8" t="n">
        <x:v>222</x:v>
      </x:c>
      <x:c r="D10" s="8" t="str">
        <x:v>Cash at year 5, period 5</x:v>
      </x:c>
    </x:row>
    <x:row r="11" ht="36" customHeight="1">
      <x:c r="A11" s="8" t="str">
        <x:v>New spread +100bp</x:v>
      </x:c>
      <x:c r="B11" s="8" t="n">
        <x:v>928</x:v>
      </x:c>
      <x:c r="C11" s="8" t="n">
        <x:v>242</x:v>
      </x:c>
      <x:c r="D11" s="8" t="str">
        <x:v>Cash at year 5, period 5</x:v>
      </x:c>
    </x:row>
    <x:row r="12" ht="36" customHeight="1">
      <x:c r="A12" s="8" t="str">
        <x:v>New spread +200bp</x:v>
      </x:c>
      <x:c r="B12" s="8" t="n">
        <x:v>910</x:v>
      </x:c>
      <x:c r="C12" s="8" t="n">
        <x:v>260</x:v>
      </x:c>
      <x:c r="D12" s="8" t="str">
        <x:v>Cash at year 5, period 5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5" hidden="0" customWidth="1"/>
    <x:col min="3" max="3" width="28" hidden="0" customWidth="1"/>
    <x:col min="4" max="4" width="18" hidden="0" customWidth="1"/>
    <x:col min="5" max="5" width="75" hidden="0" customWidth="1"/>
  </x:cols>
  <x:sheetData>
    <x:row r="2" ht="42" customHeight="1">
      <x:c r="A2" s="5" t="str">
        <x:v>Fictional Atlas / Beacon - illustrative only | Reverse Stress</x:v>
      </x:c>
      <x:c r="B2" s="5"/>
      <x:c r="C2" s="5"/>
      <x:c r="D2" s="5"/>
      <x:c r="E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</x:row>
    <x:row r="4" ht="42" customHeight="1">
      <x:c r="A4" s="7" t="str">
        <x:v>Structure</x:v>
      </x:c>
      <x:c r="B4" s="7" t="str">
        <x:v>Status</x:v>
      </x:c>
      <x:c r="C4" s="7" t="str">
        <x:v>Revenue decline (fraction)</x:v>
      </x:c>
      <x:c r="D4" s="7" t="str">
        <x:v>Resolution</x:v>
      </x:c>
      <x:c r="E4" s="7" t="str">
        <x:v>Failing constraint/period</x:v>
      </x:c>
    </x:row>
    <x:row r="5" ht="36" customHeight="1">
      <x:c r="A5" s="8" t="str">
        <x:v>Cash-first</x:v>
      </x:c>
      <x:c r="B5" s="8" t="str">
        <x:v>Already failing at starting point</x:v>
      </x:c>
      <x:c r="C5" s="23" t="n">
        <x:v>0</x:v>
      </x:c>
      <x:c r="D5" s="23" t="n">
        <x:v>0.005</x:v>
      </x:c>
      <x:c r="E5" s="8" t="str">
        <x:v>Cash at year 5, period 5</x:v>
      </x:c>
    </x:row>
    <x:row r="6" ht="36" customHeight="1">
      <x:c r="A6" s="8" t="str">
        <x:v>Liquidity-first</x:v>
      </x:c>
      <x:c r="B6" s="8" t="str">
        <x:v>Already failing at starting point</x:v>
      </x:c>
      <x:c r="C6" s="23" t="n">
        <x:v>0</x:v>
      </x:c>
      <x:c r="D6" s="23" t="n">
        <x:v>0.005</x:v>
      </x:c>
      <x:c r="E6" s="8" t="str">
        <x:v>Cash at year 5, period 5</x:v>
      </x:c>
    </x:row>
    <x:row r="7" ht="36" customHeight="1">
      <x:c r="A7" s="8" t="str">
        <x:v>Mixed consideration</x:v>
      </x:c>
      <x:c r="B7" s="8" t="str">
        <x:v>First breach found</x:v>
      </x:c>
      <x:c r="C7" s="23" t="n">
        <x:v>0.085</x:v>
      </x:c>
      <x:c r="D7" s="23" t="n">
        <x:v>0.005</x:v>
      </x:c>
      <x:c r="E7" s="8" t="str">
        <x:v>Cash at year 5, period 5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30" hidden="0" customWidth="1"/>
    <x:col min="4" max="4" width="30" hidden="0" customWidth="1"/>
    <x:col min="5" max="5" width="30" hidden="0" customWidth="1"/>
    <x:col min="6" max="6" width="35" hidden="0" customWidth="1"/>
  </x:cols>
  <x:sheetData>
    <x:row r="2" ht="42" customHeight="1">
      <x:c r="A2" s="5" t="str">
        <x:v>Fictional Atlas / Beacon - illustrative only | Checks</x:v>
      </x:c>
      <x:c r="B2" s="5"/>
      <x:c r="C2" s="5"/>
      <x:c r="D2" s="5"/>
      <x:c r="E2" s="5"/>
      <x:c r="F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</x:row>
    <x:row r="4" ht="42" customHeight="1">
      <x:c r="A4" s="7" t="str">
        <x:v>Structure</x:v>
      </x:c>
      <x:c r="B4" s="7" t="str">
        <x:v>Year</x:v>
      </x:c>
      <x:c r="C4" s="7" t="str">
        <x:v>Sources/uses difference</x:v>
      </x:c>
      <x:c r="D4" s="7" t="str">
        <x:v>Cash rollforward difference</x:v>
      </x:c>
      <x:c r="E4" s="7" t="str">
        <x:v>Debt rollforward difference</x:v>
      </x:c>
      <x:c r="F4" s="7" t="str">
        <x:v>Maximum debt ledger difference</x:v>
      </x:c>
    </x:row>
    <x:row r="5" ht="36" customHeight="1">
      <x:c r="A5" s="8" t="str">
        <x:v>Cash-first</x:v>
      </x:c>
      <x:c r="B5" s="22" t="n">
        <x:v>1</x:v>
      </x:c>
      <x:c r="C5" s="8" t="n">
        <x:v>0</x:v>
      </x:c>
      <x:c r="D5" s="8" t="n">
        <x:v>2.2737367544323206e-13</x:v>
      </x:c>
      <x:c r="E5" s="8" t="n">
        <x:v>0</x:v>
      </x:c>
      <x:c r="F5" s="8" t="n">
        <x:v>2.2737367544323206e-13</x:v>
      </x:c>
    </x:row>
    <x:row r="6" ht="36" customHeight="1">
      <x:c r="A6" s="8" t="str">
        <x:v>Cash-first</x:v>
      </x:c>
      <x:c r="B6" s="22" t="n">
        <x:v>2</x:v>
      </x:c>
      <x:c r="C6" s="8" t="n">
        <x:v>0</x:v>
      </x:c>
      <x:c r="D6" s="8" t="n">
        <x:v>2.2737367544323206e-13</x:v>
      </x:c>
      <x:c r="E6" s="8" t="n">
        <x:v>-2.2737367544323206e-13</x:v>
      </x:c>
      <x:c r="F6" s="8" t="n">
        <x:v>1.1368683772161603e-13</x:v>
      </x:c>
    </x:row>
    <x:row r="7" ht="36" customHeight="1">
      <x:c r="A7" s="8" t="str">
        <x:v>Cash-first</x:v>
      </x:c>
      <x:c r="B7" s="22" t="n">
        <x:v>3</x:v>
      </x:c>
      <x:c r="C7" s="8" t="n">
        <x:v>0</x:v>
      </x:c>
      <x:c r="D7" s="8" t="n">
        <x:v>-4.547473508864641e-13</x:v>
      </x:c>
      <x:c r="E7" s="8" t="n">
        <x:v>0</x:v>
      </x:c>
      <x:c r="F7" s="8" t="n">
        <x:v>1.4210854715202004e-14</x:v>
      </x:c>
    </x:row>
    <x:row r="8" ht="36" customHeight="1">
      <x:c r="A8" s="8" t="str">
        <x:v>Cash-first</x:v>
      </x:c>
      <x:c r="B8" s="22" t="n">
        <x:v>4</x:v>
      </x:c>
      <x:c r="C8" s="8" t="n">
        <x:v>0</x:v>
      </x:c>
      <x:c r="D8" s="8" t="n">
        <x:v>2.2737367544323206e-13</x:v>
      </x:c>
      <x:c r="E8" s="8" t="n">
        <x:v>0</x:v>
      </x:c>
      <x:c r="F8" s="8" t="n">
        <x:v>1.7763568394002505e-14</x:v>
      </x:c>
    </x:row>
    <x:row r="9" ht="36" customHeight="1">
      <x:c r="A9" s="8" t="str">
        <x:v>Cash-first</x:v>
      </x:c>
      <x:c r="B9" s="22" t="n">
        <x:v>5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</x:row>
    <x:row r="10" ht="36" customHeight="1">
      <x:c r="A10" s="8" t="str">
        <x:v>Liquidity-first</x:v>
      </x:c>
      <x:c r="B10" s="22" t="n">
        <x:v>1</x:v>
      </x:c>
      <x:c r="C10" s="8" t="n">
        <x:v>0</x:v>
      </x:c>
      <x:c r="D10" s="8" t="n">
        <x:v>0</x:v>
      </x:c>
      <x:c r="E10" s="8" t="n">
        <x:v>0</x:v>
      </x:c>
      <x:c r="F10" s="8" t="n">
        <x:v>2.2737367544323206e-13</x:v>
      </x:c>
    </x:row>
    <x:row r="11" ht="36" customHeight="1">
      <x:c r="A11" s="8" t="str">
        <x:v>Liquidity-first</x:v>
      </x:c>
      <x:c r="B11" s="22" t="n">
        <x:v>2</x:v>
      </x:c>
      <x:c r="C11" s="8" t="n">
        <x:v>0</x:v>
      </x:c>
      <x:c r="D11" s="8" t="n">
        <x:v>0</x:v>
      </x:c>
      <x:c r="E11" s="8" t="n">
        <x:v>-4.547473508864641e-13</x:v>
      </x:c>
      <x:c r="F11" s="8" t="n">
        <x:v>5.684341886080802e-14</x:v>
      </x:c>
    </x:row>
    <x:row r="12" ht="36" customHeight="1">
      <x:c r="A12" s="8" t="str">
        <x:v>Liquidity-first</x:v>
      </x:c>
      <x:c r="B12" s="22" t="n">
        <x:v>3</x:v>
      </x:c>
      <x:c r="C12" s="8" t="n">
        <x:v>0</x:v>
      </x:c>
      <x:c r="D12" s="8" t="n">
        <x:v>2.2737367544323206e-13</x:v>
      </x:c>
      <x:c r="E12" s="8" t="n">
        <x:v>0</x:v>
      </x:c>
      <x:c r="F12" s="8" t="n">
        <x:v>5.684341886080802e-14</x:v>
      </x:c>
    </x:row>
    <x:row r="13" ht="36" customHeight="1">
      <x:c r="A13" s="8" t="str">
        <x:v>Liquidity-first</x:v>
      </x:c>
      <x:c r="B13" s="22" t="n">
        <x:v>4</x:v>
      </x:c>
      <x:c r="C13" s="8" t="n">
        <x:v>0</x:v>
      </x:c>
      <x:c r="D13" s="8" t="n">
        <x:v>-4.547473508864641e-13</x:v>
      </x:c>
      <x:c r="E13" s="8" t="n">
        <x:v>0</x:v>
      </x:c>
      <x:c r="F13" s="8" t="n">
        <x:v>5.684341886080802e-14</x:v>
      </x:c>
    </x:row>
    <x:row r="14" ht="36" customHeight="1">
      <x:c r="A14" s="8" t="str">
        <x:v>Liquidity-first</x:v>
      </x:c>
      <x:c r="B14" s="22" t="n">
        <x:v>5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</x:row>
    <x:row r="15" ht="36" customHeight="1">
      <x:c r="A15" s="8" t="str">
        <x:v>Mixed consideration</x:v>
      </x:c>
      <x:c r="B15" s="22" t="n">
        <x:v>1</x:v>
      </x:c>
      <x:c r="C15" s="8" t="n">
        <x:v>0</x:v>
      </x:c>
      <x:c r="D15" s="8" t="n">
        <x:v>0</x:v>
      </x:c>
      <x:c r="E15" s="8" t="n">
        <x:v>2.2737367544323206e-13</x:v>
      </x:c>
      <x:c r="F15" s="8" t="n">
        <x:v>0</x:v>
      </x:c>
    </x:row>
    <x:row r="16" ht="36" customHeight="1">
      <x:c r="A16" s="8" t="str">
        <x:v>Mixed consideration</x:v>
      </x:c>
      <x:c r="B16" s="22" t="n">
        <x:v>2</x:v>
      </x:c>
      <x:c r="C16" s="8" t="n">
        <x:v>0</x:v>
      </x:c>
      <x:c r="D16" s="8" t="n">
        <x:v>0</x:v>
      </x:c>
      <x:c r="E16" s="8" t="n">
        <x:v>0</x:v>
      </x:c>
      <x:c r="F16" s="8" t="n">
        <x:v>5.684341886080802e-14</x:v>
      </x:c>
    </x:row>
    <x:row r="17" ht="36" customHeight="1">
      <x:c r="A17" s="8" t="str">
        <x:v>Mixed consideration</x:v>
      </x:c>
      <x:c r="B17" s="22" t="n">
        <x:v>3</x:v>
      </x:c>
      <x:c r="C17" s="8" t="n">
        <x:v>0</x:v>
      </x:c>
      <x:c r="D17" s="8" t="n">
        <x:v>-2.2737367544323206e-13</x:v>
      </x:c>
      <x:c r="E17" s="8" t="n">
        <x:v>0</x:v>
      </x:c>
      <x:c r="F17" s="8" t="n">
        <x:v>0</x:v>
      </x:c>
    </x:row>
    <x:row r="18" ht="36" customHeight="1">
      <x:c r="A18" s="8" t="str">
        <x:v>Mixed consideration</x:v>
      </x:c>
      <x:c r="B18" s="22" t="n">
        <x:v>4</x:v>
      </x:c>
      <x:c r="C18" s="8" t="n">
        <x:v>0</x:v>
      </x:c>
      <x:c r="D18" s="8" t="n">
        <x:v>-2.2737367544323206e-13</x:v>
      </x:c>
      <x:c r="E18" s="8" t="n">
        <x:v>0</x:v>
      </x:c>
      <x:c r="F18" s="8" t="n">
        <x:v>0</x:v>
      </x:c>
    </x:row>
    <x:row r="19" ht="36" customHeight="1">
      <x:c r="A19" s="8" t="str">
        <x:v>Mixed consideration</x:v>
      </x:c>
      <x:c r="B19" s="22" t="n">
        <x:v>5</x:v>
      </x:c>
      <x:c r="C19" s="8" t="n">
        <x:v>0</x:v>
      </x:c>
      <x:c r="D19" s="8" t="n">
        <x:v>2.2737367544323206e-13</x:v>
      </x:c>
      <x:c r="E19" s="8" t="n">
        <x:v>0</x:v>
      </x:c>
      <x:c r="F19" s="8" t="n">
        <x:v>0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4" hidden="0" customWidth="1"/>
    <x:col min="2" max="2" width="35" hidden="0" customWidth="1"/>
    <x:col min="3" max="3" width="30" hidden="0" customWidth="1"/>
    <x:col min="4" max="4" width="22" hidden="0" customWidth="1"/>
    <x:col min="5" max="5" width="60" hidden="0" customWidth="1"/>
    <x:col min="6" max="6" width="60" hidden="0" customWidth="1"/>
    <x:col min="7" max="7" width="70" hidden="0" customWidth="1"/>
    <x:col min="8" max="8" width="70" hidden="0" customWidth="1"/>
  </x:cols>
  <x:sheetData>
    <x:row r="2" ht="42" customHeight="1">
      <x:c r="A2" s="5" t="str">
        <x:v>Fictional Atlas / Beacon - illustrative only | Evidence</x:v>
      </x:c>
      <x:c r="B2" s="5"/>
      <x:c r="C2" s="5"/>
      <x:c r="D2" s="5"/>
      <x:c r="E2" s="5"/>
      <x:c r="F2" s="5"/>
      <x:c r="G2" s="5"/>
      <x:c r="H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</x:row>
    <x:row r="4" ht="42" customHeight="1">
      <x:c r="A4" s="7" t="str">
        <x:v>Input</x:v>
      </x:c>
      <x:c r="B4" s="7" t="str">
        <x:v>Value</x:v>
      </x:c>
      <x:c r="C4" s="7" t="str">
        <x:v>Classification</x:v>
      </x:c>
      <x:c r="D4" s="7" t="str">
        <x:v>Blocks recommendation</x:v>
      </x:c>
      <x:c r="E4" s="7" t="str">
        <x:v>Reason</x:v>
      </x:c>
      <x:c r="F4" s="7" t="str">
        <x:v>Affected calculations</x:v>
      </x:c>
      <x:c r="G4" s="7" t="str">
        <x:v>Materiality</x:v>
      </x:c>
      <x:c r="H4" s="7" t="str">
        <x:v>Resolution</x:v>
      </x:c>
    </x:row>
    <x:row r="5" ht="90" customHeight="1">
      <x:c r="A5" s="4" t="str">
        <x:v>acquirer.FY2022.capex</x:v>
      </x:c>
      <x:c r="B5" s="4" t="n">
        <x:v>364.075</x:v>
      </x:c>
      <x:c r="C5" s="4" t="str">
        <x:v>verified fact</x:v>
      </x:c>
      <x:c r="D5" s="13" t="b">
        <x:v>0</x:v>
      </x:c>
      <x:c r="E5" s="4" t="str">
        <x:v>Exact observation supported by reviewed source: dks10k</x:v>
      </x:c>
      <x:c r="F5" s="4" t="str">
        <x:v>Operating forecast, EBITDA, working capital and debt-service cash flow</x:v>
      </x:c>
      <x:c r="G5" s="4" t="str">
        <x:v>Prior-year trend/reconciliation context. Blocks only when historical trend calibration is used; explicit forecast growth does not consume it.</x:v>
      </x:c>
      <x:c r="H5" s="4" t="str">
        <x:v>Review original pre-cutoff fiscal accounts; record exact fiscal dates, units and reconciliation.</x:v>
      </x:c>
    </x:row>
    <x:row r="6" ht="90" customHeight="1">
      <x:c r="A6" s="4" t="str">
        <x:v>acquirer.FY2022.depreciation_amortisation</x:v>
      </x:c>
      <x:c r="B6" s="4" t="n">
        <x:v>365.475</x:v>
      </x:c>
      <x:c r="C6" s="4" t="str">
        <x:v>verified fact</x:v>
      </x:c>
      <x:c r="D6" s="13" t="b">
        <x:v>0</x:v>
      </x:c>
      <x:c r="E6" s="4" t="str">
        <x:v>Exact observation supported by reviewed source: dks10k</x:v>
      </x:c>
      <x:c r="F6" s="4" t="str">
        <x:v>Operating forecast, EBITDA, working capital and debt-service cash flow</x:v>
      </x:c>
      <x:c r="G6" s="4" t="str">
        <x:v>Prior-year trend/reconciliation context. Blocks only when historical trend calibration is used; explicit forecast growth does not consume it.</x:v>
      </x:c>
      <x:c r="H6" s="4" t="str">
        <x:v>Review original pre-cutoff fiscal accounts; record exact fiscal dates, units and reconciliation.</x:v>
      </x:c>
    </x:row>
    <x:row r="7" ht="90" customHeight="1">
      <x:c r="A7" s="4" t="str">
        <x:v>acquirer.FY2022.dividends_buybacks_commitments</x:v>
      </x:c>
      <x:c r="B7" s="4"/>
      <x:c r="C7" s="4" t="str">
        <x:v>missing evidence</x:v>
      </x:c>
      <x:c r="D7" s="13" t="b">
        <x:v>0</x:v>
      </x:c>
      <x:c r="E7" s="4" t="str">
        <x:v>Required observation absent</x:v>
      </x:c>
      <x:c r="F7" s="4" t="str">
        <x:v>Operating forecast, EBITDA, working capital and debt-service cash flow</x:v>
      </x:c>
      <x:c r="G7" s="4" t="str">
        <x:v>Prior-year trend/reconciliation context. Blocks only when historical trend calibration is used; explicit forecast growth does not consume it.</x:v>
      </x:c>
      <x:c r="H7" s="4" t="str">
        <x:v>Review original pre-cutoff fiscal accounts; record exact fiscal dates, units and reconciliation.</x:v>
      </x:c>
    </x:row>
    <x:row r="8" ht="90" customHeight="1">
      <x:c r="A8" s="4" t="str">
        <x:v>acquirer.FY2022.ebitda_reconciliation</x:v>
      </x:c>
      <x:c r="B8" s="4"/>
      <x:c r="C8" s="4" t="str">
        <x:v>missing evidence</x:v>
      </x:c>
      <x:c r="D8" s="13" t="b">
        <x:v>0</x:v>
      </x:c>
      <x:c r="E8" s="4" t="str">
        <x:v>Required observation absent</x:v>
      </x:c>
      <x:c r="F8" s="4" t="str">
        <x:v>Operating forecast, EBITDA, working capital and debt-service cash flow</x:v>
      </x:c>
      <x:c r="G8" s="4" t="str">
        <x:v>Prior-year trend/reconciliation context. Blocks only when historical trend calibration is used; explicit forecast growth does not consume it.</x:v>
      </x:c>
      <x:c r="H8" s="4" t="str">
        <x:v>Review original pre-cutoff fiscal accounts; record exact fiscal dates, units and reconciliation.</x:v>
      </x:c>
    </x:row>
    <x:row r="9" ht="90" customHeight="1">
      <x:c r="A9" s="4" t="str">
        <x:v>acquirer.FY2022.inventory</x:v>
      </x:c>
      <x:c r="B9" s="4"/>
      <x:c r="C9" s="4" t="str">
        <x:v>missing evidence</x:v>
      </x:c>
      <x:c r="D9" s="13" t="b">
        <x:v>0</x:v>
      </x:c>
      <x:c r="E9" s="4" t="str">
        <x:v>Required observation absent</x:v>
      </x:c>
      <x:c r="F9" s="4" t="str">
        <x:v>Operating forecast, EBITDA, working capital and debt-service cash flow</x:v>
      </x:c>
      <x:c r="G9" s="4" t="str">
        <x:v>Prior-year trend/reconciliation context. Blocks only when historical trend calibration is used; explicit forecast growth does not consume it.</x:v>
      </x:c>
      <x:c r="H9" s="4" t="str">
        <x:v>Review original pre-cutoff fiscal accounts; record exact fiscal dates, units and reconciliation.</x:v>
      </x:c>
    </x:row>
    <x:row r="10" ht="90" customHeight="1">
      <x:c r="A10" s="4" t="str">
        <x:v>acquirer.FY2022.lease_reconciliation</x:v>
      </x:c>
      <x:c r="B10" s="4"/>
      <x:c r="C10" s="4" t="str">
        <x:v>missing evidence</x:v>
      </x:c>
      <x:c r="D10" s="13" t="b">
        <x:v>0</x:v>
      </x:c>
      <x:c r="E10" s="4" t="str">
        <x:v>Required observation absent</x:v>
      </x:c>
      <x:c r="F10" s="4" t="str">
        <x:v>Operating forecast, EBITDA, working capital and debt-service cash flow</x:v>
      </x:c>
      <x:c r="G10" s="4" t="str">
        <x:v>Prior-year trend/reconciliation context. Blocks only when historical trend calibration is used; explicit forecast growth does not consume it.</x:v>
      </x:c>
      <x:c r="H10" s="4" t="str">
        <x:v>Review original pre-cutoff fiscal accounts; record exact fiscal dates, units and reconciliation.</x:v>
      </x:c>
    </x:row>
    <x:row r="11" ht="90" customHeight="1">
      <x:c r="A11" s="4" t="str">
        <x:v>acquirer.FY2022.operating_cash_flow</x:v>
      </x:c>
      <x:c r="B11" s="4" t="n">
        <x:v>921.881</x:v>
      </x:c>
      <x:c r="C11" s="4" t="str">
        <x:v>verified fact</x:v>
      </x:c>
      <x:c r="D11" s="13" t="b">
        <x:v>0</x:v>
      </x:c>
      <x:c r="E11" s="4" t="str">
        <x:v>Exact observation supported by reviewed source: dks10k</x:v>
      </x:c>
      <x:c r="F11" s="4" t="str">
        <x:v>Operating forecast, EBITDA, working capital and debt-service cash flow</x:v>
      </x:c>
      <x:c r="G11" s="4" t="str">
        <x:v>Prior-year trend/reconciliation context. Blocks only when historical trend calibration is used; explicit forecast growth does not consume it.</x:v>
      </x:c>
      <x:c r="H11" s="4" t="str">
        <x:v>Review original pre-cutoff fiscal accounts; record exact fiscal dates, units and reconciliation.</x:v>
      </x:c>
    </x:row>
    <x:row r="12" ht="90" customHeight="1">
      <x:c r="A12" s="4" t="str">
        <x:v>acquirer.FY2022.operating_profit</x:v>
      </x:c>
      <x:c r="B12" s="4" t="n">
        <x:v>1463.019</x:v>
      </x:c>
      <x:c r="C12" s="4" t="str">
        <x:v>verified fact</x:v>
      </x:c>
      <x:c r="D12" s="13" t="b">
        <x:v>0</x:v>
      </x:c>
      <x:c r="E12" s="4" t="str">
        <x:v>Exact observation supported by reviewed source: dks10k</x:v>
      </x:c>
      <x:c r="F12" s="4" t="str">
        <x:v>Operating forecast, EBITDA, working capital and debt-service cash flow</x:v>
      </x:c>
      <x:c r="G12" s="4" t="str">
        <x:v>Prior-year trend/reconciliation context. Blocks only when historical trend calibration is used; explicit forecast growth does not consume it.</x:v>
      </x:c>
      <x:c r="H12" s="4" t="str">
        <x:v>Review original pre-cutoff fiscal accounts; record exact fiscal dates, units and reconciliation.</x:v>
      </x:c>
    </x:row>
    <x:row r="13" ht="90" customHeight="1">
      <x:c r="A13" s="4" t="str">
        <x:v>acquirer.FY2022.payables</x:v>
      </x:c>
      <x:c r="B13" s="4"/>
      <x:c r="C13" s="4" t="str">
        <x:v>missing evidence</x:v>
      </x:c>
      <x:c r="D13" s="13" t="b">
        <x:v>0</x:v>
      </x:c>
      <x:c r="E13" s="4" t="str">
        <x:v>Required observation absent</x:v>
      </x:c>
      <x:c r="F13" s="4" t="str">
        <x:v>Operating forecast, EBITDA, working capital and debt-service cash flow</x:v>
      </x:c>
      <x:c r="G13" s="4" t="str">
        <x:v>Prior-year trend/reconciliation context. Blocks only when historical trend calibration is used; explicit forecast growth does not consume it.</x:v>
      </x:c>
      <x:c r="H13" s="4" t="str">
        <x:v>Review original pre-cutoff fiscal accounts; record exact fiscal dates, units and reconciliation.</x:v>
      </x:c>
    </x:row>
    <x:row r="14" ht="90" customHeight="1">
      <x:c r="A14" s="4" t="str">
        <x:v>acquirer.FY2022.receivables</x:v>
      </x:c>
      <x:c r="B14" s="4"/>
      <x:c r="C14" s="4" t="str">
        <x:v>missing evidence</x:v>
      </x:c>
      <x:c r="D14" s="13" t="b">
        <x:v>0</x:v>
      </x:c>
      <x:c r="E14" s="4" t="str">
        <x:v>Required observation absent</x:v>
      </x:c>
      <x:c r="F14" s="4" t="str">
        <x:v>Operating forecast, EBITDA, working capital and debt-service cash flow</x:v>
      </x:c>
      <x:c r="G14" s="4" t="str">
        <x:v>Prior-year trend/reconciliation context. Blocks only when historical trend calibration is used; explicit forecast growth does not consume it.</x:v>
      </x:c>
      <x:c r="H14" s="4" t="str">
        <x:v>Review original pre-cutoff fiscal accounts; record exact fiscal dates, units and reconciliation.</x:v>
      </x:c>
    </x:row>
    <x:row r="15" ht="90" customHeight="1">
      <x:c r="A15" s="4" t="str">
        <x:v>acquirer.FY2022.revenue</x:v>
      </x:c>
      <x:c r="B15" s="4" t="n">
        <x:v>12368.198</x:v>
      </x:c>
      <x:c r="C15" s="4" t="str">
        <x:v>verified fact</x:v>
      </x:c>
      <x:c r="D15" s="13" t="b">
        <x:v>0</x:v>
      </x:c>
      <x:c r="E15" s="4" t="str">
        <x:v>Exact observation supported by reviewed source: dks10k</x:v>
      </x:c>
      <x:c r="F15" s="4" t="str">
        <x:v>Operating forecast, EBITDA, working capital and debt-service cash flow</x:v>
      </x:c>
      <x:c r="G15" s="4" t="str">
        <x:v>Prior-year trend/reconciliation context. Blocks only when historical trend calibration is used; explicit forecast growth does not consume it.</x:v>
      </x:c>
      <x:c r="H15" s="4" t="str">
        <x:v>Review original pre-cutoff fiscal accounts; record exact fiscal dates, units and reconciliation.</x:v>
      </x:c>
    </x:row>
    <x:row r="16" ht="90" customHeight="1">
      <x:c r="A16" s="4" t="str">
        <x:v>acquirer.FY2022.taxes</x:v>
      </x:c>
      <x:c r="B16" s="4" t="n">
        <x:v>306.612</x:v>
      </x:c>
      <x:c r="C16" s="4" t="str">
        <x:v>verified fact</x:v>
      </x:c>
      <x:c r="D16" s="13" t="b">
        <x:v>0</x:v>
      </x:c>
      <x:c r="E16" s="4" t="str">
        <x:v>Exact observation supported by reviewed source: dks10k</x:v>
      </x:c>
      <x:c r="F16" s="4" t="str">
        <x:v>Operating forecast, EBITDA, working capital and debt-service cash flow</x:v>
      </x:c>
      <x:c r="G16" s="4" t="str">
        <x:v>Prior-year trend/reconciliation context. Blocks only when historical trend calibration is used; explicit forecast growth does not consume it.</x:v>
      </x:c>
      <x:c r="H16" s="4" t="str">
        <x:v>Review original pre-cutoff fiscal accounts; record exact fiscal dates, units and reconciliation.</x:v>
      </x:c>
    </x:row>
    <x:row r="17" ht="90" customHeight="1">
      <x:c r="A17" s="4" t="str">
        <x:v>acquirer.FY2023.capex</x:v>
      </x:c>
      <x:c r="B17" s="4" t="n">
        <x:v>587.426</x:v>
      </x:c>
      <x:c r="C17" s="4" t="str">
        <x:v>verified fact</x:v>
      </x:c>
      <x:c r="D17" s="13" t="b">
        <x:v>0</x:v>
      </x:c>
      <x:c r="E17" s="4" t="str">
        <x:v>Exact observation supported by reviewed source: dks10k</x:v>
      </x:c>
      <x:c r="F17" s="4" t="str">
        <x:v>Operating forecast, EBITDA, working capital and debt-service cash flow</x:v>
      </x:c>
      <x:c r="G17" s="4" t="str">
        <x:v>Prior-year trend/reconciliation context. Blocks only when historical trend calibration is used; explicit forecast growth does not consume it.</x:v>
      </x:c>
      <x:c r="H17" s="4" t="str">
        <x:v>Review original pre-cutoff fiscal accounts; record exact fiscal dates, units and reconciliation.</x:v>
      </x:c>
    </x:row>
    <x:row r="18" ht="90" customHeight="1">
      <x:c r="A18" s="4" t="str">
        <x:v>acquirer.FY2023.depreciation_amortisation</x:v>
      </x:c>
      <x:c r="B18" s="4" t="n">
        <x:v>393.933</x:v>
      </x:c>
      <x:c r="C18" s="4" t="str">
        <x:v>verified fact</x:v>
      </x:c>
      <x:c r="D18" s="13" t="b">
        <x:v>0</x:v>
      </x:c>
      <x:c r="E18" s="4" t="str">
        <x:v>Exact observation supported by reviewed source: dks10k</x:v>
      </x:c>
      <x:c r="F18" s="4" t="str">
        <x:v>Operating forecast, EBITDA, working capital and debt-service cash flow</x:v>
      </x:c>
      <x:c r="G18" s="4" t="str">
        <x:v>Prior-year trend/reconciliation context. Blocks only when historical trend calibration is used; explicit forecast growth does not consume it.</x:v>
      </x:c>
      <x:c r="H18" s="4" t="str">
        <x:v>Review original pre-cutoff fiscal accounts; record exact fiscal dates, units and reconciliation.</x:v>
      </x:c>
    </x:row>
    <x:row r="19" ht="90" customHeight="1">
      <x:c r="A19" s="4" t="str">
        <x:v>acquirer.FY2023.dividends_buybacks_commitments</x:v>
      </x:c>
      <x:c r="B19" s="4"/>
      <x:c r="C19" s="4" t="str">
        <x:v>missing evidence</x:v>
      </x:c>
      <x:c r="D19" s="13" t="b">
        <x:v>0</x:v>
      </x:c>
      <x:c r="E19" s="4" t="str">
        <x:v>Required observation absent</x:v>
      </x:c>
      <x:c r="F19" s="4" t="str">
        <x:v>Operating forecast, EBITDA, working capital and debt-service cash flow</x:v>
      </x:c>
      <x:c r="G19" s="4" t="str">
        <x:v>Prior-year trend/reconciliation context. Blocks only when historical trend calibration is used; explicit forecast growth does not consume it.</x:v>
      </x:c>
      <x:c r="H19" s="4" t="str">
        <x:v>Review original pre-cutoff fiscal accounts; record exact fiscal dates, units and reconciliation.</x:v>
      </x:c>
    </x:row>
    <x:row r="20" ht="90" customHeight="1">
      <x:c r="A20" s="4" t="str">
        <x:v>acquirer.FY2023.ebitda_reconciliation</x:v>
      </x:c>
      <x:c r="B20" s="4"/>
      <x:c r="C20" s="4" t="str">
        <x:v>missing evidence</x:v>
      </x:c>
      <x:c r="D20" s="13" t="b">
        <x:v>0</x:v>
      </x:c>
      <x:c r="E20" s="4" t="str">
        <x:v>Required observation absent</x:v>
      </x:c>
      <x:c r="F20" s="4" t="str">
        <x:v>Operating forecast, EBITDA, working capital and debt-service cash flow</x:v>
      </x:c>
      <x:c r="G20" s="4" t="str">
        <x:v>Prior-year trend/reconciliation context. Blocks only when historical trend calibration is used; explicit forecast growth does not consume it.</x:v>
      </x:c>
      <x:c r="H20" s="4" t="str">
        <x:v>Review original pre-cutoff fiscal accounts; record exact fiscal dates, units and reconciliation.</x:v>
      </x:c>
    </x:row>
    <x:row r="21" ht="90" customHeight="1">
      <x:c r="A21" s="4" t="str">
        <x:v>acquirer.FY2023.inventory</x:v>
      </x:c>
      <x:c r="B21" s="4" t="n">
        <x:v>2848.797</x:v>
      </x:c>
      <x:c r="C21" s="4" t="str">
        <x:v>verified fact</x:v>
      </x:c>
      <x:c r="D21" s="13" t="b">
        <x:v>0</x:v>
      </x:c>
      <x:c r="E21" s="4" t="str">
        <x:v>Exact observation supported by reviewed source: dks10k</x:v>
      </x:c>
      <x:c r="F21" s="4" t="str">
        <x:v>Operating forecast, EBITDA, working capital and debt-service cash flow</x:v>
      </x:c>
      <x:c r="G21" s="4" t="str">
        <x:v>Prior-year trend/reconciliation context. Blocks only when historical trend calibration is used; explicit forecast growth does not consume it.</x:v>
      </x:c>
      <x:c r="H21" s="4" t="str">
        <x:v>Review original pre-cutoff fiscal accounts; record exact fiscal dates, units and reconciliation.</x:v>
      </x:c>
    </x:row>
    <x:row r="22" ht="90" customHeight="1">
      <x:c r="A22" s="4" t="str">
        <x:v>acquirer.FY2023.lease_reconciliation</x:v>
      </x:c>
      <x:c r="B22" s="4"/>
      <x:c r="C22" s="4" t="str">
        <x:v>missing evidence</x:v>
      </x:c>
      <x:c r="D22" s="13" t="b">
        <x:v>0</x:v>
      </x:c>
      <x:c r="E22" s="4" t="str">
        <x:v>Required observation absent</x:v>
      </x:c>
      <x:c r="F22" s="4" t="str">
        <x:v>Operating forecast, EBITDA, working capital and debt-service cash flow</x:v>
      </x:c>
      <x:c r="G22" s="4" t="str">
        <x:v>Prior-year trend/reconciliation context. Blocks only when historical trend calibration is used; explicit forecast growth does not consume it.</x:v>
      </x:c>
      <x:c r="H22" s="4" t="str">
        <x:v>Review original pre-cutoff fiscal accounts; record exact fiscal dates, units and reconciliation.</x:v>
      </x:c>
    </x:row>
    <x:row r="23" ht="90" customHeight="1">
      <x:c r="A23" s="4" t="str">
        <x:v>acquirer.FY2023.operating_cash_flow</x:v>
      </x:c>
      <x:c r="B23" s="4" t="n">
        <x:v>1527.335</x:v>
      </x:c>
      <x:c r="C23" s="4" t="str">
        <x:v>verified fact</x:v>
      </x:c>
      <x:c r="D23" s="13" t="b">
        <x:v>0</x:v>
      </x:c>
      <x:c r="E23" s="4" t="str">
        <x:v>Exact observation supported by reviewed source: dks10k</x:v>
      </x:c>
      <x:c r="F23" s="4" t="str">
        <x:v>Operating forecast, EBITDA, working capital and debt-service cash flow</x:v>
      </x:c>
      <x:c r="G23" s="4" t="str">
        <x:v>Prior-year trend/reconciliation context. Blocks only when historical trend calibration is used; explicit forecast growth does not consume it.</x:v>
      </x:c>
      <x:c r="H23" s="4" t="str">
        <x:v>Review original pre-cutoff fiscal accounts; record exact fiscal dates, units and reconciliation.</x:v>
      </x:c>
    </x:row>
    <x:row r="24" ht="90" customHeight="1">
      <x:c r="A24" s="4" t="str">
        <x:v>acquirer.FY2023.operating_profit</x:v>
      </x:c>
      <x:c r="B24" s="4" t="n">
        <x:v>1282.365</x:v>
      </x:c>
      <x:c r="C24" s="4" t="str">
        <x:v>verified fact</x:v>
      </x:c>
      <x:c r="D24" s="13" t="b">
        <x:v>0</x:v>
      </x:c>
      <x:c r="E24" s="4" t="str">
        <x:v>Exact observation supported by reviewed source: dks10k</x:v>
      </x:c>
      <x:c r="F24" s="4" t="str">
        <x:v>Operating forecast, EBITDA, working capital and debt-service cash flow</x:v>
      </x:c>
      <x:c r="G24" s="4" t="str">
        <x:v>Prior-year trend/reconciliation context. Blocks only when historical trend calibration is used; explicit forecast growth does not consume it.</x:v>
      </x:c>
      <x:c r="H24" s="4" t="str">
        <x:v>Review original pre-cutoff fiscal accounts; record exact fiscal dates, units and reconciliation.</x:v>
      </x:c>
    </x:row>
    <x:row r="25" ht="90" customHeight="1">
      <x:c r="A25" s="4" t="str">
        <x:v>acquirer.FY2023.payables</x:v>
      </x:c>
      <x:c r="B25" s="4" t="n">
        <x:v>1288.728</x:v>
      </x:c>
      <x:c r="C25" s="4" t="str">
        <x:v>verified fact</x:v>
      </x:c>
      <x:c r="D25" s="13" t="b">
        <x:v>0</x:v>
      </x:c>
      <x:c r="E25" s="4" t="str">
        <x:v>Exact observation supported by reviewed source: dks10k</x:v>
      </x:c>
      <x:c r="F25" s="4" t="str">
        <x:v>Operating forecast, EBITDA, working capital and debt-service cash flow</x:v>
      </x:c>
      <x:c r="G25" s="4" t="str">
        <x:v>Prior-year trend/reconciliation context. Blocks only when historical trend calibration is used; explicit forecast growth does not consume it.</x:v>
      </x:c>
      <x:c r="H25" s="4" t="str">
        <x:v>Review original pre-cutoff fiscal accounts; record exact fiscal dates, units and reconciliation.</x:v>
      </x:c>
    </x:row>
    <x:row r="26" ht="90" customHeight="1">
      <x:c r="A26" s="4" t="str">
        <x:v>acquirer.FY2023.receivables</x:v>
      </x:c>
      <x:c r="B26" s="4" t="n">
        <x:v>114.877</x:v>
      </x:c>
      <x:c r="C26" s="4" t="str">
        <x:v>verified fact</x:v>
      </x:c>
      <x:c r="D26" s="13" t="b">
        <x:v>0</x:v>
      </x:c>
      <x:c r="E26" s="4" t="str">
        <x:v>Exact observation supported by reviewed source: dks10k</x:v>
      </x:c>
      <x:c r="F26" s="4" t="str">
        <x:v>Operating forecast, EBITDA, working capital and debt-service cash flow</x:v>
      </x:c>
      <x:c r="G26" s="4" t="str">
        <x:v>Prior-year trend/reconciliation context. Blocks only when historical trend calibration is used; explicit forecast growth does not consume it.</x:v>
      </x:c>
      <x:c r="H26" s="4" t="str">
        <x:v>Review original pre-cutoff fiscal accounts; record exact fiscal dates, units and reconciliation.</x:v>
      </x:c>
    </x:row>
    <x:row r="27" ht="90" customHeight="1">
      <x:c r="A27" s="4" t="str">
        <x:v>acquirer.FY2023.revenue</x:v>
      </x:c>
      <x:c r="B27" s="4" t="n">
        <x:v>12984.399</x:v>
      </x:c>
      <x:c r="C27" s="4" t="str">
        <x:v>verified fact</x:v>
      </x:c>
      <x:c r="D27" s="13" t="b">
        <x:v>0</x:v>
      </x:c>
      <x:c r="E27" s="4" t="str">
        <x:v>Exact observation supported by reviewed source: dks10k</x:v>
      </x:c>
      <x:c r="F27" s="4" t="str">
        <x:v>Operating forecast, EBITDA, working capital and debt-service cash flow</x:v>
      </x:c>
      <x:c r="G27" s="4" t="str">
        <x:v>Prior-year trend/reconciliation context. Blocks only when historical trend calibration is used; explicit forecast growth does not consume it.</x:v>
      </x:c>
      <x:c r="H27" s="4" t="str">
        <x:v>Review original pre-cutoff fiscal accounts; record exact fiscal dates, units and reconciliation.</x:v>
      </x:c>
    </x:row>
    <x:row r="28" ht="90" customHeight="1">
      <x:c r="A28" s="4" t="str">
        <x:v>acquirer.FY2023.taxes</x:v>
      </x:c>
      <x:c r="B28" s="4" t="n">
        <x:v>243.244</x:v>
      </x:c>
      <x:c r="C28" s="4" t="str">
        <x:v>verified fact</x:v>
      </x:c>
      <x:c r="D28" s="13" t="b">
        <x:v>0</x:v>
      </x:c>
      <x:c r="E28" s="4" t="str">
        <x:v>Exact observation supported by reviewed source: dks10k</x:v>
      </x:c>
      <x:c r="F28" s="4" t="str">
        <x:v>Operating forecast, EBITDA, working capital and debt-service cash flow</x:v>
      </x:c>
      <x:c r="G28" s="4" t="str">
        <x:v>Prior-year trend/reconciliation context. Blocks only when historical trend calibration is used; explicit forecast growth does not consume it.</x:v>
      </x:c>
      <x:c r="H28" s="4" t="str">
        <x:v>Review original pre-cutoff fiscal accounts; record exact fiscal dates, units and reconciliation.</x:v>
      </x:c>
    </x:row>
    <x:row r="29" ht="90" customHeight="1">
      <x:c r="A29" s="4" t="str">
        <x:v>acquirer.FY2024.capex</x:v>
      </x:c>
      <x:c r="B29" s="4" t="n">
        <x:v>802.565</x:v>
      </x:c>
      <x:c r="C29" s="4" t="str">
        <x:v>verified fact</x:v>
      </x:c>
      <x:c r="D29" s="13" t="b">
        <x:v>1</x:v>
      </x:c>
      <x:c r="E29" s="4" t="str">
        <x:v>Exact observation supported by reviewed source: dks10k</x:v>
      </x:c>
      <x:c r="F29" s="4" t="str">
        <x:v>Operating forecast, EBITDA, working capital and debt-service cash flow</x:v>
      </x:c>
      <x:c r="G29" s="4" t="str">
        <x:v>Latest standalone operating base drives forecast EBITDA, cash taxes, working capital and cash available for debt service.</x:v>
      </x:c>
      <x:c r="H29" s="4" t="str">
        <x:v>Review original pre-cutoff fiscal accounts; record exact fiscal dates, units and reconciliation.</x:v>
      </x:c>
    </x:row>
    <x:row r="30" ht="90" customHeight="1">
      <x:c r="A30" s="4" t="str">
        <x:v>acquirer.FY2024.depreciation_amortisation</x:v>
      </x:c>
      <x:c r="B30" s="4" t="n">
        <x:v>400.409</x:v>
      </x:c>
      <x:c r="C30" s="4" t="str">
        <x:v>verified fact</x:v>
      </x:c>
      <x:c r="D30" s="13" t="b">
        <x:v>1</x:v>
      </x:c>
      <x:c r="E30" s="4" t="str">
        <x:v>Exact observation supported by reviewed source: dks10k</x:v>
      </x:c>
      <x:c r="F30" s="4" t="str">
        <x:v>Operating forecast, EBITDA, working capital and debt-service cash flow</x:v>
      </x:c>
      <x:c r="G30" s="4" t="str">
        <x:v>Latest standalone operating base drives forecast EBITDA, cash taxes, working capital and cash available for debt service.</x:v>
      </x:c>
      <x:c r="H30" s="4" t="str">
        <x:v>Review original pre-cutoff fiscal accounts; record exact fiscal dates, units and reconciliation.</x:v>
      </x:c>
    </x:row>
    <x:row r="31" ht="90" customHeight="1">
      <x:c r="A31" s="4" t="str">
        <x:v>acquirer.FY2024.dividends_buybacks_commitments</x:v>
      </x:c>
      <x:c r="B31" s="4"/>
      <x:c r="C31" s="4" t="str">
        <x:v>missing evidence</x:v>
      </x:c>
      <x:c r="D31" s="13" t="b">
        <x:v>1</x:v>
      </x:c>
      <x:c r="E31" s="4" t="str">
        <x:v>Required observation absent</x:v>
      </x:c>
      <x:c r="F31" s="4" t="str">
        <x:v>Operating forecast, EBITDA, working capital and debt-service cash flow</x:v>
      </x:c>
      <x:c r="G31" s="4" t="str">
        <x:v>Contractual capital commitments can compete with debt service; discretionary future distributions are separate explicit assumptions.</x:v>
      </x:c>
      <x:c r="H31" s="4" t="str">
        <x:v>Review original pre-cutoff fiscal accounts; record exact fiscal dates, units and reconciliation.</x:v>
      </x:c>
    </x:row>
    <x:row r="32" ht="90" customHeight="1">
      <x:c r="A32" s="4" t="str">
        <x:v>acquirer.FY2024.ebitda_reconciliation</x:v>
      </x:c>
      <x:c r="B32" s="4" t="n">
        <x:v>1874.341</x:v>
      </x:c>
      <x:c r="C32" s="4" t="str">
        <x:v>verified fact</x:v>
      </x:c>
      <x:c r="D32" s="13" t="b">
        <x:v>1</x:v>
      </x:c>
      <x:c r="E32" s="4" t="str">
        <x:v>Derived from verified inputs: acquirer.FY2024.operating_profit + acquirer.FY2024.depreciation_amortisation. Simple operating EBITDA; not adjusted EBITDA or contractual EBITDAR.</x:v>
      </x:c>
      <x:c r="F32" s="4" t="str">
        <x:v>Operating forecast, EBITDA, working capital and debt-service cash flow</x:v>
      </x:c>
      <x:c r="G32" s="4" t="str">
        <x:v>Latest standalone operating base drives forecast EBITDA, cash taxes, working capital and cash available for debt service.</x:v>
      </x:c>
      <x:c r="H32" s="4" t="str">
        <x:v>Review original pre-cutoff fiscal accounts; record exact fiscal dates, units and reconciliation.</x:v>
      </x:c>
    </x:row>
    <x:row r="33" ht="90" customHeight="1">
      <x:c r="A33" s="4" t="str">
        <x:v>acquirer.FY2024.inventory</x:v>
      </x:c>
      <x:c r="B33" s="4" t="n">
        <x:v>3349.83</x:v>
      </x:c>
      <x:c r="C33" s="4" t="str">
        <x:v>verified fact</x:v>
      </x:c>
      <x:c r="D33" s="13" t="b">
        <x:v>1</x:v>
      </x:c>
      <x:c r="E33" s="4" t="str">
        <x:v>Exact observation supported by reviewed source: dks10k</x:v>
      </x:c>
      <x:c r="F33" s="4" t="str">
        <x:v>Operating forecast, EBITDA, working capital and debt-service cash flow</x:v>
      </x:c>
      <x:c r="G33" s="4" t="str">
        <x:v>Latest standalone operating base drives forecast EBITDA, cash taxes, working capital and cash available for debt service.</x:v>
      </x:c>
      <x:c r="H33" s="4" t="str">
        <x:v>Review original pre-cutoff fiscal accounts; record exact fiscal dates, units and reconciliation.</x:v>
      </x:c>
    </x:row>
    <x:row r="34" ht="90" customHeight="1">
      <x:c r="A34" s="4" t="str">
        <x:v>acquirer.FY2024.lease_reconciliation</x:v>
      </x:c>
      <x:c r="B34" s="4"/>
      <x:c r="C34" s="4" t="str">
        <x:v>missing evidence</x:v>
      </x:c>
      <x:c r="D34" s="13" t="b">
        <x:v>1</x:v>
      </x:c>
      <x:c r="E34" s="4" t="str">
        <x:v>Required observation absent</x:v>
      </x:c>
      <x:c r="F34" s="4" t="str">
        <x:v>Operating forecast, EBITDA, working capital and debt-service cash flow</x:v>
      </x:c>
      <x:c r="G34" s="4" t="str">
        <x:v>Latest standalone operating base drives forecast EBITDA, cash taxes, working capital and cash available for debt service.</x:v>
      </x:c>
      <x:c r="H34" s="4" t="str">
        <x:v>Review original pre-cutoff fiscal accounts; record exact fiscal dates, units and reconciliation.</x:v>
      </x:c>
    </x:row>
    <x:row r="35" ht="90" customHeight="1">
      <x:c r="A35" s="4" t="str">
        <x:v>acquirer.FY2024.operating_cash_flow</x:v>
      </x:c>
      <x:c r="B35" s="4" t="n">
        <x:v>1311.835</x:v>
      </x:c>
      <x:c r="C35" s="4" t="str">
        <x:v>verified fact</x:v>
      </x:c>
      <x:c r="D35" s="13" t="b">
        <x:v>1</x:v>
      </x:c>
      <x:c r="E35" s="4" t="str">
        <x:v>Exact observation supported by reviewed source: dks10k</x:v>
      </x:c>
      <x:c r="F35" s="4" t="str">
        <x:v>Operating forecast, EBITDA, working capital and debt-service cash flow</x:v>
      </x:c>
      <x:c r="G35" s="4" t="str">
        <x:v>Latest standalone operating base drives forecast EBITDA, cash taxes, working capital and cash available for debt service.</x:v>
      </x:c>
      <x:c r="H35" s="4" t="str">
        <x:v>Review original pre-cutoff fiscal accounts; record exact fiscal dates, units and reconciliation.</x:v>
      </x:c>
    </x:row>
    <x:row r="36" ht="90" customHeight="1">
      <x:c r="A36" s="4" t="str">
        <x:v>acquirer.FY2024.operating_profit</x:v>
      </x:c>
      <x:c r="B36" s="4" t="n">
        <x:v>1473.932</x:v>
      </x:c>
      <x:c r="C36" s="4" t="str">
        <x:v>verified fact</x:v>
      </x:c>
      <x:c r="D36" s="13" t="b">
        <x:v>1</x:v>
      </x:c>
      <x:c r="E36" s="4" t="str">
        <x:v>Exact observation supported by reviewed source: dks10k</x:v>
      </x:c>
      <x:c r="F36" s="4" t="str">
        <x:v>Operating forecast, EBITDA, working capital and debt-service cash flow</x:v>
      </x:c>
      <x:c r="G36" s="4" t="str">
        <x:v>Latest standalone operating base drives forecast EBITDA, cash taxes, working capital and cash available for debt service.</x:v>
      </x:c>
      <x:c r="H36" s="4" t="str">
        <x:v>Review original pre-cutoff fiscal accounts; record exact fiscal dates, units and reconciliation.</x:v>
      </x:c>
    </x:row>
    <x:row r="37" ht="90" customHeight="1">
      <x:c r="A37" s="4" t="str">
        <x:v>acquirer.FY2024.payables</x:v>
      </x:c>
      <x:c r="B37" s="4" t="n">
        <x:v>1497.743</x:v>
      </x:c>
      <x:c r="C37" s="4" t="str">
        <x:v>verified fact</x:v>
      </x:c>
      <x:c r="D37" s="13" t="b">
        <x:v>1</x:v>
      </x:c>
      <x:c r="E37" s="4" t="str">
        <x:v>Exact observation supported by reviewed source: dks10k</x:v>
      </x:c>
      <x:c r="F37" s="4" t="str">
        <x:v>Operating forecast, EBITDA, working capital and debt-service cash flow</x:v>
      </x:c>
      <x:c r="G37" s="4" t="str">
        <x:v>Latest standalone operating base drives forecast EBITDA, cash taxes, working capital and cash available for debt service.</x:v>
      </x:c>
      <x:c r="H37" s="4" t="str">
        <x:v>Review original pre-cutoff fiscal accounts; record exact fiscal dates, units and reconciliation.</x:v>
      </x:c>
    </x:row>
    <x:row r="38" ht="90" customHeight="1">
      <x:c r="A38" s="4" t="str">
        <x:v>acquirer.FY2024.receivables</x:v>
      </x:c>
      <x:c r="B38" s="4" t="n">
        <x:v>214.25</x:v>
      </x:c>
      <x:c r="C38" s="4" t="str">
        <x:v>verified fact</x:v>
      </x:c>
      <x:c r="D38" s="13" t="b">
        <x:v>1</x:v>
      </x:c>
      <x:c r="E38" s="4" t="str">
        <x:v>Exact observation supported by reviewed source: dks10k</x:v>
      </x:c>
      <x:c r="F38" s="4" t="str">
        <x:v>Operating forecast, EBITDA, working capital and debt-service cash flow</x:v>
      </x:c>
      <x:c r="G38" s="4" t="str">
        <x:v>Latest standalone operating base drives forecast EBITDA, cash taxes, working capital and cash available for debt service.</x:v>
      </x:c>
      <x:c r="H38" s="4" t="str">
        <x:v>Review original pre-cutoff fiscal accounts; record exact fiscal dates, units and reconciliation.</x:v>
      </x:c>
    </x:row>
    <x:row r="39" ht="90" customHeight="1">
      <x:c r="A39" s="4" t="str">
        <x:v>acquirer.FY2024.revenue</x:v>
      </x:c>
      <x:c r="B39" s="4" t="n">
        <x:v>13442.849</x:v>
      </x:c>
      <x:c r="C39" s="4" t="str">
        <x:v>verified fact</x:v>
      </x:c>
      <x:c r="D39" s="13" t="b">
        <x:v>1</x:v>
      </x:c>
      <x:c r="E39" s="4" t="str">
        <x:v>Exact observation supported by reviewed source: dks10k</x:v>
      </x:c>
      <x:c r="F39" s="4" t="str">
        <x:v>Operating forecast, EBITDA, working capital and debt-service cash flow</x:v>
      </x:c>
      <x:c r="G39" s="4" t="str">
        <x:v>Latest standalone operating base drives forecast EBITDA, cash taxes, working capital and cash available for debt service.</x:v>
      </x:c>
      <x:c r="H39" s="4" t="str">
        <x:v>Review original pre-cutoff fiscal accounts; record exact fiscal dates, units and reconciliation.</x:v>
      </x:c>
    </x:row>
    <x:row r="40" ht="90" customHeight="1">
      <x:c r="A40" s="4" t="str">
        <x:v>acquirer.FY2024.taxes</x:v>
      </x:c>
      <x:c r="B40" s="4" t="n">
        <x:v>399.467</x:v>
      </x:c>
      <x:c r="C40" s="4" t="str">
        <x:v>verified fact</x:v>
      </x:c>
      <x:c r="D40" s="13" t="b">
        <x:v>1</x:v>
      </x:c>
      <x:c r="E40" s="4" t="str">
        <x:v>Exact observation supported by reviewed source: dks10k</x:v>
      </x:c>
      <x:c r="F40" s="4" t="str">
        <x:v>Operating forecast, EBITDA, working capital and debt-service cash flow</x:v>
      </x:c>
      <x:c r="G40" s="4" t="str">
        <x:v>Latest standalone operating base drives forecast EBITDA, cash taxes, working capital and cash available for debt service.</x:v>
      </x:c>
      <x:c r="H40" s="4" t="str">
        <x:v>Review original pre-cutoff fiscal accounts; record exact fiscal dates, units and reconciliation.</x:v>
      </x:c>
    </x:row>
    <x:row r="41" ht="90" customHeight="1">
      <x:c r="A41" s="4" t="str">
        <x:v>acquirer.debt.borrowing_base_and_letters_of_credit</x:v>
      </x:c>
      <x:c r="B41" s="4" t="str">
        <x:v>{"borrowing_base": 1600.0, "letters_of_credit": 19.9, "basis": "Unsecured commitment ceiling, subject to covenants; not an inventory borrowing base"}</x:v>
      </x:c>
      <x:c r="C41" s="4" t="str">
        <x:v>verified fact</x:v>
      </x:c>
      <x:c r="D41" s="13" t="b">
        <x:v>1</x:v>
      </x:c>
      <x:c r="E41" s="4" t="str">
        <x:v>Exact observation supported by reviewed source: review_dks</x:v>
      </x:c>
      <x:c r="F41" s="4" t="str">
        <x:v>Revolver draw limits</x:v>
      </x:c>
      <x:c r="G41" s="4" t="str">
        <x:v>Instrument rights determine mandatory repayments, coupon resets and legally available borrowing; numerical solvency cannot replace contract evidence.</x:v>
      </x:c>
      <x:c r="H41" s="4" t="str">
        <x:v>Review debt notes and executed agreements for every instrument; reconcile totals, cite sections and document any non-applicability.</x:v>
      </x:c>
    </x:row>
    <x:row r="42" ht="90" customHeight="1">
      <x:c r="A42" s="4" t="str">
        <x:v>acquirer.debt.change_of_control</x:v>
      </x:c>
      <x:c r="B42" s="4"/>
      <x:c r="C42" s="4" t="str">
        <x:v>missing evidence</x:v>
      </x:c>
      <x:c r="D42" s="13" t="b">
        <x:v>1</x:v>
      </x:c>
      <x:c r="E42" s="4" t="str">
        <x:v>Required observation absent</x:v>
      </x:c>
      <x:c r="F42" s="4" t="str">
        <x:v>Required repayment and retained debt</x:v>
      </x:c>
      <x:c r="G42" s="4" t="str">
        <x:v>Instrument rights determine mandatory repayments, coupon resets and legally available borrowing; numerical solvency cannot replace contract evidence.</x:v>
      </x:c>
      <x:c r="H42" s="4" t="str">
        <x:v>Review debt notes and executed agreements for every instrument; reconcile totals, cite sections and document any non-applicability.</x:v>
      </x:c>
    </x:row>
    <x:row r="43" ht="90" customHeight="1">
      <x:c r="A43" s="4" t="str">
        <x:v>acquirer.debt.coupons_and_resets</x:v>
      </x:c>
      <x:c r="B43" s="4"/>
      <x:c r="C43" s="4" t="str">
        <x:v>missing evidence</x:v>
      </x:c>
      <x:c r="D43" s="13" t="b">
        <x:v>1</x:v>
      </x:c>
      <x:c r="E43" s="4" t="str">
        <x:v>Required observation absent</x:v>
      </x:c>
      <x:c r="F43" s="4" t="str">
        <x:v>Cash interest and rate stress</x:v>
      </x:c>
      <x:c r="G43" s="4" t="str">
        <x:v>Instrument rights determine mandatory repayments, coupon resets and legally available borrowing; numerical solvency cannot replace contract evidence.</x:v>
      </x:c>
      <x:c r="H43" s="4" t="str">
        <x:v>Review debt notes and executed agreements for every instrument; reconcile totals, cite sections and document any non-applicability.</x:v>
      </x:c>
    </x:row>
    <x:row r="44" ht="90" customHeight="1">
      <x:c r="A44" s="4" t="str">
        <x:v>acquirer.debt.covenants_and_restricted_payments</x:v>
      </x:c>
      <x:c r="B44" s="4"/>
      <x:c r="C44" s="4" t="str">
        <x:v>missing evidence</x:v>
      </x:c>
      <x:c r="D44" s="13" t="b">
        <x:v>1</x:v>
      </x:c>
      <x:c r="E44" s="4" t="str">
        <x:v>Required observation absent</x:v>
      </x:c>
      <x:c r="F44" s="4" t="str">
        <x:v>Borrowing eligibility and capital allocation</x:v>
      </x:c>
      <x:c r="G44" s="4" t="str">
        <x:v>Instrument rights determine mandatory repayments, coupon resets and legally available borrowing; numerical solvency cannot replace contract evidence.</x:v>
      </x:c>
      <x:c r="H44" s="4" t="str">
        <x:v>Review debt notes and executed agreements for every instrument; reconcile totals, cite sections and document any non-applicability.</x:v>
      </x:c>
    </x:row>
    <x:row r="45" ht="90" customHeight="1">
      <x:c r="A45" s="4" t="str">
        <x:v>acquirer.debt.instrument_inventory</x:v>
      </x:c>
      <x:c r="B45" s="4"/>
      <x:c r="C45" s="4" t="str">
        <x:v>missing evidence</x:v>
      </x:c>
      <x:c r="D45" s="13" t="b">
        <x:v>1</x:v>
      </x:c>
      <x:c r="E45" s="4" t="str">
        <x:v>Required observation absent</x:v>
      </x:c>
      <x:c r="F45" s="4" t="str">
        <x:v>Completeness of instrument debt schedule</x:v>
      </x:c>
      <x:c r="G45" s="4" t="str">
        <x:v>Instrument rights determine mandatory repayments, coupon resets and legally available borrowing; numerical solvency cannot replace contract evidence.</x:v>
      </x:c>
      <x:c r="H45" s="4" t="str">
        <x:v>Review debt notes and executed agreements for every instrument; reconcile totals, cite sections and document any non-applicability.</x:v>
      </x:c>
    </x:row>
    <x:row r="46" ht="90" customHeight="1">
      <x:c r="A46" s="4" t="str">
        <x:v>acquirer.debt.maturity_and_amortisation_schedule</x:v>
      </x:c>
      <x:c r="B46" s="4"/>
      <x:c r="C46" s="4" t="str">
        <x:v>missing evidence</x:v>
      </x:c>
      <x:c r="D46" s="13" t="b">
        <x:v>1</x:v>
      </x:c>
      <x:c r="E46" s="4" t="str">
        <x:v>Required observation absent</x:v>
      </x:c>
      <x:c r="F46" s="4" t="str">
        <x:v>Mandatory repayments and maturity gaps</x:v>
      </x:c>
      <x:c r="G46" s="4" t="str">
        <x:v>Instrument rights determine mandatory repayments, coupon resets and legally available borrowing; numerical solvency cannot replace contract evidence.</x:v>
      </x:c>
      <x:c r="H46" s="4" t="str">
        <x:v>Review debt notes and executed agreements for every instrument; reconcile totals, cite sections and document any non-applicability.</x:v>
      </x:c>
    </x:row>
    <x:row r="47" ht="90" customHeight="1">
      <x:c r="A47" s="4" t="str">
        <x:v>acquirer.debt.refinancing_and_repricing</x:v>
      </x:c>
      <x:c r="B47" s="4"/>
      <x:c r="C47" s="4" t="str">
        <x:v>missing evidence</x:v>
      </x:c>
      <x:c r="D47" s="13" t="b">
        <x:v>1</x:v>
      </x:c>
      <x:c r="E47" s="4" t="str">
        <x:v>Required observation absent</x:v>
      </x:c>
      <x:c r="F47" s="4" t="str">
        <x:v>Refinancing dependence and debt service</x:v>
      </x:c>
      <x:c r="G47" s="4" t="str">
        <x:v>Instrument rights determine mandatory repayments, coupon resets and legally available borrowing; numerical solvency cannot replace contract evidence.</x:v>
      </x:c>
      <x:c r="H47" s="4" t="str">
        <x:v>Review debt notes and executed agreements for every instrument; reconcile totals, cite sections and document any non-applicability.</x:v>
      </x:c>
    </x:row>
    <x:row r="48" ht="90" customHeight="1">
      <x:c r="A48" s="4" t="str">
        <x:v>acquirer.debt.revolver_commitments</x:v>
      </x:c>
      <x:c r="B48" s="4" t="str">
        <x:v>{"commitment": 1600.0, "drawn": 0.0, "maturity_date": "2027-01-14", "uncommitted_incremental_excluded": 500.0}</x:v>
      </x:c>
      <x:c r="C48" s="4" t="str">
        <x:v>verified fact</x:v>
      </x:c>
      <x:c r="D48" s="13" t="b">
        <x:v>1</x:v>
      </x:c>
      <x:c r="E48" s="4" t="str">
        <x:v>Exact observation supported by reviewed source: review_dks</x:v>
      </x:c>
      <x:c r="F48" s="4" t="str">
        <x:v>Eligible committed liquidity</x:v>
      </x:c>
      <x:c r="G48" s="4" t="str">
        <x:v>Instrument rights determine mandatory repayments, coupon resets and legally available borrowing; numerical solvency cannot replace contract evidence.</x:v>
      </x:c>
      <x:c r="H48" s="4" t="str">
        <x:v>Review debt notes and executed agreements for every instrument; reconcile totals, cite sections and document any non-applicability.</x:v>
      </x:c>
    </x:row>
    <x:row r="49" ht="90" customHeight="1">
      <x:c r="A49" s="4" t="str">
        <x:v>acquirer.opening.cash_restrictions</x:v>
      </x:c>
      <x:c r="B49" s="4"/>
      <x:c r="C49" s="4" t="str">
        <x:v>missing evidence</x:v>
      </x:c>
      <x:c r="D49" s="13" t="b">
        <x:v>1</x:v>
      </x:c>
      <x:c r="E49" s="4" t="str">
        <x:v>Required observation absent</x:v>
      </x:c>
      <x:c r="F49" s="4" t="str">
        <x:v>Opening liquidity, retained debt, cash deployment and leverage</x:v>
      </x:c>
      <x:c r="G49" s="4" t="str">
        <x:v>Opening liquidity and debt determine spendable cash, financing need and net leverage; a wrong balance can falsely imply funding.</x:v>
      </x:c>
      <x:c r="H49" s="4" t="str">
        <x:v>Reconcile latest pre-cutoff balance sheet and notes, with balance date and units.</x:v>
      </x:c>
    </x:row>
    <x:row r="50" ht="90" customHeight="1">
      <x:c r="A50" s="4" t="str">
        <x:v>acquirer.opening.debt_carrying_value</x:v>
      </x:c>
      <x:c r="B50" s="4" t="n">
        <x:v>1484.217</x:v>
      </x:c>
      <x:c r="C50" s="4" t="str">
        <x:v>verified fact</x:v>
      </x:c>
      <x:c r="D50" s="13" t="b">
        <x:v>0</x:v>
      </x:c>
      <x:c r="E50" s="4" t="str">
        <x:v>Exact observation supported by reviewed source: dks10k</x:v>
      </x:c>
      <x:c r="F50" s="4" t="str">
        <x:v>Opening liquidity, retained debt, cash deployment and leverage</x:v>
      </x:c>
      <x:c r="G50" s="4" t="str">
        <x:v>Accounting reconciliation only; cash debt service uses verified principal, not carrying value. Missing reconciliation remains disclosed.</x:v>
      </x:c>
      <x:c r="H50" s="4" t="str">
        <x:v>Reconcile latest pre-cutoff balance sheet and notes, with balance date and units.</x:v>
      </x:c>
    </x:row>
    <x:row r="51" ht="90" customHeight="1">
      <x:c r="A51" s="4" t="str">
        <x:v>acquirer.opening.debt_principal</x:v>
      </x:c>
      <x:c r="B51" s="4"/>
      <x:c r="C51" s="4" t="str">
        <x:v>missing evidence</x:v>
      </x:c>
      <x:c r="D51" s="13" t="b">
        <x:v>1</x:v>
      </x:c>
      <x:c r="E51" s="4" t="str">
        <x:v>Required observation absent</x:v>
      </x:c>
      <x:c r="F51" s="4" t="str">
        <x:v>Opening liquidity, retained debt, cash deployment and leverage</x:v>
      </x:c>
      <x:c r="G51" s="4" t="str">
        <x:v>Opening liquidity and debt determine spendable cash, financing need and net leverage; a wrong balance can falsely imply funding.</x:v>
      </x:c>
      <x:c r="H51" s="4" t="str">
        <x:v>Reconcile latest pre-cutoff balance sheet and notes, with balance date and units.</x:v>
      </x:c>
    </x:row>
    <x:row r="52" ht="90" customHeight="1">
      <x:c r="A52" s="4" t="str">
        <x:v>acquirer.opening.unrestricted_cash</x:v>
      </x:c>
      <x:c r="B52" s="4"/>
      <x:c r="C52" s="4" t="str">
        <x:v>missing evidence</x:v>
      </x:c>
      <x:c r="D52" s="13" t="b">
        <x:v>1</x:v>
      </x:c>
      <x:c r="E52" s="4" t="str">
        <x:v>Required observation absent</x:v>
      </x:c>
      <x:c r="F52" s="4" t="str">
        <x:v>Opening liquidity, retained debt, cash deployment and leverage</x:v>
      </x:c>
      <x:c r="G52" s="4" t="str">
        <x:v>Opening liquidity and debt determine spendable cash, financing need and net leverage; a wrong balance can falsely imply funding.</x:v>
      </x:c>
      <x:c r="H52" s="4" t="str">
        <x:v>Reconcile latest pre-cutoff balance sheet and notes, with balance date and units.</x:v>
      </x:c>
    </x:row>
    <x:row r="53" ht="90" customHeight="1">
      <x:c r="A53" s="4" t="str">
        <x:v>assumption.analytical_thresholds</x:v>
      </x:c>
      <x:c r="B53" s="4" t="str">
        <x:v>{"cash_floor": 750.0, "max_leverage": 3.0, "min_coverage": 4.0, "tax_rate": 0.25, "interest_deduction_limit": 1.0}</x:v>
      </x:c>
      <x:c r="C53" s="4" t="str">
        <x:v>explicit modelling assumption</x:v>
      </x:c>
      <x:c r="D53" s="13" t="b">
        <x:v>1</x:v>
      </x:c>
      <x:c r="E53" s="4" t="str">
        <x:v>Analyst screening limits, not lender covenants or verified tax deductibility; test cash floors 500/750/1000 and leverage 2/3/4.</x:v>
      </x:c>
      <x:c r="F53" s="4" t="str">
        <x:v>Forecast, liquidity and scenario comparisons</x:v>
      </x:c>
      <x:c r="G53" s="4" t="str">
        <x:v>Future choice controls forecast or funding mechanics; explicit rationale is required, but it is not a historical fact.</x:v>
      </x:c>
      <x:c r="H53" s="4" t="str">
        <x:v>Record explicit future scenario choice and rationale separately from historical facts.</x:v>
      </x:c>
    </x:row>
    <x:row r="54" ht="90" customHeight="1">
      <x:c r="A54" s="4" t="str">
        <x:v>assumption.capital_allocation</x:v>
      </x:c>
      <x:c r="B54" s="4" t="str">
        <x:v>{"dividends": [0.0, 0.0, 0.0, 0.0, 0.0], "buybacks": [0.0, 0.0, 0.0, 0.0, 0.0], "sweep_fraction": 0.0}</x:v>
      </x:c>
      <x:c r="C54" s="4" t="str">
        <x:v>explicit modelling assumption</x:v>
      </x:c>
      <x:c r="D54" s="13" t="b">
        <x:v>1</x:v>
      </x:c>
      <x:c r="E54" s="4" t="str">
        <x:v>Prospective suspension of discretionary distributions and optional repayments. Existing declared obligations remain separate missing facts, not zeroed.</x:v>
      </x:c>
      <x:c r="F54" s="4" t="str">
        <x:v>Forecast, liquidity and scenario comparisons</x:v>
      </x:c>
      <x:c r="G54" s="4" t="str">
        <x:v>Future choice controls forecast or funding mechanics; explicit rationale is required, but it is not a historical fact.</x:v>
      </x:c>
      <x:c r="H54" s="4" t="str">
        <x:v>Record explicit future scenario choice and rationale separately from historical facts.</x:v>
      </x:c>
    </x:row>
    <x:row r="55" ht="90" customHeight="1">
      <x:c r="A55" s="4" t="str">
        <x:v>assumption.closing_bridge</x:v>
      </x:c>
      <x:c r="B55" s="4" t="str">
        <x:v>{"closing_date": "2025-11-01", "companies": [{"operating": 788.7715500000004, "capex": 845.6421598250608, "dividends": 291.1673650125, "buybacks": 5.0, "projected_lease_principal": 0.0}, {"operating": -70.04999999999973, "capex": 231.25, "dividends": 0.0, "buybacks": 0.0, "projected_lease_principal": 3.6}]}</x:v>
      </x:c>
      <x:c r="C55" s="4" t="str">
        <x:v>explicit modelling assumption</x:v>
      </x:c>
      <x:c r="D55" s="13" t="b">
        <x:v>1</x:v>
      </x:c>
      <x:c r="E55" s="4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  <x:c r="F55" s="4" t="str">
        <x:v>Forecast, liquidity and scenario comparisons</x:v>
      </x:c>
      <x:c r="G55" s="4" t="str">
        <x:v>Future choice controls forecast or funding mechanics; explicit rationale is required, but it is not a historical fact.</x:v>
      </x:c>
      <x:c r="H55" s="4" t="str">
        <x:v>Record explicit future scenario choice and rationale separately from historical facts.</x:v>
      </x:c>
    </x:row>
    <x:row r="56" ht="90" customHeight="1">
      <x:c r="A56" s="4" t="str">
        <x:v>assumption.financing_terms_and_fees</x:v>
      </x:c>
      <x:c r="B56" s="4" t="str">
        <x:v>{"transaction": {"transaction_fees": 75.0, "financing_fee_rate": 0.02, "ev_other": 0.0, "allow_target_cash": false, "target_cash_rationale": "Conservative future scenario choice; no upstream availability assumed", "acquirer_reference_price": 200.0}, "new_debt": {"kind": "floating", "benchmark": [0.045, 0.045, 0.045, 0.045, 0.045], "spread": 0.025, "fixed_benchmark": 0.045, "maturity": 5.0, "amortisation": 0.02}, "policy": {"refinance": false, "refinance_limit": 0.0, "refinance_tenor": 5.0, "refinance_fee": 0.02}}</x:v>
      </x:c>
      <x:c r="C56" s="4" t="str">
        <x:v>explicit modelling assumption</x:v>
      </x:c>
      <x:c r="D56" s="13" t="b">
        <x:v>1</x:v>
      </x:c>
      <x:c r="E56" s="4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  <x:c r="F56" s="4" t="str">
        <x:v>Forecast, liquidity and scenario comparisons</x:v>
      </x:c>
      <x:c r="G56" s="4" t="str">
        <x:v>Future choice controls forecast or funding mechanics; explicit rationale is required, but it is not a historical fact.</x:v>
      </x:c>
      <x:c r="H56" s="4" t="str">
        <x:v>Record explicit future scenario choice and rationale separately from historical facts.</x:v>
      </x:c>
    </x:row>
    <x:row r="57" ht="90" customHeight="1">
      <x:c r="A57" s="4" t="str">
        <x:v>assumption.operating_forecast</x:v>
      </x:c>
      <x:c r="B57" s="4" t="str">
        <x:v>{"companies": [{"gross_margin": 0.35, "variable_opex": 0.1, "capex_ratio": 0.06, "growth": [0.0, 0.0, 0.0, 0.0, 0.0], "fixed_growth": 0.02, "seasonality": [0.25, 0.25, 0.25, 0.25], "inventory_seasonality": [1.0, 1.0, 1.0, 1.0]}, {"gross_margin": 0.3, "variable_opex": 0.1, "capex_ratio": 0.04, "growth": [-0.05, 0.0, 0.02, 0.02, 0.02], "fixed_growth": 0.02, "seasonality": [0.25, 0.25, 0.25, 0.25], "inventory_seasonality": [1.0, 1.0, 1.0, 1.0]}], "quarterly": {"enabled": false, "label": "No assumed quarterly historical liquidity"}}</x:v>
      </x:c>
      <x:c r="C57" s="4" t="str">
        <x:v>explicit modelling assumption</x:v>
      </x:c>
      <x:c r="D57" s="13" t="b">
        <x:v>1</x:v>
      </x:c>
      <x:c r="E57" s="4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  <x:c r="F57" s="4" t="str">
        <x:v>Forecast, liquidity and scenario comparisons</x:v>
      </x:c>
      <x:c r="G57" s="4" t="str">
        <x:v>Future choice controls forecast or funding mechanics; explicit rationale is required, but it is not a historical fact.</x:v>
      </x:c>
      <x:c r="H57" s="4" t="str">
        <x:v>Record explicit future scenario choice and rationale separately from historical facts.</x:v>
      </x:c>
    </x:row>
    <x:row r="58" ht="90" customHeight="1">
      <x:c r="A58" s="4" t="str">
        <x:v>assumption.synergy_delivery_and_costs</x:v>
      </x:c>
      <x:c r="B58" s="4" t="str">
        <x:v>{"run_rate": 100.0, "ramp": [0.0, 0.5, 1.0, 1.0, 1.0], "integration": [100.0, 50.0, 25.0, 0.0, 0.0]}</x:v>
      </x:c>
      <x:c r="C58" s="4" t="str">
        <x:v>explicit modelling assumption</x:v>
      </x:c>
      <x:c r="D58" s="13" t="b">
        <x:v>1</x:v>
      </x:c>
      <x:c r="E58" s="4" t="str">
        <x:v>Future delivery/cost choices, not management cost guidance. Test run rates 0/100/125, one-year delay and doubled integration costs.</x:v>
      </x:c>
      <x:c r="F58" s="4" t="str">
        <x:v>Forecast, liquidity and scenario comparisons</x:v>
      </x:c>
      <x:c r="G58" s="4" t="str">
        <x:v>Future choice controls forecast or funding mechanics; explicit rationale is required, but it is not a historical fact.</x:v>
      </x:c>
      <x:c r="H58" s="4" t="str">
        <x:v>Record explicit future scenario choice and rationale separately from historical facts.</x:v>
      </x:c>
    </x:row>
    <x:row r="59" ht="90" customHeight="1">
      <x:c r="A59" s="4" t="str">
        <x:v>detail.acquirer.cash</x:v>
      </x:c>
      <x:c r="B59" s="4" t="n">
        <x:v>1689.94</x:v>
      </x:c>
      <x:c r="C59" s="4" t="str">
        <x:v>verified fact</x:v>
      </x:c>
      <x:c r="D59" s="13" t="b">
        <x:v>0</x:v>
      </x:c>
      <x:c r="E59" s="4" t="str">
        <x:v>Exact observation supported by reviewed source: review_dks</x:v>
      </x:c>
      <x:c r="F59" s="4" t="str">
        <x:v>Bounded historical calculation; not complete financing capacity</x:v>
      </x:c>
      <x:c r="G59" s="4" t="str">
        <x:v>Supplementary disclosure; each bounded calculation independently requires verified dependencies. Original financing requirements remain active.</x:v>
      </x:c>
      <x:c r="H59" s="4" t="str">
        <x:v>Review exact pre-cutoff document, units and period.</x:v>
      </x:c>
    </x:row>
    <x:row r="60" ht="90" customHeight="1">
      <x:c r="A60" s="4" t="str">
        <x:v>detail.acquirer.cost_classification</x:v>
      </x:c>
      <x:c r="B60" s="4" t="str">
        <x:v>{"revenue": 13442.849, "cost_of_sales": 8617.153, "sga": 3294.272, "other_operating": 57.492, "operating_profit": 1473.932}</x:v>
      </x:c>
      <x:c r="C60" s="4" t="str">
        <x:v>verified fact</x:v>
      </x:c>
      <x:c r="D60" s="13" t="b">
        <x:v>0</x:v>
      </x:c>
      <x:c r="E60" s="4" t="str">
        <x:v>Exact observation supported by reviewed source: cost_dks</x:v>
      </x:c>
      <x:c r="F60" s="4" t="str">
        <x:v>Bounded historical calculation; not complete financing capacity</x:v>
      </x:c>
      <x:c r="G60" s="4" t="str">
        <x:v>Supplementary disclosure; each bounded calculation independently requires verified dependencies. Original financing requirements remain active.</x:v>
      </x:c>
      <x:c r="H60" s="4" t="str">
        <x:v>Review exact pre-cutoff document, units and period.</x:v>
      </x:c>
    </x:row>
    <x:row r="61" ht="90" customHeight="1">
      <x:c r="A61" s="4" t="str">
        <x:v>detail.acquirer.covenant</x:v>
      </x:c>
      <x:c r="B61" s="4" t="str">
        <x:v>{"maximum_lease_adjusted_leverage": 3.75, "acquisition_elected_limit": 4.25, "election_full_quarters": 4, "definition": "Borrowed debt plus operating lease liabilities / contractual EBITDAR; variable rental costs excluded from rental addback"}</x:v>
      </x:c>
      <x:c r="C61" s="4" t="str">
        <x:v>verified fact</x:v>
      </x:c>
      <x:c r="D61" s="13" t="b">
        <x:v>0</x:v>
      </x:c>
      <x:c r="E61" s="4" t="str">
        <x:v>Exact observation supported by reviewed source: dks_credit</x:v>
      </x:c>
      <x:c r="F61" s="4" t="str">
        <x:v>Bounded historical calculation; not complete financing capacity</x:v>
      </x:c>
      <x:c r="G61" s="4" t="str">
        <x:v>Supplementary disclosure; each bounded calculation independently requires verified dependencies. Original financing requirements remain active.</x:v>
      </x:c>
      <x:c r="H61" s="4" t="str">
        <x:v>Review exact pre-cutoff document, units and period.</x:v>
      </x:c>
    </x:row>
    <x:row r="62" ht="90" customHeight="1">
      <x:c r="A62" s="4" t="str">
        <x:v>detail.acquirer.distributions</x:v>
      </x:c>
      <x:c r="B62" s="4" t="str">
        <x:v>{"dividends": 361.727, "cash_buybacks": 263.021, "accrued_buybacks": 5.0}</x:v>
      </x:c>
      <x:c r="C62" s="4" t="str">
        <x:v>verified fact</x:v>
      </x:c>
      <x:c r="D62" s="13" t="b">
        <x:v>0</x:v>
      </x:c>
      <x:c r="E62" s="4" t="str">
        <x:v>Exact observation supported by reviewed source: public_dks</x:v>
      </x:c>
      <x:c r="F62" s="4" t="str">
        <x:v>Bounded historical calculation; not complete financing capacity</x:v>
      </x:c>
      <x:c r="G62" s="4" t="str">
        <x:v>Supplementary disclosure; each bounded calculation independently requires verified dependencies. Original financing requirements remain active.</x:v>
      </x:c>
      <x:c r="H62" s="4" t="str">
        <x:v>Review exact pre-cutoff document, units and period.</x:v>
      </x:c>
    </x:row>
    <x:row r="63" ht="90" customHeight="1">
      <x:c r="A63" s="4" t="str">
        <x:v>detail.acquirer.leases</x:v>
      </x:c>
      <x:c r="B63" s="4" t="str">
        <x:v>{"operating_cost": 636.744, "short_term": 26.186, "variable": 131.832, "sublease_income": 11.842, "fixed_cash": 708.988, "liability": 3003.543, "uncommenced_commitments": 352.1}</x:v>
      </x:c>
      <x:c r="C63" s="4" t="str">
        <x:v>verified fact</x:v>
      </x:c>
      <x:c r="D63" s="13" t="b">
        <x:v>0</x:v>
      </x:c>
      <x:c r="E63" s="4" t="str">
        <x:v>Exact observation supported by reviewed source: review_dks</x:v>
      </x:c>
      <x:c r="F63" s="4" t="str">
        <x:v>Bounded historical calculation; not complete financing capacity</x:v>
      </x:c>
      <x:c r="G63" s="4" t="str">
        <x:v>Supplementary disclosure; each bounded calculation independently requires verified dependencies. Original financing requirements remain active.</x:v>
      </x:c>
      <x:c r="H63" s="4" t="str">
        <x:v>Review exact pre-cutoff document, units and period.</x:v>
      </x:c>
    </x:row>
    <x:row r="64" ht="90" customHeight="1">
      <x:c r="A64" s="4" t="str">
        <x:v>detail.acquirer.notes</x:v>
      </x:c>
      <x:c r="B64" s="4" t="str">
        <x:v>{"principal_each": 750.0, "coupons": [0.0315, 0.041], "maturities": ["2032-01-15", "2052-01-15"], "day_count": "30/360", "payment_months": [1, 7], "makewhole_spreads_bps": [25, 30]}</x:v>
      </x:c>
      <x:c r="C64" s="4" t="str">
        <x:v>verified fact</x:v>
      </x:c>
      <x:c r="D64" s="13" t="b">
        <x:v>0</x:v>
      </x:c>
      <x:c r="E64" s="4" t="str">
        <x:v>Exact observation supported by reviewed source: dks_indent</x:v>
      </x:c>
      <x:c r="F64" s="4" t="str">
        <x:v>Bounded historical calculation; not complete financing capacity</x:v>
      </x:c>
      <x:c r="G64" s="4" t="str">
        <x:v>Supplementary disclosure; each bounded calculation independently requires verified dependencies. Original financing requirements remain active.</x:v>
      </x:c>
      <x:c r="H64" s="4" t="str">
        <x:v>Review exact pre-cutoff document, units and period.</x:v>
      </x:c>
    </x:row>
    <x:row r="65" ht="90" customHeight="1">
      <x:c r="A65" s="4" t="str">
        <x:v>detail.acquirer.notes_outstanding</x:v>
      </x:c>
      <x:c r="B65" s="4" t="str">
        <x:v>[750.0, 750.0]</x:v>
      </x:c>
      <x:c r="C65" s="4" t="str">
        <x:v>verified fact</x:v>
      </x:c>
      <x:c r="D65" s="13" t="b">
        <x:v>0</x:v>
      </x:c>
      <x:c r="E65" s="4" t="str">
        <x:v>Exact observation supported by reviewed source: review_dks</x:v>
      </x:c>
      <x:c r="F65" s="4" t="str">
        <x:v>Bounded historical calculation; not complete financing capacity</x:v>
      </x:c>
      <x:c r="G65" s="4" t="str">
        <x:v>Supplementary disclosure; each bounded calculation independently requires verified dependencies. Original financing requirements remain active.</x:v>
      </x:c>
      <x:c r="H65" s="4" t="str">
        <x:v>Review exact pre-cutoff document, units and period.</x:v>
      </x:c>
    </x:row>
    <x:row r="66" ht="90" customHeight="1">
      <x:c r="A66" s="4" t="str">
        <x:v>detail.acquirer.other_liabilities</x:v>
      </x:c>
      <x:c r="B66" s="4" t="str">
        <x:v>{"accrued_expenses": 653.324, "current_other": 82.696, "long_term_other": 42.137}</x:v>
      </x:c>
      <x:c r="C66" s="4" t="str">
        <x:v>verified fact</x:v>
      </x:c>
      <x:c r="D66" s="13" t="b">
        <x:v>0</x:v>
      </x:c>
      <x:c r="E66" s="4" t="str">
        <x:v>Exact observation supported by reviewed source: public_dks</x:v>
      </x:c>
      <x:c r="F66" s="4" t="str">
        <x:v>Bounded historical calculation; not complete financing capacity</x:v>
      </x:c>
      <x:c r="G66" s="4" t="str">
        <x:v>Supplementary disclosure; each bounded calculation independently requires verified dependencies. Original financing requirements remain active.</x:v>
      </x:c>
      <x:c r="H66" s="4" t="str">
        <x:v>Review exact pre-cutoff document, units and period.</x:v>
      </x:c>
    </x:row>
    <x:row r="67" ht="90" customHeight="1">
      <x:c r="A67" s="4" t="str">
        <x:v>detail.acquirer.planning_disclosures</x:v>
      </x:c>
      <x:c r="B67" s="4" t="str">
        <x:v>{"fy2025_net_capex_guidance": 1000.0, "declared_quarterly_dividend_per_share": 1.2125, "declaration_date": "2025-03-10", "payment_date": "2025-04-11"}</x:v>
      </x:c>
      <x:c r="C67" s="4" t="str">
        <x:v>verified fact</x:v>
      </x:c>
      <x:c r="D67" s="13" t="b">
        <x:v>0</x:v>
      </x:c>
      <x:c r="E67" s="4" t="str">
        <x:v>Exact observation supported by reviewed source: public_dks</x:v>
      </x:c>
      <x:c r="F67" s="4" t="str">
        <x:v>Bounded historical calculation; not complete financing capacity</x:v>
      </x:c>
      <x:c r="G67" s="4" t="str">
        <x:v>Supplementary disclosure; each bounded calculation independently requires verified dependencies. Original financing requirements remain active.</x:v>
      </x:c>
      <x:c r="H67" s="4" t="str">
        <x:v>Review exact pre-cutoff document, units and period.</x:v>
      </x:c>
    </x:row>
    <x:row r="68" ht="90" customHeight="1">
      <x:c r="A68" s="4" t="str">
        <x:v>detail.acquirer.preliminary_q1</x:v>
      </x:c>
      <x:c r="B68" s="4" t="str">
        <x:v>{"comparable_sales_growth": 0.045, "expected_eps": 3.24, "expected_non_gaap_eps": 3.37}</x:v>
      </x:c>
      <x:c r="C68" s="4" t="str">
        <x:v>verified fact</x:v>
      </x:c>
      <x:c r="D68" s="13" t="b">
        <x:v>0</x:v>
      </x:c>
      <x:c r="E68" s="4" t="str">
        <x:v>Exact observation supported by reviewed source: dks_prelim</x:v>
      </x:c>
      <x:c r="F68" s="4" t="str">
        <x:v>Bounded historical calculation; not complete financing capacity</x:v>
      </x:c>
      <x:c r="G68" s="4" t="str">
        <x:v>Supplementary disclosure; each bounded calculation independently requires verified dependencies. Original financing requirements remain active.</x:v>
      </x:c>
      <x:c r="H68" s="4" t="str">
        <x:v>Review exact pre-cutoff document, units and period.</x:v>
      </x:c>
    </x:row>
    <x:row r="69" ht="90" customHeight="1">
      <x:c r="A69" s="4" t="str">
        <x:v>detail.acquirer.purchase_commitments</x:v>
      </x:c>
      <x:c r="B69" s="4" t="n">
        <x:v>180</x:v>
      </x:c>
      <x:c r="C69" s="4" t="str">
        <x:v>verified fact</x:v>
      </x:c>
      <x:c r="D69" s="13" t="b">
        <x:v>0</x:v>
      </x:c>
      <x:c r="E69" s="4" t="str">
        <x:v>Exact observation supported by reviewed source: review_dks</x:v>
      </x:c>
      <x:c r="F69" s="4" t="str">
        <x:v>Bounded historical calculation; not complete financing capacity</x:v>
      </x:c>
      <x:c r="G69" s="4" t="str">
        <x:v>Supplementary disclosure; each bounded calculation independently requires verified dependencies. Original financing requirements remain active.</x:v>
      </x:c>
      <x:c r="H69" s="4" t="str">
        <x:v>Review exact pre-cutoff document, units and period.</x:v>
      </x:c>
    </x:row>
    <x:row r="70" ht="90" customHeight="1">
      <x:c r="A70" s="4" t="str">
        <x:v>detail.acquirer.ytd_cash_flow</x:v>
      </x:c>
      <x:c r="B70" s="4" t="str">
        <x:v>{"cfo": 680.307, "capex": 565.569}</x:v>
      </x:c>
      <x:c r="C70" s="4" t="str">
        <x:v>verified fact</x:v>
      </x:c>
      <x:c r="D70" s="13" t="b">
        <x:v>0</x:v>
      </x:c>
      <x:c r="E70" s="4" t="str">
        <x:v>Exact observation supported by reviewed source: dks_q3</x:v>
      </x:c>
      <x:c r="F70" s="4" t="str">
        <x:v>Bounded historical calculation; not complete financing capacity</x:v>
      </x:c>
      <x:c r="G70" s="4" t="str">
        <x:v>Supplementary disclosure; each bounded calculation independently requires verified dependencies. Original financing requirements remain active.</x:v>
      </x:c>
      <x:c r="H70" s="4" t="str">
        <x:v>Review exact pre-cutoff document, units and period.</x:v>
      </x:c>
    </x:row>
    <x:row r="71" ht="90" customHeight="1">
      <x:c r="A71" s="4" t="str">
        <x:v>detail.acquirer.ytd_wc_cash</x:v>
      </x:c>
      <x:c r="B71" s="4" t="str">
        <x:v>{"inventory": -877.115, "receivables": -25.055, "payables": 404.685}</x:v>
      </x:c>
      <x:c r="C71" s="4" t="str">
        <x:v>verified fact</x:v>
      </x:c>
      <x:c r="D71" s="13" t="b">
        <x:v>0</x:v>
      </x:c>
      <x:c r="E71" s="4" t="str">
        <x:v>Exact observation supported by reviewed source: wc_dks</x:v>
      </x:c>
      <x:c r="F71" s="4" t="str">
        <x:v>Bounded historical calculation; not complete financing capacity</x:v>
      </x:c>
      <x:c r="G71" s="4" t="str">
        <x:v>Supplementary disclosure; each bounded calculation independently requires verified dependencies. Original financing requirements remain active.</x:v>
      </x:c>
      <x:c r="H71" s="4" t="str">
        <x:v>Review exact pre-cutoff document, units and period.</x:v>
      </x:c>
    </x:row>
    <x:row r="72" ht="90" customHeight="1">
      <x:c r="A72" s="4" t="str">
        <x:v>detail.target.abl</x:v>
      </x:c>
      <x:c r="B72" s="4" t="str">
        <x:v>{"loan_cap": "Minimum of commitment and borrowing base", "springing_fccr": 1.0, "coc_voting_threshold": 0.4, "restriction": "Covenant Compliance Period trigger; restricted payments and collateral eligibility require full contract compliance"}</x:v>
      </x:c>
      <x:c r="C72" s="4" t="str">
        <x:v>verified fact</x:v>
      </x:c>
      <x:c r="D72" s="13" t="b">
        <x:v>0</x:v>
      </x:c>
      <x:c r="E72" s="4" t="str">
        <x:v>Exact observation supported by reviewed source: fl_credit</x:v>
      </x:c>
      <x:c r="F72" s="4" t="str">
        <x:v>Bounded historical calculation; not complete financing capacity</x:v>
      </x:c>
      <x:c r="G72" s="4" t="str">
        <x:v>Supplementary disclosure; each bounded calculation independently requires verified dependencies. Original financing requirements remain active.</x:v>
      </x:c>
      <x:c r="H72" s="4" t="str">
        <x:v>Review exact pre-cutoff document, units and period.</x:v>
      </x:c>
    </x:row>
    <x:row r="73" ht="90" customHeight="1">
      <x:c r="A73" s="4" t="str">
        <x:v>detail.target.cash</x:v>
      </x:c>
      <x:c r="B73" s="4" t="n">
        <x:v>401</x:v>
      </x:c>
      <x:c r="C73" s="4" t="str">
        <x:v>verified fact</x:v>
      </x:c>
      <x:c r="D73" s="13" t="b">
        <x:v>0</x:v>
      </x:c>
      <x:c r="E73" s="4" t="str">
        <x:v>Exact observation supported by reviewed source: review_fl</x:v>
      </x:c>
      <x:c r="F73" s="4" t="str">
        <x:v>Bounded historical calculation; not complete financing capacity</x:v>
      </x:c>
      <x:c r="G73" s="4" t="str">
        <x:v>Supplementary disclosure; each bounded calculation independently requires verified dependencies. Original financing requirements remain active.</x:v>
      </x:c>
      <x:c r="H73" s="4" t="str">
        <x:v>Review exact pre-cutoff document, units and period.</x:v>
      </x:c>
    </x:row>
    <x:row r="74" ht="90" customHeight="1">
      <x:c r="A74" s="4" t="str">
        <x:v>detail.target.cost_classification</x:v>
      </x:c>
      <x:c r="B74" s="4" t="str">
        <x:v>{"revenue": 7988.0, "cost_of_sales": 5666.0, "sga": 1920.0, "separate_da": 202.0, "other_operating": 97.0, "operating_profit": 103.0, "merchandise_cost": 4674.0, "occupancy_buyers": 992.0}</x:v>
      </x:c>
      <x:c r="C74" s="4" t="str">
        <x:v>verified fact</x:v>
      </x:c>
      <x:c r="D74" s="13" t="b">
        <x:v>0</x:v>
      </x:c>
      <x:c r="E74" s="4" t="str">
        <x:v>Exact observation supported by reviewed source: cost_fl</x:v>
      </x:c>
      <x:c r="F74" s="4" t="str">
        <x:v>Bounded historical calculation; not complete financing capacity</x:v>
      </x:c>
      <x:c r="G74" s="4" t="str">
        <x:v>Supplementary disclosure; each bounded calculation independently requires verified dependencies. Original financing requirements remain active.</x:v>
      </x:c>
      <x:c r="H74" s="4" t="str">
        <x:v>Review exact pre-cutoff document, units and period.</x:v>
      </x:c>
    </x:row>
    <x:row r="75" ht="90" customHeight="1">
      <x:c r="A75" s="4" t="str">
        <x:v>detail.target.finance_lease</x:v>
      </x:c>
      <x:c r="B75" s="4" t="n">
        <x:v>50</x:v>
      </x:c>
      <x:c r="C75" s="4" t="str">
        <x:v>verified fact</x:v>
      </x:c>
      <x:c r="D75" s="13" t="b">
        <x:v>0</x:v>
      </x:c>
      <x:c r="E75" s="4" t="str">
        <x:v>Exact observation supported by reviewed source: review_fl</x:v>
      </x:c>
      <x:c r="F75" s="4" t="str">
        <x:v>Bounded historical calculation; not complete financing capacity</x:v>
      </x:c>
      <x:c r="G75" s="4" t="str">
        <x:v>Supplementary disclosure; each bounded calculation independently requires verified dependencies. Original financing requirements remain active.</x:v>
      </x:c>
      <x:c r="H75" s="4" t="str">
        <x:v>Review exact pre-cutoff document, units and period.</x:v>
      </x:c>
    </x:row>
    <x:row r="76" ht="90" customHeight="1">
      <x:c r="A76" s="4" t="str">
        <x:v>detail.target.finance_maturities</x:v>
      </x:c>
      <x:c r="B76" s="4" t="str">
        <x:v>{"annual_cash": [7.0, 6.0, 5.0, 4.0, 4.0], "thereafter_cash": 40.0, "total_cash": 66.0, "unearned_interest": 16.0, "liability": 50.0, "weighted_discount_rate": 0.044}</x:v>
      </x:c>
      <x:c r="C76" s="4" t="str">
        <x:v>verified fact</x:v>
      </x:c>
      <x:c r="D76" s="13" t="b">
        <x:v>0</x:v>
      </x:c>
      <x:c r="E76" s="4" t="str">
        <x:v>Exact observation supported by reviewed source: public_fl</x:v>
      </x:c>
      <x:c r="F76" s="4" t="str">
        <x:v>Bounded historical calculation; not complete financing capacity</x:v>
      </x:c>
      <x:c r="G76" s="4" t="str">
        <x:v>Supplementary disclosure; each bounded calculation independently requires verified dependencies. Original financing requirements remain active.</x:v>
      </x:c>
      <x:c r="H76" s="4" t="str">
        <x:v>Review exact pre-cutoff document, units and period.</x:v>
      </x:c>
    </x:row>
    <x:row r="77" ht="90" customHeight="1">
      <x:c r="A77" s="4" t="str">
        <x:v>detail.target.leases</x:v>
      </x:c>
      <x:c r="B77" s="4" t="str">
        <x:v>{"operating_cost": 643.0, "variable": 272.0, "short_term": 16.0, "fixed_cash": 723.0, "liability_ex_hfs": 2338.0, "hfs_liability": 5.0, "finance_cash": 8.0, "finance_interest": 2.0, "finance_opening": 52.0, "finance_additions": 4.0, "uncommenced_commitments": 41.0}</x:v>
      </x:c>
      <x:c r="C77" s="4" t="str">
        <x:v>verified fact</x:v>
      </x:c>
      <x:c r="D77" s="13" t="b">
        <x:v>0</x:v>
      </x:c>
      <x:c r="E77" s="4" t="str">
        <x:v>Exact observation supported by reviewed source: review_fl</x:v>
      </x:c>
      <x:c r="F77" s="4" t="str">
        <x:v>Bounded historical calculation; not complete financing capacity</x:v>
      </x:c>
      <x:c r="G77" s="4" t="str">
        <x:v>Supplementary disclosure; each bounded calculation independently requires verified dependencies. Original financing requirements remain active.</x:v>
      </x:c>
      <x:c r="H77" s="4" t="str">
        <x:v>Review exact pre-cutoff document, units and period.</x:v>
      </x:c>
    </x:row>
    <x:row r="78" ht="90" customHeight="1">
      <x:c r="A78" s="4" t="str">
        <x:v>detail.target.letters_of_credit</x:v>
      </x:c>
      <x:c r="B78" s="4" t="n">
        <x:v>7</x:v>
      </x:c>
      <x:c r="C78" s="4" t="str">
        <x:v>verified fact</x:v>
      </x:c>
      <x:c r="D78" s="13" t="b">
        <x:v>0</x:v>
      </x:c>
      <x:c r="E78" s="4" t="str">
        <x:v>Exact observation supported by reviewed source: public_fl</x:v>
      </x:c>
      <x:c r="F78" s="4" t="str">
        <x:v>Bounded historical calculation; not complete financing capacity</x:v>
      </x:c>
      <x:c r="G78" s="4" t="str">
        <x:v>Supplementary disclosure; each bounded calculation independently requires verified dependencies. Original financing requirements remain active.</x:v>
      </x:c>
      <x:c r="H78" s="4" t="str">
        <x:v>Review exact pre-cutoff document, units and period.</x:v>
      </x:c>
    </x:row>
    <x:row r="79" ht="90" customHeight="1">
      <x:c r="A79" s="4" t="str">
        <x:v>detail.target.notes_principal</x:v>
      </x:c>
      <x:c r="B79" s="4" t="n">
        <x:v>400</x:v>
      </x:c>
      <x:c r="C79" s="4" t="str">
        <x:v>verified fact</x:v>
      </x:c>
      <x:c r="D79" s="13" t="b">
        <x:v>0</x:v>
      </x:c>
      <x:c r="E79" s="4" t="str">
        <x:v>Exact observation supported by reviewed source: review_fl</x:v>
      </x:c>
      <x:c r="F79" s="4" t="str">
        <x:v>Bounded historical calculation; not complete financing capacity</x:v>
      </x:c>
      <x:c r="G79" s="4" t="str">
        <x:v>Supplementary disclosure; each bounded calculation independently requires verified dependencies. Original financing requirements remain active.</x:v>
      </x:c>
      <x:c r="H79" s="4" t="str">
        <x:v>Review exact pre-cutoff document, units and period.</x:v>
      </x:c>
    </x:row>
    <x:row r="80" ht="90" customHeight="1">
      <x:c r="A80" s="4" t="str">
        <x:v>detail.target.notes_terms</x:v>
      </x:c>
      <x:c r="B80" s="4" t="str">
        <x:v>{"coupon": 0.04, "maturity": "2029-10-01", "redemption_oct2024": 1.02, "redemption_oct2025": 1.01, "redemption_oct2026": 1.0, "coc_offer": 1.01, "trigger": "Change of control AND ratings event; not signing alone"}</x:v>
      </x:c>
      <x:c r="C80" s="4" t="str">
        <x:v>verified fact</x:v>
      </x:c>
      <x:c r="D80" s="13" t="b">
        <x:v>0</x:v>
      </x:c>
      <x:c r="E80" s="4" t="str">
        <x:v>Exact observation supported by reviewed source: fl_indent</x:v>
      </x:c>
      <x:c r="F80" s="4" t="str">
        <x:v>Bounded historical calculation; not complete financing capacity</x:v>
      </x:c>
      <x:c r="G80" s="4" t="str">
        <x:v>Supplementary disclosure; each bounded calculation independently requires verified dependencies. Original financing requirements remain active.</x:v>
      </x:c>
      <x:c r="H80" s="4" t="str">
        <x:v>Review exact pre-cutoff document, units and period.</x:v>
      </x:c>
    </x:row>
    <x:row r="81" ht="90" customHeight="1">
      <x:c r="A81" s="4" t="str">
        <x:v>detail.target.preliminary_q1</x:v>
      </x:c>
      <x:c r="B81" s="4" t="str">
        <x:v>{"comparable_sales_change": -0.026, "expected_net_loss": 363.0, "expected_non_gaap_net_loss": 6.0, "impairments": 276.0}</x:v>
      </x:c>
      <x:c r="C81" s="4" t="str">
        <x:v>verified fact</x:v>
      </x:c>
      <x:c r="D81" s="13" t="b">
        <x:v>0</x:v>
      </x:c>
      <x:c r="E81" s="4" t="str">
        <x:v>Exact observation supported by reviewed source: fl_prelim</x:v>
      </x:c>
      <x:c r="F81" s="4" t="str">
        <x:v>Bounded historical calculation; not complete financing capacity</x:v>
      </x:c>
      <x:c r="G81" s="4" t="str">
        <x:v>Supplementary disclosure; each bounded calculation independently requires verified dependencies. Original financing requirements remain active.</x:v>
      </x:c>
      <x:c r="H81" s="4" t="str">
        <x:v>Review exact pre-cutoff document, units and period.</x:v>
      </x:c>
    </x:row>
    <x:row r="82" ht="90" customHeight="1">
      <x:c r="A82" s="4" t="str">
        <x:v>detail.target.restricted_cash</x:v>
      </x:c>
      <x:c r="B82" s="4" t="str">
        <x:v>{"current": 4.0, "noncurrent": 25.0, "cash_flow_total": 430.0}</x:v>
      </x:c>
      <x:c r="C82" s="4" t="str">
        <x:v>verified fact</x:v>
      </x:c>
      <x:c r="D82" s="13" t="b">
        <x:v>0</x:v>
      </x:c>
      <x:c r="E82" s="4" t="str">
        <x:v>Exact observation supported by reviewed source: review_fl</x:v>
      </x:c>
      <x:c r="F82" s="4" t="str">
        <x:v>Bounded historical calculation; not complete financing capacity</x:v>
      </x:c>
      <x:c r="G82" s="4" t="str">
        <x:v>Supplementary disclosure; each bounded calculation independently requires verified dependencies. Original financing requirements remain active.</x:v>
      </x:c>
      <x:c r="H82" s="4" t="str">
        <x:v>Review exact pre-cutoff document, units and period.</x:v>
      </x:c>
    </x:row>
    <x:row r="83" ht="90" customHeight="1">
      <x:c r="A83" s="4" t="str">
        <x:v>detail.target.ytd_cash_flow</x:v>
      </x:c>
      <x:c r="B83" s="4" t="str">
        <x:v>{"cfo": 98.0, "capex": 185.0}</x:v>
      </x:c>
      <x:c r="C83" s="4" t="str">
        <x:v>verified fact</x:v>
      </x:c>
      <x:c r="D83" s="13" t="b">
        <x:v>0</x:v>
      </x:c>
      <x:c r="E83" s="4" t="str">
        <x:v>Exact observation supported by reviewed source: fl_q3</x:v>
      </x:c>
      <x:c r="F83" s="4" t="str">
        <x:v>Bounded historical calculation; not complete financing capacity</x:v>
      </x:c>
      <x:c r="G83" s="4" t="str">
        <x:v>Supplementary disclosure; each bounded calculation independently requires verified dependencies. Original financing requirements remain active.</x:v>
      </x:c>
      <x:c r="H83" s="4" t="str">
        <x:v>Review exact pre-cutoff document, units and period.</x:v>
      </x:c>
    </x:row>
    <x:row r="84" ht="90" customHeight="1">
      <x:c r="A84" s="4" t="str">
        <x:v>detail.target.ytd_wc_cash</x:v>
      </x:c>
      <x:c r="B84" s="4" t="str">
        <x:v>{"inventory": -243.0, "payables": 137.0}</x:v>
      </x:c>
      <x:c r="C84" s="4" t="str">
        <x:v>verified fact</x:v>
      </x:c>
      <x:c r="D84" s="13" t="b">
        <x:v>0</x:v>
      </x:c>
      <x:c r="E84" s="4" t="str">
        <x:v>Exact observation supported by reviewed source: wc_fl</x:v>
      </x:c>
      <x:c r="F84" s="4" t="str">
        <x:v>Bounded historical calculation; not complete financing capacity</x:v>
      </x:c>
      <x:c r="G84" s="4" t="str">
        <x:v>Supplementary disclosure; each bounded calculation independently requires verified dependencies. Original financing requirements remain active.</x:v>
      </x:c>
      <x:c r="H84" s="4" t="str">
        <x:v>Review exact pre-cutoff document, units and period.</x:v>
      </x:c>
    </x:row>
    <x:row r="85" ht="90" customHeight="1">
      <x:c r="A85" s="4" t="str">
        <x:v>detail.transaction.capitalization</x:v>
      </x:c>
      <x:c r="B85" s="4" t="str">
        <x:v>{"target_common": 95560582, "target_treasury_excluded": 312977, "options": 1731169, "weighted_option_strike": 48.12, "rsus": 2635903, "psus_target": 1443467, "psus_max": 2749910, "dsus": 177680.622, "acquirer_common": 56475378, "acquirer_class_b": 23570633}</x:v>
      </x:c>
      <x:c r="C85" s="4" t="str">
        <x:v>verified fact</x:v>
      </x:c>
      <x:c r="D85" s="13" t="b">
        <x:v>0</x:v>
      </x:c>
      <x:c r="E85" s="4" t="str">
        <x:v>Exact observation supported by reviewed source: merger</x:v>
      </x:c>
      <x:c r="F85" s="4" t="str">
        <x:v>Bounded historical calculation; not complete financing capacity</x:v>
      </x:c>
      <x:c r="G85" s="4" t="str">
        <x:v>Supplementary disclosure; each bounded calculation independently requires verified dependencies. Original financing requirements remain active.</x:v>
      </x:c>
      <x:c r="H85" s="4" t="str">
        <x:v>Review exact pre-cutoff document, units and period.</x:v>
      </x:c>
    </x:row>
    <x:row r="86" ht="90" customHeight="1">
      <x:c r="A86" s="4" t="str">
        <x:v>detail.transaction.debt_treatment</x:v>
      </x:c>
      <x:c r="B86" s="4" t="str">
        <x:v>{"target_abl": "Terminate commitments, repay obligations and release liens at effective time; parent funds required", "notes": "Offers, consent solicitations, redemption or assumption routes; future outcome not established", "award_rule": "ITM options and DSUs cash; employee RSUs/PSUs adjusted parent awards; director RSUs cash"}</x:v>
      </x:c>
      <x:c r="C86" s="4" t="str">
        <x:v>verified fact</x:v>
      </x:c>
      <x:c r="D86" s="13" t="b">
        <x:v>0</x:v>
      </x:c>
      <x:c r="E86" s="4" t="str">
        <x:v>Exact observation supported by reviewed source: merger</x:v>
      </x:c>
      <x:c r="F86" s="4" t="str">
        <x:v>Bounded historical calculation; not complete financing capacity</x:v>
      </x:c>
      <x:c r="G86" s="4" t="str">
        <x:v>Supplementary disclosure; each bounded calculation independently requires verified dependencies. Original financing requirements remain active.</x:v>
      </x:c>
      <x:c r="H86" s="4" t="str">
        <x:v>Review exact pre-cutoff document, units and period.</x:v>
      </x:c>
    </x:row>
    <x:row r="87" ht="90" customHeight="1">
      <x:c r="A87" s="4" t="str">
        <x:v>target.FY2022.capex</x:v>
      </x:c>
      <x:c r="B87" s="4" t="n">
        <x:v>285</x:v>
      </x:c>
      <x:c r="C87" s="4" t="str">
        <x:v>verified fact</x:v>
      </x:c>
      <x:c r="D87" s="13" t="b">
        <x:v>0</x:v>
      </x:c>
      <x:c r="E87" s="4" t="str">
        <x:v>Exact observation supported by reviewed source: fl10k</x:v>
      </x:c>
      <x:c r="F87" s="4" t="str">
        <x:v>Operating forecast, EBITDA, working capital and debt-service cash flow</x:v>
      </x:c>
      <x:c r="G87" s="4" t="str">
        <x:v>Prior-year trend/reconciliation context. Blocks only when historical trend calibration is used; explicit forecast growth does not consume it.</x:v>
      </x:c>
      <x:c r="H87" s="4" t="str">
        <x:v>Review original pre-cutoff fiscal accounts; record exact fiscal dates, units and reconciliation.</x:v>
      </x:c>
    </x:row>
    <x:row r="88" ht="90" customHeight="1">
      <x:c r="A88" s="4" t="str">
        <x:v>target.FY2022.depreciation_amortisation</x:v>
      </x:c>
      <x:c r="B88" s="4" t="n">
        <x:v>208</x:v>
      </x:c>
      <x:c r="C88" s="4" t="str">
        <x:v>verified fact</x:v>
      </x:c>
      <x:c r="D88" s="13" t="b">
        <x:v>0</x:v>
      </x:c>
      <x:c r="E88" s="4" t="str">
        <x:v>Exact observation supported by reviewed source: fl10k</x:v>
      </x:c>
      <x:c r="F88" s="4" t="str">
        <x:v>Operating forecast, EBITDA, working capital and debt-service cash flow</x:v>
      </x:c>
      <x:c r="G88" s="4" t="str">
        <x:v>Prior-year trend/reconciliation context. Blocks only when historical trend calibration is used; explicit forecast growth does not consume it.</x:v>
      </x:c>
      <x:c r="H88" s="4" t="str">
        <x:v>Review original pre-cutoff fiscal accounts; record exact fiscal dates, units and reconciliation.</x:v>
      </x:c>
    </x:row>
    <x:row r="89" ht="90" customHeight="1">
      <x:c r="A89" s="4" t="str">
        <x:v>target.FY2022.dividends_buybacks_commitments</x:v>
      </x:c>
      <x:c r="B89" s="4"/>
      <x:c r="C89" s="4" t="str">
        <x:v>missing evidence</x:v>
      </x:c>
      <x:c r="D89" s="13" t="b">
        <x:v>0</x:v>
      </x:c>
      <x:c r="E89" s="4" t="str">
        <x:v>Required observation absent</x:v>
      </x:c>
      <x:c r="F89" s="4" t="str">
        <x:v>Operating forecast, EBITDA, working capital and debt-service cash flow</x:v>
      </x:c>
      <x:c r="G89" s="4" t="str">
        <x:v>Prior-year trend/reconciliation context. Blocks only when historical trend calibration is used; explicit forecast growth does not consume it.</x:v>
      </x:c>
      <x:c r="H89" s="4" t="str">
        <x:v>Review original pre-cutoff fiscal accounts; record exact fiscal dates, units and reconciliation.</x:v>
      </x:c>
    </x:row>
    <x:row r="90" ht="90" customHeight="1">
      <x:c r="A90" s="4" t="str">
        <x:v>target.FY2022.ebitda_reconciliation</x:v>
      </x:c>
      <x:c r="B90" s="4"/>
      <x:c r="C90" s="4" t="str">
        <x:v>missing evidence</x:v>
      </x:c>
      <x:c r="D90" s="13" t="b">
        <x:v>0</x:v>
      </x:c>
      <x:c r="E90" s="4" t="str">
        <x:v>Required observation absent</x:v>
      </x:c>
      <x:c r="F90" s="4" t="str">
        <x:v>Operating forecast, EBITDA, working capital and debt-service cash flow</x:v>
      </x:c>
      <x:c r="G90" s="4" t="str">
        <x:v>Prior-year trend/reconciliation context. Blocks only when historical trend calibration is used; explicit forecast growth does not consume it.</x:v>
      </x:c>
      <x:c r="H90" s="4" t="str">
        <x:v>Review original pre-cutoff fiscal accounts; record exact fiscal dates, units and reconciliation.</x:v>
      </x:c>
    </x:row>
    <x:row r="91" ht="90" customHeight="1">
      <x:c r="A91" s="4" t="str">
        <x:v>target.FY2022.inventory</x:v>
      </x:c>
      <x:c r="B91" s="4"/>
      <x:c r="C91" s="4" t="str">
        <x:v>missing evidence</x:v>
      </x:c>
      <x:c r="D91" s="13" t="b">
        <x:v>0</x:v>
      </x:c>
      <x:c r="E91" s="4" t="str">
        <x:v>Required observation absent</x:v>
      </x:c>
      <x:c r="F91" s="4" t="str">
        <x:v>Operating forecast, EBITDA, working capital and debt-service cash flow</x:v>
      </x:c>
      <x:c r="G91" s="4" t="str">
        <x:v>Prior-year trend/reconciliation context. Blocks only when historical trend calibration is used; explicit forecast growth does not consume it.</x:v>
      </x:c>
      <x:c r="H91" s="4" t="str">
        <x:v>Review original pre-cutoff fiscal accounts; record exact fiscal dates, units and reconciliation.</x:v>
      </x:c>
    </x:row>
    <x:row r="92" ht="90" customHeight="1">
      <x:c r="A92" s="4" t="str">
        <x:v>target.FY2022.lease_reconciliation</x:v>
      </x:c>
      <x:c r="B92" s="4"/>
      <x:c r="C92" s="4" t="str">
        <x:v>missing evidence</x:v>
      </x:c>
      <x:c r="D92" s="13" t="b">
        <x:v>0</x:v>
      </x:c>
      <x:c r="E92" s="4" t="str">
        <x:v>Required observation absent</x:v>
      </x:c>
      <x:c r="F92" s="4" t="str">
        <x:v>Operating forecast, EBITDA, working capital and debt-service cash flow</x:v>
      </x:c>
      <x:c r="G92" s="4" t="str">
        <x:v>Prior-year trend/reconciliation context. Blocks only when historical trend calibration is used; explicit forecast growth does not consume it.</x:v>
      </x:c>
      <x:c r="H92" s="4" t="str">
        <x:v>Review original pre-cutoff fiscal accounts; record exact fiscal dates, units and reconciliation.</x:v>
      </x:c>
    </x:row>
    <x:row r="93" ht="90" customHeight="1">
      <x:c r="A93" s="4" t="str">
        <x:v>target.FY2022.operating_cash_flow</x:v>
      </x:c>
      <x:c r="B93" s="4" t="n">
        <x:v>173</x:v>
      </x:c>
      <x:c r="C93" s="4" t="str">
        <x:v>verified fact</x:v>
      </x:c>
      <x:c r="D93" s="13" t="b">
        <x:v>0</x:v>
      </x:c>
      <x:c r="E93" s="4" t="str">
        <x:v>Exact observation supported by reviewed source: fl10k</x:v>
      </x:c>
      <x:c r="F93" s="4" t="str">
        <x:v>Operating forecast, EBITDA, working capital and debt-service cash flow</x:v>
      </x:c>
      <x:c r="G93" s="4" t="str">
        <x:v>Prior-year trend/reconciliation context. Blocks only when historical trend calibration is used; explicit forecast growth does not consume it.</x:v>
      </x:c>
      <x:c r="H93" s="4" t="str">
        <x:v>Review original pre-cutoff fiscal accounts; record exact fiscal dates, units and reconciliation.</x:v>
      </x:c>
    </x:row>
    <x:row r="94" ht="90" customHeight="1">
      <x:c r="A94" s="4" t="str">
        <x:v>target.FY2022.operating_profit</x:v>
      </x:c>
      <x:c r="B94" s="4" t="n">
        <x:v>581</x:v>
      </x:c>
      <x:c r="C94" s="4" t="str">
        <x:v>verified fact</x:v>
      </x:c>
      <x:c r="D94" s="13" t="b">
        <x:v>0</x:v>
      </x:c>
      <x:c r="E94" s="4" t="str">
        <x:v>Exact observation supported by reviewed source: fl10k</x:v>
      </x:c>
      <x:c r="F94" s="4" t="str">
        <x:v>Operating forecast, EBITDA, working capital and debt-service cash flow</x:v>
      </x:c>
      <x:c r="G94" s="4" t="str">
        <x:v>Prior-year trend/reconciliation context. Blocks only when historical trend calibration is used; explicit forecast growth does not consume it.</x:v>
      </x:c>
      <x:c r="H94" s="4" t="str">
        <x:v>Review original pre-cutoff fiscal accounts; record exact fiscal dates, units and reconciliation.</x:v>
      </x:c>
    </x:row>
    <x:row r="95" ht="90" customHeight="1">
      <x:c r="A95" s="4" t="str">
        <x:v>target.FY2022.payables</x:v>
      </x:c>
      <x:c r="B95" s="4"/>
      <x:c r="C95" s="4" t="str">
        <x:v>missing evidence</x:v>
      </x:c>
      <x:c r="D95" s="13" t="b">
        <x:v>0</x:v>
      </x:c>
      <x:c r="E95" s="4" t="str">
        <x:v>Required observation absent</x:v>
      </x:c>
      <x:c r="F95" s="4" t="str">
        <x:v>Operating forecast, EBITDA, working capital and debt-service cash flow</x:v>
      </x:c>
      <x:c r="G95" s="4" t="str">
        <x:v>Prior-year trend/reconciliation context. Blocks only when historical trend calibration is used; explicit forecast growth does not consume it.</x:v>
      </x:c>
      <x:c r="H95" s="4" t="str">
        <x:v>Review original pre-cutoff fiscal accounts; record exact fiscal dates, units and reconciliation.</x:v>
      </x:c>
    </x:row>
    <x:row r="96" ht="90" customHeight="1">
      <x:c r="A96" s="4" t="str">
        <x:v>target.FY2022.receivables</x:v>
      </x:c>
      <x:c r="B96" s="4"/>
      <x:c r="C96" s="4" t="str">
        <x:v>missing evidence</x:v>
      </x:c>
      <x:c r="D96" s="13" t="b">
        <x:v>0</x:v>
      </x:c>
      <x:c r="E96" s="4" t="str">
        <x:v>Required observation absent</x:v>
      </x:c>
      <x:c r="F96" s="4" t="str">
        <x:v>Operating forecast, EBITDA, working capital and debt-service cash flow</x:v>
      </x:c>
      <x:c r="G96" s="4" t="str">
        <x:v>Prior-year trend/reconciliation context. Blocks only when historical trend calibration is used; explicit forecast growth does not consume it.</x:v>
      </x:c>
      <x:c r="H96" s="4" t="str">
        <x:v>Review original pre-cutoff fiscal accounts; record exact fiscal dates, units and reconciliation.</x:v>
      </x:c>
    </x:row>
    <x:row r="97" ht="90" customHeight="1">
      <x:c r="A97" s="4" t="str">
        <x:v>target.FY2022.revenue</x:v>
      </x:c>
      <x:c r="B97" s="4" t="n">
        <x:v>8759</x:v>
      </x:c>
      <x:c r="C97" s="4" t="str">
        <x:v>verified fact</x:v>
      </x:c>
      <x:c r="D97" s="13" t="b">
        <x:v>0</x:v>
      </x:c>
      <x:c r="E97" s="4" t="str">
        <x:v>Exact observation supported by reviewed source: fl10k</x:v>
      </x:c>
      <x:c r="F97" s="4" t="str">
        <x:v>Operating forecast, EBITDA, working capital and debt-service cash flow</x:v>
      </x:c>
      <x:c r="G97" s="4" t="str">
        <x:v>Prior-year trend/reconciliation context. Blocks only when historical trend calibration is used; explicit forecast growth does not consume it.</x:v>
      </x:c>
      <x:c r="H97" s="4" t="str">
        <x:v>Review original pre-cutoff fiscal accounts; record exact fiscal dates, units and reconciliation.</x:v>
      </x:c>
    </x:row>
    <x:row r="98" ht="90" customHeight="1">
      <x:c r="A98" s="4" t="str">
        <x:v>target.FY2022.taxes</x:v>
      </x:c>
      <x:c r="B98" s="4" t="n">
        <x:v>153</x:v>
      </x:c>
      <x:c r="C98" s="4" t="str">
        <x:v>verified fact</x:v>
      </x:c>
      <x:c r="D98" s="13" t="b">
        <x:v>0</x:v>
      </x:c>
      <x:c r="E98" s="4" t="str">
        <x:v>Exact observation supported by reviewed source: fl10k</x:v>
      </x:c>
      <x:c r="F98" s="4" t="str">
        <x:v>Operating forecast, EBITDA, working capital and debt-service cash flow</x:v>
      </x:c>
      <x:c r="G98" s="4" t="str">
        <x:v>Prior-year trend/reconciliation context. Blocks only when historical trend calibration is used; explicit forecast growth does not consume it.</x:v>
      </x:c>
      <x:c r="H98" s="4" t="str">
        <x:v>Review original pre-cutoff fiscal accounts; record exact fiscal dates, units and reconciliation.</x:v>
      </x:c>
    </x:row>
    <x:row r="99" ht="90" customHeight="1">
      <x:c r="A99" s="4" t="str">
        <x:v>target.FY2023.capex</x:v>
      </x:c>
      <x:c r="B99" s="4" t="n">
        <x:v>242</x:v>
      </x:c>
      <x:c r="C99" s="4" t="str">
        <x:v>verified fact</x:v>
      </x:c>
      <x:c r="D99" s="13" t="b">
        <x:v>0</x:v>
      </x:c>
      <x:c r="E99" s="4" t="str">
        <x:v>Exact observation supported by reviewed source: fl10k</x:v>
      </x:c>
      <x:c r="F99" s="4" t="str">
        <x:v>Operating forecast, EBITDA, working capital and debt-service cash flow</x:v>
      </x:c>
      <x:c r="G99" s="4" t="str">
        <x:v>Prior-year trend/reconciliation context. Blocks only when historical trend calibration is used; explicit forecast growth does not consume it.</x:v>
      </x:c>
      <x:c r="H99" s="4" t="str">
        <x:v>Review original pre-cutoff fiscal accounts; record exact fiscal dates, units and reconciliation.</x:v>
      </x:c>
    </x:row>
    <x:row r="100" ht="90" customHeight="1">
      <x:c r="A100" s="4" t="str">
        <x:v>target.FY2023.depreciation_amortisation</x:v>
      </x:c>
      <x:c r="B100" s="4" t="n">
        <x:v>199</x:v>
      </x:c>
      <x:c r="C100" s="4" t="str">
        <x:v>verified fact</x:v>
      </x:c>
      <x:c r="D100" s="13" t="b">
        <x:v>0</x:v>
      </x:c>
      <x:c r="E100" s="4" t="str">
        <x:v>Exact observation supported by reviewed source: fl10k</x:v>
      </x:c>
      <x:c r="F100" s="4" t="str">
        <x:v>Operating forecast, EBITDA, working capital and debt-service cash flow</x:v>
      </x:c>
      <x:c r="G100" s="4" t="str">
        <x:v>Prior-year trend/reconciliation context. Blocks only when historical trend calibration is used; explicit forecast growth does not consume it.</x:v>
      </x:c>
      <x:c r="H100" s="4" t="str">
        <x:v>Review original pre-cutoff fiscal accounts; record exact fiscal dates, units and reconciliation.</x:v>
      </x:c>
    </x:row>
    <x:row r="101" ht="90" customHeight="1">
      <x:c r="A101" s="4" t="str">
        <x:v>target.FY2023.dividends_buybacks_commitments</x:v>
      </x:c>
      <x:c r="B101" s="4"/>
      <x:c r="C101" s="4" t="str">
        <x:v>missing evidence</x:v>
      </x:c>
      <x:c r="D101" s="13" t="b">
        <x:v>0</x:v>
      </x:c>
      <x:c r="E101" s="4" t="str">
        <x:v>Required observation absent</x:v>
      </x:c>
      <x:c r="F101" s="4" t="str">
        <x:v>Operating forecast, EBITDA, working capital and debt-service cash flow</x:v>
      </x:c>
      <x:c r="G101" s="4" t="str">
        <x:v>Prior-year trend/reconciliation context. Blocks only when historical trend calibration is used; explicit forecast growth does not consume it.</x:v>
      </x:c>
      <x:c r="H101" s="4" t="str">
        <x:v>Review original pre-cutoff fiscal accounts; record exact fiscal dates, units and reconciliation.</x:v>
      </x:c>
    </x:row>
    <x:row r="102" ht="90" customHeight="1">
      <x:c r="A102" s="4" t="str">
        <x:v>target.FY2023.ebitda_reconciliation</x:v>
      </x:c>
      <x:c r="B102" s="4"/>
      <x:c r="C102" s="4" t="str">
        <x:v>missing evidence</x:v>
      </x:c>
      <x:c r="D102" s="13" t="b">
        <x:v>0</x:v>
      </x:c>
      <x:c r="E102" s="4" t="str">
        <x:v>Required observation absent</x:v>
      </x:c>
      <x:c r="F102" s="4" t="str">
        <x:v>Operating forecast, EBITDA, working capital and debt-service cash flow</x:v>
      </x:c>
      <x:c r="G102" s="4" t="str">
        <x:v>Prior-year trend/reconciliation context. Blocks only when historical trend calibration is used; explicit forecast growth does not consume it.</x:v>
      </x:c>
      <x:c r="H102" s="4" t="str">
        <x:v>Review original pre-cutoff fiscal accounts; record exact fiscal dates, units and reconciliation.</x:v>
      </x:c>
    </x:row>
    <x:row r="103" ht="90" customHeight="1">
      <x:c r="A103" s="4" t="str">
        <x:v>target.FY2023.inventory</x:v>
      </x:c>
      <x:c r="B103" s="4" t="n">
        <x:v>1509</x:v>
      </x:c>
      <x:c r="C103" s="4" t="str">
        <x:v>verified fact</x:v>
      </x:c>
      <x:c r="D103" s="13" t="b">
        <x:v>0</x:v>
      </x:c>
      <x:c r="E103" s="4" t="str">
        <x:v>Exact observation supported by reviewed source: fl10k</x:v>
      </x:c>
      <x:c r="F103" s="4" t="str">
        <x:v>Operating forecast, EBITDA, working capital and debt-service cash flow</x:v>
      </x:c>
      <x:c r="G103" s="4" t="str">
        <x:v>Prior-year trend/reconciliation context. Blocks only when historical trend calibration is used; explicit forecast growth does not consume it.</x:v>
      </x:c>
      <x:c r="H103" s="4" t="str">
        <x:v>Review original pre-cutoff fiscal accounts; record exact fiscal dates, units and reconciliation.</x:v>
      </x:c>
    </x:row>
    <x:row r="104" ht="90" customHeight="1">
      <x:c r="A104" s="4" t="str">
        <x:v>target.FY2023.lease_reconciliation</x:v>
      </x:c>
      <x:c r="B104" s="4"/>
      <x:c r="C104" s="4" t="str">
        <x:v>missing evidence</x:v>
      </x:c>
      <x:c r="D104" s="13" t="b">
        <x:v>0</x:v>
      </x:c>
      <x:c r="E104" s="4" t="str">
        <x:v>Required observation absent</x:v>
      </x:c>
      <x:c r="F104" s="4" t="str">
        <x:v>Operating forecast, EBITDA, working capital and debt-service cash flow</x:v>
      </x:c>
      <x:c r="G104" s="4" t="str">
        <x:v>Prior-year trend/reconciliation context. Blocks only when historical trend calibration is used; explicit forecast growth does not consume it.</x:v>
      </x:c>
      <x:c r="H104" s="4" t="str">
        <x:v>Review original pre-cutoff fiscal accounts; record exact fiscal dates, units and reconciliation.</x:v>
      </x:c>
    </x:row>
    <x:row r="105" ht="90" customHeight="1">
      <x:c r="A105" s="4" t="str">
        <x:v>target.FY2023.operating_cash_flow</x:v>
      </x:c>
      <x:c r="B105" s="4" t="n">
        <x:v>91</x:v>
      </x:c>
      <x:c r="C105" s="4" t="str">
        <x:v>verified fact</x:v>
      </x:c>
      <x:c r="D105" s="13" t="b">
        <x:v>0</x:v>
      </x:c>
      <x:c r="E105" s="4" t="str">
        <x:v>Exact observation supported by reviewed source: fl10k</x:v>
      </x:c>
      <x:c r="F105" s="4" t="str">
        <x:v>Operating forecast, EBITDA, working capital and debt-service cash flow</x:v>
      </x:c>
      <x:c r="G105" s="4" t="str">
        <x:v>Prior-year trend/reconciliation context. Blocks only when historical trend calibration is used; explicit forecast growth does not consume it.</x:v>
      </x:c>
      <x:c r="H105" s="4" t="str">
        <x:v>Review original pre-cutoff fiscal accounts; record exact fiscal dates, units and reconciliation.</x:v>
      </x:c>
    </x:row>
    <x:row r="106" ht="90" customHeight="1">
      <x:c r="A106" s="4" t="str">
        <x:v>target.FY2023.operating_profit</x:v>
      </x:c>
      <x:c r="B106" s="4" t="n">
        <x:v>142</x:v>
      </x:c>
      <x:c r="C106" s="4" t="str">
        <x:v>verified fact</x:v>
      </x:c>
      <x:c r="D106" s="13" t="b">
        <x:v>0</x:v>
      </x:c>
      <x:c r="E106" s="4" t="str">
        <x:v>Exact observation supported by reviewed source: fl10k</x:v>
      </x:c>
      <x:c r="F106" s="4" t="str">
        <x:v>Operating forecast, EBITDA, working capital and debt-service cash flow</x:v>
      </x:c>
      <x:c r="G106" s="4" t="str">
        <x:v>Prior-year trend/reconciliation context. Blocks only when historical trend calibration is used; explicit forecast growth does not consume it.</x:v>
      </x:c>
      <x:c r="H106" s="4" t="str">
        <x:v>Review original pre-cutoff fiscal accounts; record exact fiscal dates, units and reconciliation.</x:v>
      </x:c>
    </x:row>
    <x:row r="107" ht="90" customHeight="1">
      <x:c r="A107" s="4" t="str">
        <x:v>target.FY2023.payables</x:v>
      </x:c>
      <x:c r="B107" s="4" t="n">
        <x:v>366</x:v>
      </x:c>
      <x:c r="C107" s="4" t="str">
        <x:v>verified fact</x:v>
      </x:c>
      <x:c r="D107" s="13" t="b">
        <x:v>0</x:v>
      </x:c>
      <x:c r="E107" s="4" t="str">
        <x:v>Exact observation supported by reviewed source: fl10k</x:v>
      </x:c>
      <x:c r="F107" s="4" t="str">
        <x:v>Operating forecast, EBITDA, working capital and debt-service cash flow</x:v>
      </x:c>
      <x:c r="G107" s="4" t="str">
        <x:v>Prior-year trend/reconciliation context. Blocks only when historical trend calibration is used; explicit forecast growth does not consume it.</x:v>
      </x:c>
      <x:c r="H107" s="4" t="str">
        <x:v>Review original pre-cutoff fiscal accounts; record exact fiscal dates, units and reconciliation.</x:v>
      </x:c>
    </x:row>
    <x:row r="108" ht="90" customHeight="1">
      <x:c r="A108" s="4" t="str">
        <x:v>target.FY2023.receivables</x:v>
      </x:c>
      <x:c r="B108" s="4" t="n">
        <x:v>160</x:v>
      </x:c>
      <x:c r="C108" s="4" t="str">
        <x:v>verified fact</x:v>
      </x:c>
      <x:c r="D108" s="13" t="b">
        <x:v>0</x:v>
      </x:c>
      <x:c r="E108" s="4" t="str">
        <x:v>Exact observation supported by reviewed source: review_fl</x:v>
      </x:c>
      <x:c r="F108" s="4" t="str">
        <x:v>Operating forecast, EBITDA, working capital and debt-service cash flow</x:v>
      </x:c>
      <x:c r="G108" s="4" t="str">
        <x:v>Prior-year trend/reconciliation context. Blocks only when historical trend calibration is used; explicit forecast growth does not consume it.</x:v>
      </x:c>
      <x:c r="H108" s="4" t="str">
        <x:v>Review original pre-cutoff fiscal accounts; record exact fiscal dates, units and reconciliation.</x:v>
      </x:c>
    </x:row>
    <x:row r="109" ht="90" customHeight="1">
      <x:c r="A109" s="4" t="str">
        <x:v>target.FY2023.revenue</x:v>
      </x:c>
      <x:c r="B109" s="4" t="n">
        <x:v>8168</x:v>
      </x:c>
      <x:c r="C109" s="4" t="str">
        <x:v>verified fact</x:v>
      </x:c>
      <x:c r="D109" s="13" t="b">
        <x:v>0</x:v>
      </x:c>
      <x:c r="E109" s="4" t="str">
        <x:v>Exact observation supported by reviewed source: fl10k</x:v>
      </x:c>
      <x:c r="F109" s="4" t="str">
        <x:v>Operating forecast, EBITDA, working capital and debt-service cash flow</x:v>
      </x:c>
      <x:c r="G109" s="4" t="str">
        <x:v>Prior-year trend/reconciliation context. Blocks only when historical trend calibration is used; explicit forecast growth does not consume it.</x:v>
      </x:c>
      <x:c r="H109" s="4" t="str">
        <x:v>Review original pre-cutoff fiscal accounts; record exact fiscal dates, units and reconciliation.</x:v>
      </x:c>
    </x:row>
    <x:row r="110" ht="90" customHeight="1">
      <x:c r="A110" s="4" t="str">
        <x:v>target.FY2023.taxes</x:v>
      </x:c>
      <x:c r="B110" s="4" t="n">
        <x:v>97</x:v>
      </x:c>
      <x:c r="C110" s="4" t="str">
        <x:v>verified fact</x:v>
      </x:c>
      <x:c r="D110" s="13" t="b">
        <x:v>0</x:v>
      </x:c>
      <x:c r="E110" s="4" t="str">
        <x:v>Exact observation supported by reviewed source: fl10k</x:v>
      </x:c>
      <x:c r="F110" s="4" t="str">
        <x:v>Operating forecast, EBITDA, working capital and debt-service cash flow</x:v>
      </x:c>
      <x:c r="G110" s="4" t="str">
        <x:v>Prior-year trend/reconciliation context. Blocks only when historical trend calibration is used; explicit forecast growth does not consume it.</x:v>
      </x:c>
      <x:c r="H110" s="4" t="str">
        <x:v>Review original pre-cutoff fiscal accounts; record exact fiscal dates, units and reconciliation.</x:v>
      </x:c>
    </x:row>
    <x:row r="111" ht="90" customHeight="1">
      <x:c r="A111" s="4" t="str">
        <x:v>target.FY2024.capex</x:v>
      </x:c>
      <x:c r="B111" s="4" t="n">
        <x:v>240</x:v>
      </x:c>
      <x:c r="C111" s="4" t="str">
        <x:v>verified fact</x:v>
      </x:c>
      <x:c r="D111" s="13" t="b">
        <x:v>1</x:v>
      </x:c>
      <x:c r="E111" s="4" t="str">
        <x:v>Exact observation supported by reviewed source: fl10k</x:v>
      </x:c>
      <x:c r="F111" s="4" t="str">
        <x:v>Operating forecast, EBITDA, working capital and debt-service cash flow</x:v>
      </x:c>
      <x:c r="G111" s="4" t="str">
        <x:v>Latest standalone operating base drives forecast EBITDA, cash taxes, working capital and cash available for debt service.</x:v>
      </x:c>
      <x:c r="H111" s="4" t="str">
        <x:v>Review original pre-cutoff fiscal accounts; record exact fiscal dates, units and reconciliation.</x:v>
      </x:c>
    </x:row>
    <x:row r="112" ht="90" customHeight="1">
      <x:c r="A112" s="4" t="str">
        <x:v>target.FY2024.depreciation_amortisation</x:v>
      </x:c>
      <x:c r="B112" s="4" t="n">
        <x:v>202</x:v>
      </x:c>
      <x:c r="C112" s="4" t="str">
        <x:v>verified fact</x:v>
      </x:c>
      <x:c r="D112" s="13" t="b">
        <x:v>1</x:v>
      </x:c>
      <x:c r="E112" s="4" t="str">
        <x:v>Exact observation supported by reviewed source: fl10k</x:v>
      </x:c>
      <x:c r="F112" s="4" t="str">
        <x:v>Operating forecast, EBITDA, working capital and debt-service cash flow</x:v>
      </x:c>
      <x:c r="G112" s="4" t="str">
        <x:v>Latest standalone operating base drives forecast EBITDA, cash taxes, working capital and cash available for debt service.</x:v>
      </x:c>
      <x:c r="H112" s="4" t="str">
        <x:v>Review original pre-cutoff fiscal accounts; record exact fiscal dates, units and reconciliation.</x:v>
      </x:c>
    </x:row>
    <x:row r="113" ht="90" customHeight="1">
      <x:c r="A113" s="4" t="str">
        <x:v>target.FY2024.dividends_buybacks_commitments</x:v>
      </x:c>
      <x:c r="B113" s="4"/>
      <x:c r="C113" s="4" t="str">
        <x:v>missing evidence</x:v>
      </x:c>
      <x:c r="D113" s="13" t="b">
        <x:v>1</x:v>
      </x:c>
      <x:c r="E113" s="4" t="str">
        <x:v>Required observation absent</x:v>
      </x:c>
      <x:c r="F113" s="4" t="str">
        <x:v>Operating forecast, EBITDA, working capital and debt-service cash flow</x:v>
      </x:c>
      <x:c r="G113" s="4" t="str">
        <x:v>Contractual capital commitments can compete with debt service; discretionary future distributions are separate explicit assumptions.</x:v>
      </x:c>
      <x:c r="H113" s="4" t="str">
        <x:v>Review original pre-cutoff fiscal accounts; record exact fiscal dates, units and reconciliation.</x:v>
      </x:c>
    </x:row>
    <x:row r="114" ht="90" customHeight="1">
      <x:c r="A114" s="4" t="str">
        <x:v>target.FY2024.ebitda_reconciliation</x:v>
      </x:c>
      <x:c r="B114" s="4" t="n">
        <x:v>305</x:v>
      </x:c>
      <x:c r="C114" s="4" t="str">
        <x:v>verified fact</x:v>
      </x:c>
      <x:c r="D114" s="13" t="b">
        <x:v>1</x:v>
      </x:c>
      <x:c r="E114" s="4" t="str">
        <x:v>Derived from verified inputs: target.FY2024.operating_profit + target.FY2024.depreciation_amortisation. Simple operating EBITDA; not adjusted EBITDA or contractual EBITDAR.</x:v>
      </x:c>
      <x:c r="F114" s="4" t="str">
        <x:v>Operating forecast, EBITDA, working capital and debt-service cash flow</x:v>
      </x:c>
      <x:c r="G114" s="4" t="str">
        <x:v>Latest standalone operating base drives forecast EBITDA, cash taxes, working capital and cash available for debt service.</x:v>
      </x:c>
      <x:c r="H114" s="4" t="str">
        <x:v>Review original pre-cutoff fiscal accounts; record exact fiscal dates, units and reconciliation.</x:v>
      </x:c>
    </x:row>
    <x:row r="115" ht="90" customHeight="1">
      <x:c r="A115" s="4" t="str">
        <x:v>target.FY2024.inventory</x:v>
      </x:c>
      <x:c r="B115" s="4" t="n">
        <x:v>1525</x:v>
      </x:c>
      <x:c r="C115" s="4" t="str">
        <x:v>verified fact</x:v>
      </x:c>
      <x:c r="D115" s="13" t="b">
        <x:v>1</x:v>
      </x:c>
      <x:c r="E115" s="4" t="str">
        <x:v>Exact observation supported by reviewed source: fl10k</x:v>
      </x:c>
      <x:c r="F115" s="4" t="str">
        <x:v>Operating forecast, EBITDA, working capital and debt-service cash flow</x:v>
      </x:c>
      <x:c r="G115" s="4" t="str">
        <x:v>Latest standalone operating base drives forecast EBITDA, cash taxes, working capital and cash available for debt service.</x:v>
      </x:c>
      <x:c r="H115" s="4" t="str">
        <x:v>Review original pre-cutoff fiscal accounts; record exact fiscal dates, units and reconciliation.</x:v>
      </x:c>
    </x:row>
    <x:row r="116" ht="90" customHeight="1">
      <x:c r="A116" s="4" t="str">
        <x:v>target.FY2024.lease_reconciliation</x:v>
      </x:c>
      <x:c r="B116" s="4"/>
      <x:c r="C116" s="4" t="str">
        <x:v>missing evidence</x:v>
      </x:c>
      <x:c r="D116" s="13" t="b">
        <x:v>1</x:v>
      </x:c>
      <x:c r="E116" s="4" t="str">
        <x:v>Required observation absent</x:v>
      </x:c>
      <x:c r="F116" s="4" t="str">
        <x:v>Operating forecast, EBITDA, working capital and debt-service cash flow</x:v>
      </x:c>
      <x:c r="G116" s="4" t="str">
        <x:v>Latest standalone operating base drives forecast EBITDA, cash taxes, working capital and cash available for debt service.</x:v>
      </x:c>
      <x:c r="H116" s="4" t="str">
        <x:v>Review original pre-cutoff fiscal accounts; record exact fiscal dates, units and reconciliation.</x:v>
      </x:c>
    </x:row>
    <x:row r="117" ht="90" customHeight="1">
      <x:c r="A117" s="4" t="str">
        <x:v>target.FY2024.operating_cash_flow</x:v>
      </x:c>
      <x:c r="B117" s="4" t="n">
        <x:v>345</x:v>
      </x:c>
      <x:c r="C117" s="4" t="str">
        <x:v>verified fact</x:v>
      </x:c>
      <x:c r="D117" s="13" t="b">
        <x:v>1</x:v>
      </x:c>
      <x:c r="E117" s="4" t="str">
        <x:v>Exact observation supported by reviewed source: fl10k</x:v>
      </x:c>
      <x:c r="F117" s="4" t="str">
        <x:v>Operating forecast, EBITDA, working capital and debt-service cash flow</x:v>
      </x:c>
      <x:c r="G117" s="4" t="str">
        <x:v>Latest standalone operating base drives forecast EBITDA, cash taxes, working capital and cash available for debt service.</x:v>
      </x:c>
      <x:c r="H117" s="4" t="str">
        <x:v>Review original pre-cutoff fiscal accounts; record exact fiscal dates, units and reconciliation.</x:v>
      </x:c>
    </x:row>
    <x:row r="118" ht="90" customHeight="1">
      <x:c r="A118" s="4" t="str">
        <x:v>target.FY2024.operating_profit</x:v>
      </x:c>
      <x:c r="B118" s="4" t="n">
        <x:v>103</x:v>
      </x:c>
      <x:c r="C118" s="4" t="str">
        <x:v>verified fact</x:v>
      </x:c>
      <x:c r="D118" s="13" t="b">
        <x:v>1</x:v>
      </x:c>
      <x:c r="E118" s="4" t="str">
        <x:v>Exact observation supported by reviewed source: fl10k</x:v>
      </x:c>
      <x:c r="F118" s="4" t="str">
        <x:v>Operating forecast, EBITDA, working capital and debt-service cash flow</x:v>
      </x:c>
      <x:c r="G118" s="4" t="str">
        <x:v>Latest standalone operating base drives forecast EBITDA, cash taxes, working capital and cash available for debt service.</x:v>
      </x:c>
      <x:c r="H118" s="4" t="str">
        <x:v>Review original pre-cutoff fiscal accounts; record exact fiscal dates, units and reconciliation.</x:v>
      </x:c>
    </x:row>
    <x:row r="119" ht="90" customHeight="1">
      <x:c r="A119" s="4" t="str">
        <x:v>target.FY2024.payables</x:v>
      </x:c>
      <x:c r="B119" s="4" t="n">
        <x:v>378</x:v>
      </x:c>
      <x:c r="C119" s="4" t="str">
        <x:v>verified fact</x:v>
      </x:c>
      <x:c r="D119" s="13" t="b">
        <x:v>1</x:v>
      </x:c>
      <x:c r="E119" s="4" t="str">
        <x:v>Exact observation supported by reviewed source: fl10k</x:v>
      </x:c>
      <x:c r="F119" s="4" t="str">
        <x:v>Operating forecast, EBITDA, working capital and debt-service cash flow</x:v>
      </x:c>
      <x:c r="G119" s="4" t="str">
        <x:v>Latest standalone operating base drives forecast EBITDA, cash taxes, working capital and cash available for debt service.</x:v>
      </x:c>
      <x:c r="H119" s="4" t="str">
        <x:v>Review original pre-cutoff fiscal accounts; record exact fiscal dates, units and reconciliation.</x:v>
      </x:c>
    </x:row>
    <x:row r="120" ht="90" customHeight="1">
      <x:c r="A120" s="4" t="str">
        <x:v>target.FY2024.receivables</x:v>
      </x:c>
      <x:c r="B120" s="4" t="n">
        <x:v>156</x:v>
      </x:c>
      <x:c r="C120" s="4" t="str">
        <x:v>verified fact</x:v>
      </x:c>
      <x:c r="D120" s="13" t="b">
        <x:v>1</x:v>
      </x:c>
      <x:c r="E120" s="4" t="str">
        <x:v>Exact observation supported by reviewed source: review_fl</x:v>
      </x:c>
      <x:c r="F120" s="4" t="str">
        <x:v>Operating forecast, EBITDA, working capital and debt-service cash flow</x:v>
      </x:c>
      <x:c r="G120" s="4" t="str">
        <x:v>Latest standalone operating base drives forecast EBITDA, cash taxes, working capital and cash available for debt service.</x:v>
      </x:c>
      <x:c r="H120" s="4" t="str">
        <x:v>Review original pre-cutoff fiscal accounts; record exact fiscal dates, units and reconciliation.</x:v>
      </x:c>
    </x:row>
    <x:row r="121" ht="90" customHeight="1">
      <x:c r="A121" s="4" t="str">
        <x:v>target.FY2024.revenue</x:v>
      </x:c>
      <x:c r="B121" s="4" t="n">
        <x:v>7988</x:v>
      </x:c>
      <x:c r="C121" s="4" t="str">
        <x:v>verified fact</x:v>
      </x:c>
      <x:c r="D121" s="13" t="b">
        <x:v>1</x:v>
      </x:c>
      <x:c r="E121" s="4" t="str">
        <x:v>Exact observation supported by reviewed source: fl10k</x:v>
      </x:c>
      <x:c r="F121" s="4" t="str">
        <x:v>Operating forecast, EBITDA, working capital and debt-service cash flow</x:v>
      </x:c>
      <x:c r="G121" s="4" t="str">
        <x:v>Latest standalone operating base drives forecast EBITDA, cash taxes, working capital and cash available for debt service.</x:v>
      </x:c>
      <x:c r="H121" s="4" t="str">
        <x:v>Review original pre-cutoff fiscal accounts; record exact fiscal dates, units and reconciliation.</x:v>
      </x:c>
    </x:row>
    <x:row r="122" ht="90" customHeight="1">
      <x:c r="A122" s="4" t="str">
        <x:v>target.FY2024.taxes</x:v>
      </x:c>
      <x:c r="B122" s="4" t="n">
        <x:v>76</x:v>
      </x:c>
      <x:c r="C122" s="4" t="str">
        <x:v>verified fact</x:v>
      </x:c>
      <x:c r="D122" s="13" t="b">
        <x:v>1</x:v>
      </x:c>
      <x:c r="E122" s="4" t="str">
        <x:v>Exact observation supported by reviewed source: fl10k</x:v>
      </x:c>
      <x:c r="F122" s="4" t="str">
        <x:v>Operating forecast, EBITDA, working capital and debt-service cash flow</x:v>
      </x:c>
      <x:c r="G122" s="4" t="str">
        <x:v>Latest standalone operating base drives forecast EBITDA, cash taxes, working capital and cash available for debt service.</x:v>
      </x:c>
      <x:c r="H122" s="4" t="str">
        <x:v>Review original pre-cutoff fiscal accounts; record exact fiscal dates, units and reconciliation.</x:v>
      </x:c>
    </x:row>
    <x:row r="123" ht="90" customHeight="1">
      <x:c r="A123" s="4" t="str">
        <x:v>target.debt.borrowing_base_and_letters_of_credit</x:v>
      </x:c>
      <x:c r="B123" s="4"/>
      <x:c r="C123" s="4" t="str">
        <x:v>missing evidence</x:v>
      </x:c>
      <x:c r="D123" s="13" t="b">
        <x:v>1</x:v>
      </x:c>
      <x:c r="E123" s="4" t="str">
        <x:v>Required observation absent</x:v>
      </x:c>
      <x:c r="F123" s="4" t="str">
        <x:v>Revolver draw limits</x:v>
      </x:c>
      <x:c r="G123" s="4" t="str">
        <x:v>Instrument rights determine mandatory repayments, coupon resets and legally available borrowing; numerical solvency cannot replace contract evidence.</x:v>
      </x:c>
      <x:c r="H123" s="4" t="str">
        <x:v>Review debt notes and executed agreements for every instrument; reconcile totals, cite sections and document any non-applicability.</x:v>
      </x:c>
    </x:row>
    <x:row r="124" ht="90" customHeight="1">
      <x:c r="A124" s="4" t="str">
        <x:v>target.debt.change_of_control</x:v>
      </x:c>
      <x:c r="B124" s="4"/>
      <x:c r="C124" s="4" t="str">
        <x:v>missing evidence</x:v>
      </x:c>
      <x:c r="D124" s="13" t="b">
        <x:v>1</x:v>
      </x:c>
      <x:c r="E124" s="4" t="str">
        <x:v>Required observation absent</x:v>
      </x:c>
      <x:c r="F124" s="4" t="str">
        <x:v>Required repayment and retained debt</x:v>
      </x:c>
      <x:c r="G124" s="4" t="str">
        <x:v>Instrument rights determine mandatory repayments, coupon resets and legally available borrowing; numerical solvency cannot replace contract evidence.</x:v>
      </x:c>
      <x:c r="H124" s="4" t="str">
        <x:v>Review debt notes and executed agreements for every instrument; reconcile totals, cite sections and document any non-applicability.</x:v>
      </x:c>
    </x:row>
    <x:row r="125" ht="90" customHeight="1">
      <x:c r="A125" s="4" t="str">
        <x:v>target.debt.coupons_and_resets</x:v>
      </x:c>
      <x:c r="B125" s="4"/>
      <x:c r="C125" s="4" t="str">
        <x:v>missing evidence</x:v>
      </x:c>
      <x:c r="D125" s="13" t="b">
        <x:v>1</x:v>
      </x:c>
      <x:c r="E125" s="4" t="str">
        <x:v>Required observation absent</x:v>
      </x:c>
      <x:c r="F125" s="4" t="str">
        <x:v>Cash interest and rate stress</x:v>
      </x:c>
      <x:c r="G125" s="4" t="str">
        <x:v>Instrument rights determine mandatory repayments, coupon resets and legally available borrowing; numerical solvency cannot replace contract evidence.</x:v>
      </x:c>
      <x:c r="H125" s="4" t="str">
        <x:v>Review debt notes and executed agreements for every instrument; reconcile totals, cite sections and document any non-applicability.</x:v>
      </x:c>
    </x:row>
    <x:row r="126" ht="90" customHeight="1">
      <x:c r="A126" s="4" t="str">
        <x:v>target.debt.covenants_and_restricted_payments</x:v>
      </x:c>
      <x:c r="B126" s="4"/>
      <x:c r="C126" s="4" t="str">
        <x:v>missing evidence</x:v>
      </x:c>
      <x:c r="D126" s="13" t="b">
        <x:v>1</x:v>
      </x:c>
      <x:c r="E126" s="4" t="str">
        <x:v>Required observation absent</x:v>
      </x:c>
      <x:c r="F126" s="4" t="str">
        <x:v>Borrowing eligibility and capital allocation</x:v>
      </x:c>
      <x:c r="G126" s="4" t="str">
        <x:v>Instrument rights determine mandatory repayments, coupon resets and legally available borrowing; numerical solvency cannot replace contract evidence.</x:v>
      </x:c>
      <x:c r="H126" s="4" t="str">
        <x:v>Review debt notes and executed agreements for every instrument; reconcile totals, cite sections and document any non-applicability.</x:v>
      </x:c>
    </x:row>
    <x:row r="127" ht="90" customHeight="1">
      <x:c r="A127" s="4" t="str">
        <x:v>target.debt.instrument_inventory</x:v>
      </x:c>
      <x:c r="B127" s="4"/>
      <x:c r="C127" s="4" t="str">
        <x:v>missing evidence</x:v>
      </x:c>
      <x:c r="D127" s="13" t="b">
        <x:v>1</x:v>
      </x:c>
      <x:c r="E127" s="4" t="str">
        <x:v>Required observation absent</x:v>
      </x:c>
      <x:c r="F127" s="4" t="str">
        <x:v>Completeness of instrument debt schedule</x:v>
      </x:c>
      <x:c r="G127" s="4" t="str">
        <x:v>Instrument rights determine mandatory repayments, coupon resets and legally available borrowing; numerical solvency cannot replace contract evidence.</x:v>
      </x:c>
      <x:c r="H127" s="4" t="str">
        <x:v>Review debt notes and executed agreements for every instrument; reconcile totals, cite sections and document any non-applicability.</x:v>
      </x:c>
    </x:row>
    <x:row r="128" ht="90" customHeight="1">
      <x:c r="A128" s="4" t="str">
        <x:v>target.debt.maturity_and_amortisation_schedule</x:v>
      </x:c>
      <x:c r="B128" s="4"/>
      <x:c r="C128" s="4" t="str">
        <x:v>missing evidence</x:v>
      </x:c>
      <x:c r="D128" s="13" t="b">
        <x:v>1</x:v>
      </x:c>
      <x:c r="E128" s="4" t="str">
        <x:v>Required observation absent</x:v>
      </x:c>
      <x:c r="F128" s="4" t="str">
        <x:v>Mandatory repayments and maturity gaps</x:v>
      </x:c>
      <x:c r="G128" s="4" t="str">
        <x:v>Instrument rights determine mandatory repayments, coupon resets and legally available borrowing; numerical solvency cannot replace contract evidence.</x:v>
      </x:c>
      <x:c r="H128" s="4" t="str">
        <x:v>Review debt notes and executed agreements for every instrument; reconcile totals, cite sections and document any non-applicability.</x:v>
      </x:c>
    </x:row>
    <x:row r="129" ht="90" customHeight="1">
      <x:c r="A129" s="4" t="str">
        <x:v>target.debt.refinancing_and_repricing</x:v>
      </x:c>
      <x:c r="B129" s="4"/>
      <x:c r="C129" s="4" t="str">
        <x:v>missing evidence</x:v>
      </x:c>
      <x:c r="D129" s="13" t="b">
        <x:v>1</x:v>
      </x:c>
      <x:c r="E129" s="4" t="str">
        <x:v>Required observation absent</x:v>
      </x:c>
      <x:c r="F129" s="4" t="str">
        <x:v>Refinancing dependence and debt service</x:v>
      </x:c>
      <x:c r="G129" s="4" t="str">
        <x:v>Instrument rights determine mandatory repayments, coupon resets and legally available borrowing; numerical solvency cannot replace contract evidence.</x:v>
      </x:c>
      <x:c r="H129" s="4" t="str">
        <x:v>Review debt notes and executed agreements for every instrument; reconcile totals, cite sections and document any non-applicability.</x:v>
      </x:c>
    </x:row>
    <x:row r="130" ht="90" customHeight="1">
      <x:c r="A130" s="4" t="str">
        <x:v>target.debt.revolver_commitments</x:v>
      </x:c>
      <x:c r="B130" s="4" t="str">
        <x:v>{"commitment": 600.0, "drawn": 0.0, "maturity_date": "2029-06-20", "uncommitted_total_ceiling_excluded": 750.0}</x:v>
      </x:c>
      <x:c r="C130" s="4" t="str">
        <x:v>verified fact</x:v>
      </x:c>
      <x:c r="D130" s="13" t="b">
        <x:v>1</x:v>
      </x:c>
      <x:c r="E130" s="4" t="str">
        <x:v>Exact observation supported by reviewed source: review_fl</x:v>
      </x:c>
      <x:c r="F130" s="4" t="str">
        <x:v>Eligible committed liquidity</x:v>
      </x:c>
      <x:c r="G130" s="4" t="str">
        <x:v>Instrument rights determine mandatory repayments, coupon resets and legally available borrowing; numerical solvency cannot replace contract evidence.</x:v>
      </x:c>
      <x:c r="H130" s="4" t="str">
        <x:v>Review debt notes and executed agreements for every instrument; reconcile totals, cite sections and document any non-applicability.</x:v>
      </x:c>
    </x:row>
    <x:row r="131" ht="90" customHeight="1">
      <x:c r="A131" s="4" t="str">
        <x:v>target.opening.cash_restrictions</x:v>
      </x:c>
      <x:c r="B131" s="4"/>
      <x:c r="C131" s="4" t="str">
        <x:v>missing evidence</x:v>
      </x:c>
      <x:c r="D131" s="13" t="b">
        <x:v>1</x:v>
      </x:c>
      <x:c r="E131" s="4" t="str">
        <x:v>Required observation absent</x:v>
      </x:c>
      <x:c r="F131" s="4" t="str">
        <x:v>Opening liquidity, retained debt, cash deployment and leverage</x:v>
      </x:c>
      <x:c r="G131" s="4" t="str">
        <x:v>Opening liquidity and debt determine spendable cash, financing need and net leverage; a wrong balance can falsely imply funding.</x:v>
      </x:c>
      <x:c r="H131" s="4" t="str">
        <x:v>Reconcile latest pre-cutoff balance sheet and notes, with balance date and units.</x:v>
      </x:c>
    </x:row>
    <x:row r="132" ht="90" customHeight="1">
      <x:c r="A132" s="4" t="str">
        <x:v>target.opening.debt_carrying_value</x:v>
      </x:c>
      <x:c r="B132" s="4" t="n">
        <x:v>446</x:v>
      </x:c>
      <x:c r="C132" s="4" t="str">
        <x:v>verified fact</x:v>
      </x:c>
      <x:c r="D132" s="13" t="b">
        <x:v>0</x:v>
      </x:c>
      <x:c r="E132" s="4" t="str">
        <x:v>Exact observation supported by reviewed source: fl10k</x:v>
      </x:c>
      <x:c r="F132" s="4" t="str">
        <x:v>Opening liquidity, retained debt, cash deployment and leverage</x:v>
      </x:c>
      <x:c r="G132" s="4" t="str">
        <x:v>Accounting reconciliation only; cash debt service uses verified principal, not carrying value. Missing reconciliation remains disclosed.</x:v>
      </x:c>
      <x:c r="H132" s="4" t="str">
        <x:v>Reconcile latest pre-cutoff balance sheet and notes, with balance date and units.</x:v>
      </x:c>
    </x:row>
    <x:row r="133" ht="90" customHeight="1">
      <x:c r="A133" s="4" t="str">
        <x:v>target.opening.debt_principal</x:v>
      </x:c>
      <x:c r="B133" s="4" t="n">
        <x:v>450</x:v>
      </x:c>
      <x:c r="C133" s="4" t="str">
        <x:v>verified fact</x:v>
      </x:c>
      <x:c r="D133" s="13" t="b">
        <x:v>1</x:v>
      </x:c>
      <x:c r="E133" s="4" t="str">
        <x:v>Derived from verified inputs: detail.target.notes_principal + detail.target.finance_lease. Includes finance-lease liability; excludes operating leases.</x:v>
      </x:c>
      <x:c r="F133" s="4" t="str">
        <x:v>Opening liquidity, retained debt, cash deployment and leverage</x:v>
      </x:c>
      <x:c r="G133" s="4" t="str">
        <x:v>Opening liquidity and debt determine spendable cash, financing need and net leverage; a wrong balance can falsely imply funding.</x:v>
      </x:c>
      <x:c r="H133" s="4" t="str">
        <x:v>Reconcile latest pre-cutoff balance sheet and notes, with balance date and units.</x:v>
      </x:c>
    </x:row>
    <x:row r="134" ht="90" customHeight="1">
      <x:c r="A134" s="4" t="str">
        <x:v>target.opening.unrestricted_cash</x:v>
      </x:c>
      <x:c r="B134" s="4"/>
      <x:c r="C134" s="4" t="str">
        <x:v>missing evidence</x:v>
      </x:c>
      <x:c r="D134" s="13" t="b">
        <x:v>1</x:v>
      </x:c>
      <x:c r="E134" s="4" t="str">
        <x:v>Required observation absent</x:v>
      </x:c>
      <x:c r="F134" s="4" t="str">
        <x:v>Opening liquidity, retained debt, cash deployment and leverage</x:v>
      </x:c>
      <x:c r="G134" s="4" t="str">
        <x:v>Opening liquidity and debt determine spendable cash, financing need and net leverage; a wrong balance can falsely imply funding.</x:v>
      </x:c>
      <x:c r="H134" s="4" t="str">
        <x:v>Reconcile latest pre-cutoff balance sheet and notes, with balance date and units.</x:v>
      </x:c>
    </x:row>
    <x:row r="135" ht="90" customHeight="1">
      <x:c r="A135" s="4" t="str">
        <x:v>transaction.cash_price</x:v>
      </x:c>
      <x:c r="B135" s="4" t="n">
        <x:v>24</x:v>
      </x:c>
      <x:c r="C135" s="4" t="str">
        <x:v>verified fact</x:v>
      </x:c>
      <x:c r="D135" s="13" t="b">
        <x:v>1</x:v>
      </x:c>
      <x:c r="E135" s="4" t="str">
        <x:v>Exact observation supported by reviewed source: announcement</x:v>
      </x:c>
      <x:c r="F135" s="4" t="str">
        <x:v>Consideration bridge, cash uses, stock issuance and synergy scenarios</x:v>
      </x:c>
      <x:c r="G135" s="4" t="str">
        <x:v>Material transaction or unregistered model dependency: unsupported consideration or scope can change financing needs.</x:v>
      </x:c>
      <x:c r="H135" s="4" t="str">
        <x:v>Review pre-cutoff announcement/merger agreement; record exact term and section.</x:v>
      </x:c>
    </x:row>
    <x:row r="136" ht="90" customHeight="1">
      <x:c r="A136" s="4" t="str">
        <x:v>transaction.election_restrictions</x:v>
      </x:c>
      <x:c r="B136" s="4" t="str">
        <x:v>No minimum or maximum cash/stock election amount</x:v>
      </x:c>
      <x:c r="C136" s="4" t="str">
        <x:v>verified fact</x:v>
      </x:c>
      <x:c r="D136" s="13" t="b">
        <x:v>1</x:v>
      </x:c>
      <x:c r="E136" s="4" t="str">
        <x:v>Exact observation supported by reviewed source: announcement</x:v>
      </x:c>
      <x:c r="F136" s="4" t="str">
        <x:v>Consideration bridge, cash uses, stock issuance and synergy scenarios</x:v>
      </x:c>
      <x:c r="G136" s="4" t="str">
        <x:v>Material transaction or unregistered model dependency: unsupported consideration or scope can change financing needs.</x:v>
      </x:c>
      <x:c r="H136" s="4" t="str">
        <x:v>Review pre-cutoff announcement/merger agreement; record exact term and section.</x:v>
      </x:c>
    </x:row>
    <x:row r="137" ht="90" customHeight="1">
      <x:c r="A137" s="4" t="str">
        <x:v>transaction.enterprise_value</x:v>
      </x:c>
      <x:c r="B137" s="4" t="n">
        <x:v>2500</x:v>
      </x:c>
      <x:c r="C137" s="4" t="str">
        <x:v>verified fact</x:v>
      </x:c>
      <x:c r="D137" s="13" t="b">
        <x:v>0</x:v>
      </x:c>
      <x:c r="E137" s="4" t="str">
        <x:v>Exact observation supported by reviewed source: announcement</x:v>
      </x:c>
      <x:c r="F137" s="4" t="str">
        <x:v>Consideration bridge, cash uses, stock issuance and synergy scenarios</x:v>
      </x:c>
      <x:c r="G137" s="4" t="str">
        <x:v>Headline comparison only. Consideration is calculated from verified price, shares and award treatment; discrepancies remain disclosed.</x:v>
      </x:c>
      <x:c r="H137" s="4" t="str">
        <x:v>Review pre-cutoff announcement/merger agreement; record exact term and section.</x:v>
      </x:c>
    </x:row>
    <x:row r="138" ht="90" customHeight="1">
      <x:c r="A138" s="4" t="str">
        <x:v>transaction.equity_value</x:v>
      </x:c>
      <x:c r="B138" s="4" t="n">
        <x:v>2400</x:v>
      </x:c>
      <x:c r="C138" s="4" t="str">
        <x:v>verified fact</x:v>
      </x:c>
      <x:c r="D138" s="13" t="b">
        <x:v>0</x:v>
      </x:c>
      <x:c r="E138" s="4" t="str">
        <x:v>Exact observation supported by reviewed source: announcement</x:v>
      </x:c>
      <x:c r="F138" s="4" t="str">
        <x:v>Consideration bridge, cash uses, stock issuance and synergy scenarios</x:v>
      </x:c>
      <x:c r="G138" s="4" t="str">
        <x:v>Headline comparison only. Consideration is calculated from verified price, shares and award treatment; discrepancies remain disclosed.</x:v>
      </x:c>
      <x:c r="H138" s="4" t="str">
        <x:v>Review pre-cutoff announcement/merger agreement; record exact term and section.</x:v>
      </x:c>
    </x:row>
    <x:row r="139" ht="90" customHeight="1">
      <x:c r="A139" s="4" t="str">
        <x:v>transaction.exchange_ratio</x:v>
      </x:c>
      <x:c r="B139" s="4" t="n">
        <x:v>0.1168</x:v>
      </x:c>
      <x:c r="C139" s="4" t="str">
        <x:v>verified fact</x:v>
      </x:c>
      <x:c r="D139" s="13" t="b">
        <x:v>1</x:v>
      </x:c>
      <x:c r="E139" s="4" t="str">
        <x:v>Exact observation supported by reviewed source: announcement</x:v>
      </x:c>
      <x:c r="F139" s="4" t="str">
        <x:v>Consideration bridge, cash uses, stock issuance and synergy scenarios</x:v>
      </x:c>
      <x:c r="G139" s="4" t="str">
        <x:v>Material transaction or unregistered model dependency: unsupported consideration or scope can change financing needs.</x:v>
      </x:c>
      <x:c r="H139" s="4" t="str">
        <x:v>Review pre-cutoff announcement/merger agreement; record exact term and section.</x:v>
      </x:c>
    </x:row>
    <x:row r="140" ht="90" customHeight="1">
      <x:c r="A140" s="4" t="str">
        <x:v>transaction.share_and_award_treatment</x:v>
      </x:c>
      <x:c r="B140" s="4"/>
      <x:c r="C140" s="4" t="str">
        <x:v>missing evidence</x:v>
      </x:c>
      <x:c r="D140" s="13" t="b">
        <x:v>1</x:v>
      </x:c>
      <x:c r="E140" s="4" t="str">
        <x:v>Required observation absent</x:v>
      </x:c>
      <x:c r="F140" s="4" t="str">
        <x:v>Consideration bridge, cash uses, stock issuance and synergy scenarios</x:v>
      </x:c>
      <x:c r="G140" s="4" t="str">
        <x:v>Material transaction or unregistered model dependency: unsupported consideration or scope can change financing needs.</x:v>
      </x:c>
      <x:c r="H140" s="4" t="str">
        <x:v>Review pre-cutoff announcement/merger agreement; record exact term and section.</x:v>
      </x:c>
    </x:row>
    <x:row r="141" ht="90" customHeight="1">
      <x:c r="A141" s="4" t="str">
        <x:v>transaction.synergy_guidance</x:v>
      </x:c>
      <x:c r="B141" s="4" t="str">
        <x:v>[100.0, 125.0]</x:v>
      </x:c>
      <x:c r="C141" s="4" t="str">
        <x:v>verified fact</x:v>
      </x:c>
      <x:c r="D141" s="13" t="b">
        <x:v>1</x:v>
      </x:c>
      <x:c r="E141" s="4" t="str">
        <x:v>Exact observation supported by reviewed source: announcement</x:v>
      </x:c>
      <x:c r="F141" s="4" t="str">
        <x:v>Consideration bridge, cash uses, stock issuance and synergy scenarios</x:v>
      </x:c>
      <x:c r="G141" s="4" t="str">
        <x:v>Material transaction or unregistered model dependency: unsupported consideration or scope can change financing needs.</x:v>
      </x:c>
      <x:c r="H141" s="4" t="str">
        <x:v>Review pre-cutoff announcement/merger agreement; record exact term and section.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0" hidden="0" customWidth="1"/>
    <x:col min="4" max="4" width="28" hidden="0" customWidth="1"/>
    <x:col min="5" max="5" width="80" hidden="0" customWidth="1"/>
    <x:col min="6" max="6" width="55" hidden="0" customWidth="1"/>
    <x:col min="7" max="7" width="60" hidden="0" customWidth="1"/>
  </x:cols>
  <x:sheetData>
    <x:row r="2" ht="42" customHeight="1">
      <x:c r="A2" s="5" t="str">
        <x:v>Fictional Atlas / Beacon - illustrative only | Sources</x:v>
      </x:c>
      <x:c r="B2" s="5"/>
      <x:c r="C2" s="5"/>
      <x:c r="D2" s="5"/>
      <x:c r="E2" s="5"/>
      <x:c r="F2" s="5"/>
      <x:c r="G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</x:row>
    <x:row r="4" ht="42" customHeight="1">
      <x:c r="A4" s="7" t="str">
        <x:v>Source ID</x:v>
      </x:c>
      <x:c r="B4" s="7" t="str">
        <x:v>Document</x:v>
      </x:c>
      <x:c r="C4" s="7" t="str">
        <x:v>Published</x:v>
      </x:c>
      <x:c r="D4" s="7" t="str">
        <x:v>Retrieved</x:v>
      </x:c>
      <x:c r="E4" s="7" t="str">
        <x:v>URL</x:v>
      </x:c>
      <x:c r="F4" s="7" t="str">
        <x:v>Archive type</x:v>
      </x:c>
      <x:c r="G4" s="7" t="str">
        <x:v>Section</x:v>
      </x:c>
    </x:row>
    <x:row r="5" ht="36" customHeight="1">
      <x:c r="A5" s="4" t="str">
        <x:v>announcement</x:v>
      </x:c>
      <x:c r="B5" s="4" t="str">
        <x:v>0001193125-25-120243 Exhibit 99.2</x:v>
      </x:c>
      <x:c r="C5" s="4" t="str">
        <x:v>2025-05-15</x:v>
      </x:c>
      <x:c r="D5" s="4" t="str">
        <x:v>2026-09-14</x:v>
      </x:c>
      <x:c r="E5" s="4" t="str">
        <x:v>https://www.sec.gov/Archives/edgar/data/1089063/000119312525120243/d830209dex992.htm</x:v>
      </x:c>
      <x:c r="F5" s="4" t="str">
        <x:v>reviewed factual extraction, not original document bytes</x:v>
      </x:c>
      <x:c r="G5" s="4" t="str">
        <x:v>Additional Transaction Details; operating efficiencies</x:v>
      </x:c>
    </x:row>
    <x:row r="6" ht="36" customHeight="1">
      <x:c r="A6" s="4" t="str">
        <x:v>dks10k</x:v>
      </x:c>
      <x:c r="B6" s="4" t="str">
        <x:v>0001089063-25-000012</x:v>
      </x:c>
      <x:c r="C6" s="4" t="str">
        <x:v>2025-03-27</x:v>
      </x:c>
      <x:c r="D6" s="4" t="str">
        <x:v>2026-09-14</x:v>
      </x:c>
      <x:c r="E6" s="4" t="str">
        <x:v>https://www.sec.gov/Archives/edgar/data/1089063/000108906325000012/dks-20250201.htm</x:v>
      </x:c>
      <x:c r="F6" s="4" t="str">
        <x:v>reviewed factual extraction, not original document bytes</x:v>
      </x:c>
      <x:c r="G6" s="4" t="str">
        <x:v>Statements pp.46,48,50; Note 9</x:v>
      </x:c>
    </x:row>
    <x:row r="7" ht="36" customHeight="1">
      <x:c r="A7" s="4" t="str">
        <x:v>fl10k</x:v>
      </x:c>
      <x:c r="B7" s="4" t="str">
        <x:v>0001437749-25-009620</x:v>
      </x:c>
      <x:c r="C7" s="4" t="str">
        <x:v>2025-03-27</x:v>
      </x:c>
      <x:c r="D7" s="4" t="str">
        <x:v>2026-09-14</x:v>
      </x:c>
      <x:c r="E7" s="4" t="str">
        <x:v>https://www.sec.gov/Archives/edgar/data/850209/000143774925009620/floc20241213_10k.htm</x:v>
      </x:c>
      <x:c r="F7" s="4" t="str">
        <x:v>reviewed factual extraction, not original document bytes</x:v>
      </x:c>
      <x:c r="G7" s="4" t="str">
        <x:v>Statements pp.36,38,40; Notes 13,14</x:v>
      </x:c>
    </x:row>
    <x:row r="8" ht="36" customHeight="1">
      <x:c r="A8" s="4" t="str">
        <x:v>review_dks</x:v>
      </x:c>
      <x:c r="B8" s="4" t="str">
        <x:v>DKS FY2024 10-K</x:v>
      </x:c>
      <x:c r="C8" s="4" t="str">
        <x:v>2025-03-27</x:v>
      </x:c>
      <x:c r="D8" s="4" t="str">
        <x:v>2026-09-14</x:v>
      </x:c>
      <x:c r="E8" s="4" t="str">
        <x:v>https://www.sec.gov/Archives/edgar/data/1089063/000108906325000012/dks-20250201.htm</x:v>
      </x:c>
      <x:c r="F8" s="4" t="str">
        <x:v>reviewed factual extraction, not original document bytes</x:v>
      </x:c>
      <x:c r="G8" s="4" t="str">
        <x:v>Balance sheet p48, Note 1: cash and equivalents, NOT verified spendable acquisition cash; MD&amp;A p36 Contractual Obligations: approximate non-cancellable purchase commitments; Note 7 pp60-61; fixed liability cash excludes other rent categories; Note 9, p62; Note 9, p62; commitment is not unconditional borrowing availability; Note 9: principal of 2032 and 2052 series at fiscal year-end</x:v>
      </x:c>
    </x:row>
    <x:row r="9" ht="36" customHeight="1">
      <x:c r="A9" s="4" t="str">
        <x:v>review_fl</x:v>
      </x:c>
      <x:c r="B9" s="4" t="str">
        <x:v>FL FY2024 10-K</x:v>
      </x:c>
      <x:c r="C9" s="4" t="str">
        <x:v>2025-03-27</x:v>
      </x:c>
      <x:c r="D9" s="4" t="str">
        <x:v>2026-09-14</x:v>
      </x:c>
      <x:c r="E9" s="4" t="str">
        <x:v>https://www.sec.gov/Archives/edgar/data/850209/000143774925009620/floc20241213_10k.htm</x:v>
      </x:c>
      <x:c r="F9" s="4" t="str">
        <x:v>reviewed factual extraction, not original document bytes</x:v>
      </x:c>
      <x:c r="G9" s="4" t="str">
        <x:v>Balance sheet p36; excludes separately classified restricted cash; Note 1 pp43-44; primarily lease escrow and insurance cash trust; Note 13 p57: 4% notes; carrying 396 plus unamortized discount/costs 4; Note 13, p57; availability subject to borrowing base; Note 16 pp58-60; liabilities held for sale separately reported; Note 8, p54: comparative net receivables; Note 8, p54: net receivables; Notes 13 and 16: finance lease liability current 5 plus long-term 45; exclude operating leases</x:v>
      </x:c>
    </x:row>
    <x:row r="10" ht="36" customHeight="1">
      <x:c r="A10" s="4" t="str">
        <x:v>merger</x:v>
      </x:c>
      <x:c r="B10" s="4" t="str">
        <x:v>May 15 merger agreement, Exhibit 2.1; SEC acceptance 17:16:25</x:v>
      </x:c>
      <x:c r="C10" s="4" t="str">
        <x:v>2025-05-15</x:v>
      </x:c>
      <x:c r="D10" s="4" t="str">
        <x:v>2026-09-14</x:v>
      </x:c>
      <x:c r="E10" s="4" t="str">
        <x:v>https://www.sec.gov/Archives/edgar/data/850209/000110465925049592/tm2515123d3_ex2-1.htm</x:v>
      </x:c>
      <x:c r="F10" s="4" t="str">
        <x:v>reviewed factual extraction, not original document bytes</x:v>
      </x:c>
      <x:c r="G10" s="4" t="str">
        <x:v>Sections 3.4 and 7.16(a)-(b); payoff letter due at least one business day before closing; Sections 4.2 and 5.2, capitalization date May 12; section 3.4 distinguishes award settlement</x:v>
      </x:c>
    </x:row>
    <x:row r="11" ht="36" customHeight="1">
      <x:c r="A11" s="4" t="str">
        <x:v>dks_indent</x:v>
      </x:c>
      <x:c r="B11" s="4" t="str">
        <x:v>DKS first supplemental indenture</x:v>
      </x:c>
      <x:c r="C11" s="4" t="str">
        <x:v>2022-01-14</x:v>
      </x:c>
      <x:c r="D11" s="4" t="str">
        <x:v>2026-09-14</x:v>
      </x:c>
      <x:c r="E11" s="4" t="str">
        <x:v>https://www.sec.gov/Archives/edgar/data/1089063/000119312522009887/d285529dex42.htm</x:v>
      </x:c>
      <x:c r="F11" s="4" t="str">
        <x:v>reviewed factual extraction, not original document bytes</x:v>
      </x:c>
      <x:c r="G11" s="4" t="str">
        <x:v>Sections 2.2-2.3; principal issuance corroborated by FY2024 Note 9</x:v>
      </x:c>
    </x:row>
    <x:row r="12" ht="36" customHeight="1">
      <x:c r="A12" s="4" t="str">
        <x:v>fl_indent</x:v>
      </x:c>
      <x:c r="B12" s="4" t="str">
        <x:v>FL 2029 notes indenture</x:v>
      </x:c>
      <x:c r="C12" s="4" t="str">
        <x:v>2021-10-05</x:v>
      </x:c>
      <x:c r="D12" s="4" t="str">
        <x:v>2026-09-14</x:v>
      </x:c>
      <x:c r="E12" s="4" t="str">
        <x:v>https://www.sec.gov/Archives/edgar/data/850209/000153949721001514/exh4-1_indenture.htm</x:v>
      </x:c>
      <x:c r="F12" s="4" t="str">
        <x:v>reviewed factual extraction, not original document bytes</x:v>
      </x:c>
      <x:c r="G12" s="4" t="str">
        <x:v>Definitions, Sections 3.07 and 4.10; note form</x:v>
      </x:c>
    </x:row>
    <x:row r="13" ht="36" customHeight="1">
      <x:c r="A13" s="4" t="str">
        <x:v>dks_credit</x:v>
      </x:c>
      <x:c r="B13" s="4" t="str">
        <x:v>DKS credit agreement</x:v>
      </x:c>
      <x:c r="C13" s="4" t="str">
        <x:v>2022-01-14</x:v>
      </x:c>
      <x:c r="D13" s="4" t="str">
        <x:v>2026-09-14</x:v>
      </x:c>
      <x:c r="E13" s="4" t="str">
        <x:v>https://www.sec.gov/Archives/edgar/data/1089063/000119312522009887/d285529dex101.htm</x:v>
      </x:c>
      <x:c r="F13" s="4" t="str">
        <x:v>reviewed factual extraction, not original document bytes</x:v>
      </x:c>
      <x:c r="G13" s="4" t="str">
        <x:v>Definitions and Section 6.12; election is conditional, not automatic</x:v>
      </x:c>
    </x:row>
    <x:row r="14" ht="36" customHeight="1">
      <x:c r="A14" s="4" t="str">
        <x:v>fl_credit</x:v>
      </x:c>
      <x:c r="B14" s="4" t="str">
        <x:v>FL amendment 4, executed June 20, 2024</x:v>
      </x:c>
      <x:c r="C14" s="4" t="str">
        <x:v>2024-06-25</x:v>
      </x:c>
      <x:c r="D14" s="4" t="str">
        <x:v>2026-09-14</x:v>
      </x:c>
      <x:c r="E14" s="4" t="str">
        <x:v>https://www.sec.gov/Archives/edgar/data/850209/000143774924021177/ex_691205.htm</x:v>
      </x:c>
      <x:c r="F14" s="4" t="str">
        <x:v>reviewed factual extraction, not original document bytes</x:v>
      </x:c>
      <x:c r="G14" s="4" t="str">
        <x:v>Definitions; Sections 7.06, financial covenant and 8.01(k); amendment annex</x:v>
      </x:c>
    </x:row>
    <x:row r="15" ht="36" customHeight="1">
      <x:c r="A15" s="4" t="str">
        <x:v>dks_q3</x:v>
      </x:c>
      <x:c r="B15" s="4" t="str">
        <x:v>DKS Q3 2024 10-Q</x:v>
      </x:c>
      <x:c r="C15" s="4" t="str">
        <x:v>2024-11-27</x:v>
      </x:c>
      <x:c r="D15" s="4" t="str">
        <x:v>2026-09-14</x:v>
      </x:c>
      <x:c r="E15" s="4" t="str">
        <x:v>https://www.sec.gov/Archives/edgar/data/1089063/000108906324000121/dks-20241102.htm</x:v>
      </x:c>
      <x:c r="F15" s="4" t="str">
        <x:v>reviewed factual extraction, not original document bytes</x:v>
      </x:c>
      <x:c r="G15" s="4" t="str">
        <x:v>Consolidated cash flows p7; thousands converted to millions</x:v>
      </x:c>
    </x:row>
    <x:row r="16" ht="36" customHeight="1">
      <x:c r="A16" s="4" t="str">
        <x:v>fl_q3</x:v>
      </x:c>
      <x:c r="B16" s="4" t="str">
        <x:v>FL Q3 2024 10-Q</x:v>
      </x:c>
      <x:c r="C16" s="4" t="str">
        <x:v>2024-12-11</x:v>
      </x:c>
      <x:c r="D16" s="4" t="str">
        <x:v>2026-09-14</x:v>
      </x:c>
      <x:c r="E16" s="4" t="str">
        <x:v>https://www.sec.gov/Archives/edgar/data/850209/000143774924037241/floc20241102_10q.htm</x:v>
      </x:c>
      <x:c r="F16" s="4" t="str">
        <x:v>reviewed factual extraction, not original document bytes</x:v>
      </x:c>
      <x:c r="G16" s="4" t="str">
        <x:v>Cash flows and liquidity free-cash-flow reconciliation</x:v>
      </x:c>
    </x:row>
    <x:row r="17" ht="36" customHeight="1">
      <x:c r="A17" s="4" t="str">
        <x:v>fl_prelim</x:v>
      </x:c>
      <x:c r="B17" s="4" t="str">
        <x:v>FL preliminary Q1 2025 release</x:v>
      </x:c>
      <x:c r="C17" s="4" t="str">
        <x:v>2025-05-15</x:v>
      </x:c>
      <x:c r="D17" s="4" t="str">
        <x:v>2026-09-14</x:v>
      </x:c>
      <x:c r="E17" s="4" t="str">
        <x:v>https://www.sec.gov/Archives/edgar/data/850209/000110465925048852/tm2515123d1_ex99-1.htm</x:v>
      </x:c>
      <x:c r="F17" s="4" t="str">
        <x:v>reviewed factual extraction, not original document bytes</x:v>
      </x:c>
      <x:c r="G17" s="4" t="str">
        <x:v>Preliminary First Quarter Results; NOT full financial statements or EBITDA</x:v>
      </x:c>
    </x:row>
    <x:row r="18" ht="36" customHeight="1">
      <x:c r="A18" s="4" t="str">
        <x:v>dks_prelim</x:v>
      </x:c>
      <x:c r="B18" s="4" t="str">
        <x:v>DKS preliminary Q1 2025 release</x:v>
      </x:c>
      <x:c r="C18" s="4" t="str">
        <x:v>2025-05-15</x:v>
      </x:c>
      <x:c r="D18" s="4" t="str">
        <x:v>2026-09-14</x:v>
      </x:c>
      <x:c r="E18" s="4" t="str">
        <x:v>https://www.sec.gov/Archives/edgar/data/1089063/000119312525120243/d830209dex991.htm</x:v>
      </x:c>
      <x:c r="F18" s="4" t="str">
        <x:v>reviewed factual extraction, not original document bytes</x:v>
      </x:c>
      <x:c r="G18" s="4" t="str">
        <x:v>Preliminary First Quarter Results; full results scheduled May 28, after cutoff</x:v>
      </x:c>
    </x:row>
    <x:row r="19" ht="36" customHeight="1">
      <x:c r="A19" s="4" t="str">
        <x:v>cost_dks</x:v>
      </x:c>
      <x:c r="B19" s="4" t="str">
        <x:v>DKS FY2024 10-K</x:v>
      </x:c>
      <x:c r="C19" s="4" t="str">
        <x:v>2025-03-27</x:v>
      </x:c>
      <x:c r="D19" s="4" t="str">
        <x:v>2026-09-19</x:v>
      </x:c>
      <x:c r="E19" s="4" t="str">
        <x:v>https://www.sec.gov/Archives/edgar/data/1089063/000108906325000012/dks-20250201.htm</x:v>
      </x:c>
      <x:c r="F19" s="4" t="str">
        <x:v>reviewed factual extraction, not original document bytes</x:v>
      </x:c>
      <x:c r="G19" s="4" t="str">
        <x:v>FY2024 income statement p46; MD&amp;A p32 and Note 1 p55: cost of sales includes occupancy and depreciation; not all variable.</x:v>
      </x:c>
    </x:row>
    <x:row r="20" ht="36" customHeight="1">
      <x:c r="A20" s="4" t="str">
        <x:v>cost_fl</x:v>
      </x:c>
      <x:c r="B20" s="4" t="str">
        <x:v>FL FY2024 10-K</x:v>
      </x:c>
      <x:c r="C20" s="4" t="str">
        <x:v>2025-03-27</x:v>
      </x:c>
      <x:c r="D20" s="4" t="str">
        <x:v>2026-09-19</x:v>
      </x:c>
      <x:c r="E20" s="4" t="str">
        <x:v>https://www.sec.gov/Archives/edgar/data/850209/000143774925009620/floc20241213_10k.htm</x:v>
      </x:c>
      <x:c r="F20" s="4" t="str">
        <x:v>reviewed factual extraction, not original document bytes</x:v>
      </x:c>
      <x:c r="G20" s="4" t="str">
        <x:v>FY2024 operations p36; MD&amp;A p26; Note 16: store lease costs in cost of sales, non-store in SG&amp;A. No impairment add-back.</x:v>
      </x:c>
    </x:row>
    <x:row r="21" ht="36" customHeight="1">
      <x:c r="A21" s="4" t="str">
        <x:v>wc_dks</x:v>
      </x:c>
      <x:c r="B21" s="4" t="str">
        <x:v>DKS Q3 2024 10-Q</x:v>
      </x:c>
      <x:c r="C21" s="4" t="str">
        <x:v>2024-11-27</x:v>
      </x:c>
      <x:c r="D21" s="4" t="str">
        <x:v>2026-09-19</x:v>
      </x:c>
      <x:c r="E21" s="4" t="str">
        <x:v>https://www.sec.gov/Archives/edgar/data/1089063/000108906324000121/dks-20241102.htm</x:v>
      </x:c>
      <x:c r="F21" s="4" t="str">
        <x:v>reviewed factual extraction, not original document bytes</x:v>
      </x:c>
      <x:c r="G21" s="4" t="str">
        <x:v>39-week cash flow statement p8: signed CFO contributions; thousands converted to USD millions.</x:v>
      </x:c>
    </x:row>
    <x:row r="22" ht="36" customHeight="1">
      <x:c r="A22" s="4" t="str">
        <x:v>wc_fl</x:v>
      </x:c>
      <x:c r="B22" s="4" t="str">
        <x:v>FL Q3 2024 10-Q</x:v>
      </x:c>
      <x:c r="C22" s="4" t="str">
        <x:v>2024-12-11</x:v>
      </x:c>
      <x:c r="D22" s="4" t="str">
        <x:v>2026-09-19</x:v>
      </x:c>
      <x:c r="E22" s="4" t="str">
        <x:v>https://www.sec.gov/Archives/edgar/data/850209/000143774924037241/floc20241102_10q.htm</x:v>
      </x:c>
      <x:c r="F22" s="4" t="str">
        <x:v>reviewed factual extraction, not original document bytes</x:v>
      </x:c>
      <x:c r="G22" s="4" t="str">
        <x:v>39-week cash flow statement p5: signed CFO contributions. Receivables are not separately disclosed; retain other cash-flow proxy and hold closing AR constant.</x:v>
      </x:c>
    </x:row>
    <x:row r="23" ht="36" customHeight="1">
      <x:c r="A23" s="4" t="str">
        <x:v>public_fl</x:v>
      </x:c>
      <x:c r="B23" s="4" t="str">
        <x:v>FL FY2024 10-K</x:v>
      </x:c>
      <x:c r="C23" s="4" t="str">
        <x:v>2025-03-27</x:v>
      </x:c>
      <x:c r="D23" s="4" t="str">
        <x:v>2026-09-15</x:v>
      </x:c>
      <x:c r="E23" s="4" t="str">
        <x:v>https://www.sec.gov/Archives/edgar/data/850209/000143774925009620/floc20241213_10k.htm</x:v>
      </x:c>
      <x:c r="F23" s="4" t="str">
        <x:v>reviewed factual extraction, not original document bytes</x:v>
      </x:c>
      <x:c r="G23" s="4" t="str">
        <x:v>Note 16 pp59-60; FY2025-2029 and thereafter, not calendar years; discount rate is aggregate; Note 13 p57: outstanding letters of credit at February 1, 2025</x:v>
      </x:c>
    </x:row>
    <x:row r="24" ht="36" customHeight="1">
      <x:c r="A24" s="4" t="str">
        <x:v>public_dks</x:v>
      </x:c>
      <x:c r="B24" s="4" t="str">
        <x:v>DKS FY2024 10-K</x:v>
      </x:c>
      <x:c r="C24" s="4" t="str">
        <x:v>2025-03-27</x:v>
      </x:c>
      <x:c r="D24" s="4" t="str">
        <x:v>2026-09-15</x:v>
      </x:c>
      <x:c r="E24" s="4" t="str">
        <x:v>https://www.sec.gov/Archives/edgar/data/1089063/000108906325000012/dks-20250201.htm</x:v>
      </x:c>
      <x:c r="F24" s="4" t="str">
        <x:v>reviewed factual extraction, not original document bytes</x:v>
      </x:c>
      <x:c r="G24" s="4" t="str">
        <x:v>FY2024 cash flows p50 and supplemental noncash information; Balance sheet p48 and Deferred revenue and other liabilities table; excludes gift cards, loyalty and deferred compensation; MD&amp;A pp34-35 Capital Expenditures and Dividends; net capex is management guidance, dividend is a declaration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22" hidden="0" customWidth="1"/>
    <x:col min="4" max="4" width="22" hidden="0" customWidth="1"/>
    <x:col min="5" max="5" width="65" hidden="0" customWidth="1"/>
    <x:col min="6" max="6" width="70" hidden="0" customWidth="1"/>
    <x:col min="7" max="7" width="80" hidden="0" customWidth="1"/>
  </x:cols>
  <x:sheetData>
    <x:row r="2" ht="42" customHeight="1">
      <x:c r="A2" s="5" t="str">
        <x:v>Fictional Atlas / Beacon - illustrative only | Historical calculations</x:v>
      </x:c>
      <x:c r="B2" s="5"/>
      <x:c r="C2" s="5"/>
      <x:c r="D2" s="5"/>
      <x:c r="E2" s="5"/>
      <x:c r="F2" s="5"/>
      <x:c r="G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</x:row>
    <x:row r="4" ht="42" customHeight="1">
      <x:c r="A4" s="7" t="str">
        <x:v>Calculation</x:v>
      </x:c>
      <x:c r="B4" s="7" t="str">
        <x:v>Status</x:v>
      </x:c>
      <x:c r="C4" s="7" t="str">
        <x:v>Value</x:v>
      </x:c>
      <x:c r="D4" s="7" t="str">
        <x:v>Units</x:v>
      </x:c>
      <x:c r="E4" s="7" t="str">
        <x:v>Formula</x:v>
      </x:c>
      <x:c r="F4" s="7" t="str">
        <x:v>Dependencies</x:v>
      </x:c>
      <x:c r="G4" s="7" t="str">
        <x:v>Limitation</x:v>
      </x:c>
    </x:row>
    <x:row r="5" ht="80" customHeight="1">
      <x:c r="A5" s="8" t="str">
        <x:v>acquirer FY2024 simple operating EBITDA</x:v>
      </x:c>
      <x:c r="B5" s="8" t="str">
        <x:v>Supported</x:v>
      </x:c>
      <x:c r="C5" s="24" t="n">
        <x:v>1874.341</x:v>
      </x:c>
      <x:c r="D5" s="8" t="str">
        <x:v>USD millions</x:v>
      </x:c>
      <x:c r="E5" s="8" t="str">
        <x:v>Operating profit + cash-flow D&amp;A</x:v>
      </x:c>
      <x:c r="F5" s="8" t="str">
        <x:v>["acquirer.FY2024.operating_profit", "acquirer.FY2024.depreciation_amortisation"]</x:v>
      </x:c>
      <x:c r="G5" s="8" t="str">
        <x:v>Not adjusted EBITDA or covenant EBITDAR; no addbacks.</x:v>
      </x:c>
    </x:row>
    <x:row r="6" ht="80" customHeight="1">
      <x:c r="A6" s="8" t="str">
        <x:v>acquirer FY2024 CFO less gross capex</x:v>
      </x:c>
      <x:c r="B6" s="8" t="str">
        <x:v>Supported</x:v>
      </x:c>
      <x:c r="C6" s="24" t="n">
        <x:v>509.27</x:v>
      </x:c>
      <x:c r="D6" s="8" t="str">
        <x:v>USD millions</x:v>
      </x:c>
      <x:c r="E6" s="8" t="str">
        <x:v>CFO - gross cash capital expenditures</x:v>
      </x:c>
      <x:c r="F6" s="8" t="str">
        <x:v>["acquirer.FY2024.operating_cash_flow", "acquirer.FY2024.capex"]</x:v>
      </x:c>
      <x:c r="G6" s="8" t="str">
        <x:v>Historical residual, not forecast cash available for debt service; CFO includes interest/taxes and lease payments.</x:v>
      </x:c>
    </x:row>
    <x:row r="7" ht="80" customHeight="1">
      <x:c r="A7" s="8" t="str">
        <x:v>acquirer FY2024 selected operating NWC</x:v>
      </x:c>
      <x:c r="B7" s="8" t="str">
        <x:v>Supported</x:v>
      </x:c>
      <x:c r="C7" s="24" t="n">
        <x:v>2066.337</x:v>
      </x:c>
      <x:c r="D7" s="8" t="str">
        <x:v>USD millions</x:v>
      </x:c>
      <x:c r="E7" s="8" t="str">
        <x:v>Inventory + receivables - payables</x:v>
      </x:c>
      <x:c r="F7" s="8" t="str">
        <x:v>["acquirer.FY2024.inventory", "acquirer.FY2024.receivables", "acquirer.FY2024.payables"]</x:v>
      </x:c>
      <x:c r="G7" s="8" t="str">
        <x:v>Selected working capital only, not total current assets minus liabilities.</x:v>
      </x:c>
    </x:row>
    <x:row r="8" ht="80" customHeight="1">
      <x:c r="A8" s="8" t="str">
        <x:v>acquirer Q4 CFO less gross capex</x:v>
      </x:c>
      <x:c r="B8" s="8" t="str">
        <x:v>Supported</x:v>
      </x:c>
      <x:c r="C8" s="24" t="n">
        <x:v>394.5319999999999</x:v>
      </x:c>
      <x:c r="D8" s="8" t="str">
        <x:v>USD millions</x:v>
      </x:c>
      <x:c r="E8" s="8" t="str">
        <x:v>(FY CFO - 39wk CFO) - (FY capex - 39wk capex)</x:v>
      </x:c>
      <x:c r="F8" s="8" t="str">
        <x:v>["acquirer.FY2024.operating_cash_flow", "acquirer.FY2024.capex", "detail.acquirer.ytd_cash_flow"]</x:v>
      </x:c>
      <x:c r="G8" s="8" t="str">
        <x:v>Derived 13 weeks Nov 3 2024-Feb 1 2025; demonstrates seasonality, not a forecast seed.</x:v>
      </x:c>
    </x:row>
    <x:row r="9" ht="80" customHeight="1">
      <x:c r="A9" s="8" t="str">
        <x:v>target FY2024 simple operating EBITDA</x:v>
      </x:c>
      <x:c r="B9" s="8" t="str">
        <x:v>Supported</x:v>
      </x:c>
      <x:c r="C9" s="24" t="n">
        <x:v>305</x:v>
      </x:c>
      <x:c r="D9" s="8" t="str">
        <x:v>USD millions</x:v>
      </x:c>
      <x:c r="E9" s="8" t="str">
        <x:v>Operating profit + cash-flow D&amp;A</x:v>
      </x:c>
      <x:c r="F9" s="8" t="str">
        <x:v>["target.FY2024.operating_profit", "target.FY2024.depreciation_amortisation"]</x:v>
      </x:c>
      <x:c r="G9" s="8" t="str">
        <x:v>Not adjusted EBITDA or covenant EBITDAR; no addbacks.</x:v>
      </x:c>
    </x:row>
    <x:row r="10" ht="80" customHeight="1">
      <x:c r="A10" s="8" t="str">
        <x:v>target FY2024 CFO less gross capex</x:v>
      </x:c>
      <x:c r="B10" s="8" t="str">
        <x:v>Supported</x:v>
      </x:c>
      <x:c r="C10" s="24" t="n">
        <x:v>105</x:v>
      </x:c>
      <x:c r="D10" s="8" t="str">
        <x:v>USD millions</x:v>
      </x:c>
      <x:c r="E10" s="8" t="str">
        <x:v>CFO - gross cash capital expenditures</x:v>
      </x:c>
      <x:c r="F10" s="8" t="str">
        <x:v>["target.FY2024.operating_cash_flow", "target.FY2024.capex"]</x:v>
      </x:c>
      <x:c r="G10" s="8" t="str">
        <x:v>Historical residual, not forecast cash available for debt service; CFO includes interest/taxes and lease payments.</x:v>
      </x:c>
    </x:row>
    <x:row r="11" ht="80" customHeight="1">
      <x:c r="A11" s="8" t="str">
        <x:v>target FY2024 selected operating NWC</x:v>
      </x:c>
      <x:c r="B11" s="8" t="str">
        <x:v>Supported</x:v>
      </x:c>
      <x:c r="C11" s="24" t="n">
        <x:v>1303</x:v>
      </x:c>
      <x:c r="D11" s="8" t="str">
        <x:v>USD millions</x:v>
      </x:c>
      <x:c r="E11" s="8" t="str">
        <x:v>Inventory + receivables - payables</x:v>
      </x:c>
      <x:c r="F11" s="8" t="str">
        <x:v>["target.FY2024.inventory", "target.FY2024.receivables", "target.FY2024.payables"]</x:v>
      </x:c>
      <x:c r="G11" s="8" t="str">
        <x:v>Selected working capital only, not total current assets minus liabilities.</x:v>
      </x:c>
    </x:row>
    <x:row r="12" ht="80" customHeight="1">
      <x:c r="A12" s="8" t="str">
        <x:v>target Q4 CFO less gross capex</x:v>
      </x:c>
      <x:c r="B12" s="8" t="str">
        <x:v>Supported</x:v>
      </x:c>
      <x:c r="C12" s="24" t="n">
        <x:v>192</x:v>
      </x:c>
      <x:c r="D12" s="8" t="str">
        <x:v>USD millions</x:v>
      </x:c>
      <x:c r="E12" s="8" t="str">
        <x:v>(FY CFO - 39wk CFO) - (FY capex - 39wk capex)</x:v>
      </x:c>
      <x:c r="F12" s="8" t="str">
        <x:v>["target.FY2024.operating_cash_flow", "target.FY2024.capex", "detail.target.ytd_cash_flow"]</x:v>
      </x:c>
      <x:c r="G12" s="8" t="str">
        <x:v>Derived 13 weeks Nov 3 2024-Feb 1 2025; demonstrates seasonality, not a forecast seed.</x:v>
      </x:c>
    </x:row>
    <x:row r="13" ht="80" customHeight="1">
      <x:c r="A13" s="8" t="str">
        <x:v>FL cash reconciliation</x:v>
      </x:c>
      <x:c r="B13" s="8" t="str">
        <x:v>Supported</x:v>
      </x:c>
      <x:c r="C13" s="24" t="n">
        <x:v>0</x:v>
      </x:c>
      <x:c r="D13" s="8" t="str">
        <x:v>USD millions</x:v>
      </x:c>
      <x:c r="E13" s="8" t="str">
        <x:v>401 + 4 + 25 - 430 = 0</x:v>
      </x:c>
      <x:c r="F13" s="8" t="str">
        <x:v>["detail.target.cash", "detail.target.restricted_cash"]</x:v>
      </x:c>
      <x:c r="G13" s="8" t="str">
        <x:v>Accounting reconciliation; no legal cash-release conclusion.</x:v>
      </x:c>
    </x:row>
    <x:row r="14" ht="80" customHeight="1">
      <x:c r="A14" s="8" t="str">
        <x:v>FL financial debt principal</x:v>
      </x:c>
      <x:c r="B14" s="8" t="str">
        <x:v>Supported</x:v>
      </x:c>
      <x:c r="C14" s="24" t="n">
        <x:v>450</x:v>
      </x:c>
      <x:c r="D14" s="8" t="str">
        <x:v>USD millions</x:v>
      </x:c>
      <x:c r="E14" s="8" t="str">
        <x:v>Notes principal + finance-lease liability</x:v>
      </x:c>
      <x:c r="F14" s="8" t="str">
        <x:v>["detail.target.notes_principal", "detail.target.finance_lease"]</x:v>
      </x:c>
      <x:c r="G14" s="8" t="str">
        <x:v>Operating lease liabilities excluded; not complete instrument-level payment schedule.</x:v>
      </x:c>
    </x:row>
    <x:row r="15" ht="80" customHeight="1">
      <x:c r="A15" s="8" t="str">
        <x:v>FL finance-lease rollforward check</x:v>
      </x:c>
      <x:c r="B15" s="8" t="str">
        <x:v>Supported</x:v>
      </x:c>
      <x:c r="C15" s="24" t="n">
        <x:v>0</x:v>
      </x:c>
      <x:c r="D15" s="8" t="str">
        <x:v>USD millions</x:v>
      </x:c>
      <x:c r="E15" s="8" t="str">
        <x:v>Opening + additions - (cash paid - interest) - closing</x:v>
      </x:c>
      <x:c r="F15" s="8" t="str">
        <x:v>["detail.target.leases", "detail.target.finance_lease"]</x:v>
      </x:c>
      <x:c r="G15" s="8" t="str">
        <x:v>Aggregate liability check; cannot infer each future instrument principal payment.</x:v>
      </x:c>
    </x:row>
    <x:row r="16" ht="80" customHeight="1">
      <x:c r="A16" s="8" t="str">
        <x:v>Common shares all-cash consideration</x:v>
      </x:c>
      <x:c r="B16" s="8" t="str">
        <x:v>Supported</x:v>
      </x:c>
      <x:c r="C16" s="24" t="n">
        <x:v>2293.453968</x:v>
      </x:c>
      <x:c r="D16" s="8" t="str">
        <x:v>USD millions</x:v>
      </x:c>
      <x:c r="E16" s="8" t="str">
        <x:v>May 12 outstanding common shares x $24 / 1e6</x:v>
      </x:c>
      <x:c r="F16" s="8" t="str">
        <x:v>["detail.transaction.capitalization", "transaction.cash_price"]</x:v>
      </x:c>
      <x:c r="G16" s="8" t="str">
        <x:v>Common shares only: excludes awards, fees, debt, closing share changes and fractional-share payments.</x:v>
      </x:c>
    </x:row>
    <x:row r="17" ht="80" customHeight="1">
      <x:c r="A17" s="8" t="str">
        <x:v>Common shares all-stock issuance</x:v>
      </x:c>
      <x:c r="B17" s="8" t="str">
        <x:v>Supported</x:v>
      </x:c>
      <x:c r="C17" s="24" t="n">
        <x:v>11.1614759776</x:v>
      </x:c>
      <x:c r="D17" s="8" t="str">
        <x:v>million DKS shares</x:v>
      </x:c>
      <x:c r="E17" s="8" t="str">
        <x:v>May 12 outstanding common shares x 0.1168 / 1e6</x:v>
      </x:c>
      <x:c r="F17" s="8" t="str">
        <x:v>["detail.transaction.capitalization", "transaction.exchange_ratio"]</x:v>
      </x:c>
      <x:c r="G17" s="8" t="str">
        <x:v>Election endpoint only, not predicted elections; excludes awards and fractional-share cash.</x:v>
      </x:c>
    </x:row>
    <x:row r="18" ht="80" customHeight="1">
      <x:c r="A18" s="8" t="str">
        <x:v>DKS note annual coupon obligation</x:v>
      </x:c>
      <x:c r="B18" s="8" t="str">
        <x:v>Supported</x:v>
      </x:c>
      <x:c r="C18" s="24" t="n">
        <x:v>54.375</x:v>
      </x:c>
      <x:c r="D18" s="8" t="str">
        <x:v>USD millions</x:v>
      </x:c>
      <x:c r="E18" s="8" t="str">
        <x:v>750 x 3.15% + 750 x 4.10%</x:v>
      </x:c>
      <x:c r="F18" s="8" t="str">
        <x:v>["detail.acquirer.notes", "detail.acquirer.notes_outstanding"]</x:v>
      </x:c>
      <x:c r="G18" s="8" t="str">
        <x:v>Original fixed notes only; no revolver, lease interest or refinancing.</x:v>
      </x:c>
    </x:row>
    <x:row r="19" ht="80" customHeight="1">
      <x:c r="A19" s="8" t="str">
        <x:v>FL note annual coupon obligation</x:v>
      </x:c>
      <x:c r="B19" s="8" t="str">
        <x:v>Supported</x:v>
      </x:c>
      <x:c r="C19" s="24" t="n">
        <x:v>16</x:v>
      </x:c>
      <x:c r="D19" s="8" t="str">
        <x:v>USD millions</x:v>
      </x:c>
      <x:c r="E19" s="8" t="str">
        <x:v>400 x 4%</x:v>
      </x:c>
      <x:c r="F19" s="8" t="str">
        <x:v>["detail.target.notes_principal", "detail.target.notes_terms"]</x:v>
      </x:c>
      <x:c r="G19" s="8" t="str">
        <x:v>Retained-note contractual coupon only; not total cash interest.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20" hidden="0" customWidth="1"/>
    <x:col min="3" max="3" width="28" hidden="0" customWidth="1"/>
    <x:col min="4" max="4" width="35" hidden="0" customWidth="1"/>
    <x:col min="5" max="5" width="70" hidden="0" customWidth="1"/>
    <x:col min="6" max="6" width="85" hidden="0" customWidth="1"/>
    <x:col min="7" max="7" width="90" hidden="0" customWidth="1"/>
    <x:col min="8" max="8" width="90" hidden="0" customWidth="1"/>
    <x:col min="9" max="9" width="80" hidden="0" customWidth="1"/>
    <x:col min="10" max="10" width="90" hidden="0" customWidth="1"/>
  </x:cols>
  <x:sheetData>
    <x:row r="2" ht="42" customHeight="1">
      <x:c r="A2" s="5" t="str">
        <x:v>Fictional Atlas / Beacon - illustrative only | Historical gap review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42" customHeight="1">
      <x:c r="A4" s="7" t="str">
        <x:v>Input</x:v>
      </x:c>
      <x:c r="B4" s="7" t="str">
        <x:v>Status</x:v>
      </x:c>
      <x:c r="C4" s="7" t="str">
        <x:v>Classification</x:v>
      </x:c>
      <x:c r="D4" s="7" t="str">
        <x:v>Type</x:v>
      </x:c>
      <x:c r="E4" s="7" t="str">
        <x:v>Materiality</x:v>
      </x:c>
      <x:c r="F4" s="7" t="str">
        <x:v>Current evidence</x:v>
      </x:c>
      <x:c r="G4" s="7" t="str">
        <x:v>Exact missing information</x:v>
      </x:c>
      <x:c r="H4" s="7" t="str">
        <x:v>Applicability</x:v>
      </x:c>
      <x:c r="I4" s="7" t="str">
        <x:v>Primary source</x:v>
      </x:c>
      <x:c r="J4" s="7" t="str">
        <x:v>Resolution</x:v>
      </x:c>
    </x:row>
    <x:row r="5" ht="150" customHeight="1">
      <x:c r="A5" s="8" t="str">
        <x:v>transaction.share_and_award_treatment</x:v>
      </x:c>
      <x:c r="B5" s="8" t="str">
        <x:v>Remaining</x:v>
      </x:c>
      <x:c r="C5" s="8" t="str">
        <x:v>missing evidence</x:v>
      </x:c>
      <x:c r="D5" s="8" t="str">
        <x:v>historical fact</x:v>
      </x:c>
      <x:c r="E5" s="8" t="str">
        <x:v>Material transaction or unregistered model dependency: unsupported consideration or scope can change financing needs.</x:v>
      </x:c>
      <x:c r="F5" s="8" t="str">
        <x:v>May 12 common shares 95,560,582; options/RSUs/PSUs/DSUs counts and different settlement rules archived.</x:v>
      </x:c>
      <x:c r="G5" s="8" t="str">
        <x:v>Individual option strikes, director versus employee RSU split, PSU performance/award agreement settlement and award tax/withholding cash. Weighted-average strike cannot prove all options out of money.</x:v>
      </x:c>
      <x:c r="H5" s="8" t="str">
        <x:v>Required for all complete funding structures.</x:v>
      </x:c>
      <x:c r="I5" s="8" t="str">
        <x:v>https://www.sec.gov/Archives/edgar/data/850209/000110465925049592/tm2515123d3_ex2-1.htm</x:v>
      </x:c>
      <x:c r="J5" s="8" t="str">
        <x:v>Merger Sections 3.4/4.2; omitted Company Disclosure Letter 4.2 and equity-administration ledger. April 10 proxy is an earlier, incomplete employee population; later merger proxy excluded.</x:v>
      </x:c>
    </x:row>
    <x:row r="6" ht="150" customHeight="1">
      <x:c r="A6" s="8" t="str">
        <x:v>acquirer.opening.unrestricted_cash</x:v>
      </x:c>
      <x:c r="B6" s="8" t="str">
        <x:v>Remaining</x:v>
      </x:c>
      <x:c r="C6" s="8" t="str">
        <x:v>missing evidence</x:v>
      </x:c>
      <x:c r="D6" s="8" t="str">
        <x:v>historical fact</x:v>
      </x:c>
      <x:c r="E6" s="8" t="str">
        <x:v>Opening liquidity and debt determine spendable cash, financing need and net leverage; a wrong balance can falsely imply funding.</x:v>
      </x:c>
      <x:c r="F6" s="8" t="str">
        <x:v>Feb 1 cash and equivalents: DKS 1689.940; FL 401, with separately restricted 29. Accounting balances are verified separately.</x:v>
      </x:c>
      <x:c r="G6" s="8" t="str">
        <x:v>Entity-level encumbrances, trapped/repatriable cash, minimum operating balances, and legally available cash at the selected closing date.</x:v>
      </x:c>
      <x:c r="H6" s="8" t="str">
        <x:v>Cash-first consumes availability. A zero contribution removes acquisition use, but group liquidity still cannot count restricted or inaccessible balances. No waiver applied.</x:v>
      </x:c>
      <x:c r="I6" s="8" t="str">
        <x:v>https://www.sec.gov/Archives/edgar/data/1089063/000108906325000012/dks-20250201.htm</x:v>
      </x:c>
      <x:c r="J6" s="8" t="str">
        <x:v>Treasury cash-by-entity/restriction schedule, credit security documents and counsel review; prospective cash bridge must remain a forecast.</x:v>
      </x:c>
    </x:row>
    <x:row r="7" ht="150" customHeight="1">
      <x:c r="A7" s="8" t="str">
        <x:v>acquirer.opening.cash_restrictions</x:v>
      </x:c>
      <x:c r="B7" s="8" t="str">
        <x:v>Remaining</x:v>
      </x:c>
      <x:c r="C7" s="8" t="str">
        <x:v>missing evidence</x:v>
      </x:c>
      <x:c r="D7" s="8" t="str">
        <x:v>historical fact</x:v>
      </x:c>
      <x:c r="E7" s="8" t="str">
        <x:v>Opening liquidity and debt determine spendable cash, financing need and net leverage; a wrong balance can falsely imply funding.</x:v>
      </x:c>
      <x:c r="F7" s="8" t="str">
        <x:v>Feb 1 cash and equivalents: DKS 1689.940; FL 401, with separately restricted 29. Accounting balances are verified separately.</x:v>
      </x:c>
      <x:c r="G7" s="8" t="str">
        <x:v>Entity-level encumbrances, trapped/repatriable cash, minimum operating balances, and legally available cash at the selected closing date.</x:v>
      </x:c>
      <x:c r="H7" s="8" t="str">
        <x:v>Cash-first consumes availability. A zero contribution removes acquisition use, but group liquidity still cannot count restricted or inaccessible balances. No waiver applied.</x:v>
      </x:c>
      <x:c r="I7" s="8" t="str">
        <x:v>https://www.sec.gov/Archives/edgar/data/1089063/000108906325000012/dks-20250201.htm</x:v>
      </x:c>
      <x:c r="J7" s="8" t="str">
        <x:v>Treasury cash-by-entity/restriction schedule, credit security documents and counsel review; prospective cash bridge must remain a forecast.</x:v>
      </x:c>
    </x:row>
    <x:row r="8" ht="150" customHeight="1">
      <x:c r="A8" s="8" t="str">
        <x:v>acquirer.opening.debt_principal</x:v>
      </x:c>
      <x:c r="B8" s="8" t="str">
        <x:v>Remaining</x:v>
      </x:c>
      <x:c r="C8" s="8" t="str">
        <x:v>missing evidence</x:v>
      </x:c>
      <x:c r="D8" s="8" t="str">
        <x:v>historical fact</x:v>
      </x:c>
      <x:c r="E8" s="8" t="str">
        <x:v>Opening liquidity and debt determine spendable cash, financing need and net leverage; a wrong balance can falsely imply funding.</x:v>
      </x:c>
      <x:c r="F8" s="8" t="str">
        <x:v>DKS notes 750+750; FL notes 400 and finance-lease liability 50. Carrying amounts are separate.</x:v>
      </x:c>
      <x:c r="G8" s="8" t="str">
        <x:v>DKS complete principal-to-balance-sheet reconciliation including any finance leases; no zero inferred from zero annual finance-lease payment.</x:v>
      </x:c>
      <x:c r="H8" s="8" t="str">
        <x:v>Required for all complete funding structures.</x:v>
      </x:c>
      <x:c r="I8" s="8" t="str">
        <x:v>https://www.sec.gov/Archives/edgar/data/1089063/000108906325000012/dks-20250201.htm</x:v>
      </x:c>
      <x:c r="J8" s="8" t="str">
        <x:v>Debt Note 9 / Note 13 and lease liability ledger; exclude operating leases from financial-debt principal.</x:v>
      </x:c>
    </x:row>
    <x:row r="9" ht="150" customHeight="1">
      <x:c r="A9" s="8" t="str">
        <x:v>acquirer.FY2024.ebitda_reconciliation</x:v>
      </x:c>
      <x:c r="B9" s="8" t="str">
        <x:v>Resolved</x:v>
      </x:c>
      <x:c r="C9" s="8" t="str">
        <x:v>verified fact</x:v>
      </x:c>
      <x:c r="D9" s="8" t="str">
        <x:v>historical fact</x:v>
      </x:c>
      <x:c r="E9" s="8" t="str">
        <x:v>Latest standalone operating base drives forecast EBITDA, cash taxes, working capital and cash available for debt service.</x:v>
      </x:c>
      <x:c r="F9" s="8" t="str">
        <x:v>Computed from verified FY2024 operating profit plus disclosed cash-flow D&amp;A. No exceptional-item addbacks.</x:v>
      </x:c>
      <x:c r="G9" s="8" t="str">
        <x:v>None for this narrowly defined input; related financing dependencies remain separate.</x:v>
      </x:c>
      <x:c r="H9" s="8" t="str">
        <x:v>Required for all complete funding structures.</x:v>
      </x:c>
      <x:c r="I9" s="8" t="str">
        <x:v>https://www.sec.gov/Archives/edgar/data/1089063/000108906325000012/dks-20250201.htm</x:v>
      </x:c>
      <x:c r="J9" s="8" t="str">
        <x:v>Code-owned sum with dependency checks. This resolves simple operating EBITDA, not covenant EBITDAR.</x:v>
      </x:c>
    </x:row>
    <x:row r="10" ht="150" customHeight="1">
      <x:c r="A10" s="8" t="str">
        <x:v>acquirer.FY2024.lease_reconciliation</x:v>
      </x:c>
      <x:c r="B10" s="8" t="str">
        <x:v>Remaining</x:v>
      </x:c>
      <x:c r="C10" s="8" t="str">
        <x:v>missing evidence</x:v>
      </x:c>
      <x:c r="D10" s="8" t="str">
        <x:v>historical fact</x:v>
      </x:c>
      <x:c r="E10" s="8" t="str">
        <x:v>Latest standalone operating base drives forecast EBITDA, cash taxes, working capital and cash available for debt service.</x:v>
      </x:c>
      <x:c r="F10" s="8" t="str">
        <x:v>Rent cost components, fixed lease cash, operating liabilities, uncommenced commitments and FL finance cash are separately archived.</x:v>
      </x:c>
      <x:c r="G10" s="8" t="str">
        <x:v>Cash timing for variable/short-term rent, subleases and complete instrument finance-lease interest/principal schedules; reconcile held-for-sale treatment.</x:v>
      </x:c>
      <x:c r="H10" s="8" t="str">
        <x:v>Required for all complete funding structures.</x:v>
      </x:c>
      <x:c r="I10" s="8" t="str">
        <x:v>https://www.sec.gov/Archives/edgar/data/1089063/000108906325000012/dks-20250201.htm</x:v>
      </x:c>
      <x:c r="J10" s="8" t="str">
        <x:v>Lease Note 7 (DKS) / 16 (FL), lease payment ledger and explicit future rent assumptions. FL liability includes 5 held for sale outside main table.</x:v>
      </x:c>
    </x:row>
    <x:row r="11" ht="150" customHeight="1">
      <x:c r="A11" s="8" t="str">
        <x:v>acquirer.FY2024.dividends_buybacks_commitments</x:v>
      </x:c>
      <x:c r="B11" s="8" t="str">
        <x:v>Remaining</x:v>
      </x:c>
      <x:c r="C11" s="8" t="str">
        <x:v>missing evidence</x:v>
      </x:c>
      <x:c r="D11" s="8" t="str">
        <x:v>historical fact</x:v>
      </x:c>
      <x:c r="E11" s="8" t="str">
        <x:v>Contractual capital commitments can compete with debt service; discretionary future distributions are separate explicit assumptions.</x:v>
      </x:c>
      <x:c r="F11" s="8" t="str">
        <x:v>Cash-flow historical distributions and lease commitments disclosed; future discretionary distributions set to zero only as a scenario assumption. MD&amp;A p36 discloses approximately 180 of non-cancellable purchase commitments, but not their annual cash timing.</x:v>
      </x:c>
      <x:c r="G11" s="8" t="str">
        <x:v>Reconciliation of declared/unpaid distributions and binding capex, purchase and lease commitments affecting the closing bridge and forecast.</x:v>
      </x:c>
      <x:c r="H11" s="8" t="str">
        <x:v>Required for all complete funding structures.</x:v>
      </x:c>
      <x:c r="I11" s="8" t="str">
        <x:v>https://www.sec.gov/Archives/edgar/data/1089063/000108906325000012/dks-20250201.htm</x:v>
      </x:c>
      <x:c r="J11" s="8" t="str">
        <x:v>Annual cash-flow statement, commitments notes, pre-cutoff dividend declarations, treasury payable and capital-commitment schedules.</x:v>
      </x:c>
    </x:row>
    <x:row r="12" ht="150" customHeight="1">
      <x:c r="A12" s="8" t="str">
        <x:v>acquirer.debt.instrument_inventory</x:v>
      </x:c>
      <x:c r="B12" s="8" t="str">
        <x:v>Remaining</x:v>
      </x:c>
      <x:c r="C12" s="8" t="str">
        <x:v>missing evidence</x:v>
      </x:c>
      <x:c r="D12" s="8" t="str">
        <x:v>conditionally applicable requirement</x:v>
      </x:c>
      <x:c r="E12" s="8" t="str">
        <x:v>Instrument rights determine mandatory repayments, coupon resets and legally available borrowing; numerical solvency cannot replace contract evidence.</x:v>
      </x:c>
      <x:c r="F12" s="8" t="str">
        <x:v>Bond series and aggregate lease liabilities disclosed; supplemental disclosures are not a complete executable instrument inventory.</x:v>
      </x:c>
      <x:c r="G12" s="8" t="str">
        <x:v>Complete lease/other borrowing register with principal, maturity, coupon, repayment and close treatment reconciled to debt notes.</x:v>
      </x:c>
      <x:c r="H12" s="8" t="str">
        <x:v>Required for all complete funding structures.</x:v>
      </x:c>
      <x:c r="I12" s="8" t="str">
        <x:v>https://www.sec.gov/Archives/edgar/data/1089063/000108906325000012/dks-20250201.htm</x:v>
      </x:c>
      <x:c r="J12" s="8" t="str">
        <x:v>Annual debt and lease notes, treasury debt ledger and all material financing leases.</x:v>
      </x:c>
    </x:row>
    <x:row r="13" ht="150" customHeight="1">
      <x:c r="A13" s="8" t="str">
        <x:v>acquirer.debt.maturity_and_amortisation_schedule</x:v>
      </x:c>
      <x:c r="B13" s="8" t="str">
        <x:v>Remaining</x:v>
      </x:c>
      <x:c r="C13" s="8" t="str">
        <x:v>missing evidence</x:v>
      </x:c>
      <x:c r="D13" s="8" t="str">
        <x:v>conditionally applicable requirement</x:v>
      </x:c>
      <x:c r="E13" s="8" t="str">
        <x:v>Instrument rights determine mandatory repayments, coupon resets and legally available borrowing; numerical solvency cannot replace contract evidence.</x:v>
      </x:c>
      <x:c r="F13" s="8" t="str">
        <x:v>DKS bullets Jan 15 2032/2052; FL note Oct 1 2029; annual aggregate lease payments disclosed.</x:v>
      </x:c>
      <x:c r="G13" s="8" t="str">
        <x:v>Finance-lease principal versus interest allocation and instrument-level remaining payment dates; relative model maturity must use assumed closing date.</x:v>
      </x:c>
      <x:c r="H13" s="8" t="str">
        <x:v>Required for all complete funding structures.</x:v>
      </x:c>
      <x:c r="I13" s="8" t="str">
        <x:v>https://www.sec.gov/Archives/edgar/data/1089063/000108906325000012/dks-20250201.htm</x:v>
      </x:c>
      <x:c r="J13" s="8" t="str">
        <x:v>Original indentures plus lease amortisation ledger. Aggregate future minimum payments are not all principal.</x:v>
      </x:c>
    </x:row>
    <x:row r="14" ht="150" customHeight="1">
      <x:c r="A14" s="8" t="str">
        <x:v>acquirer.debt.coupons_and_resets</x:v>
      </x:c>
      <x:c r="B14" s="8" t="str">
        <x:v>Remaining</x:v>
      </x:c>
      <x:c r="C14" s="8" t="str">
        <x:v>missing evidence</x:v>
      </x:c>
      <x:c r="D14" s="8" t="str">
        <x:v>conditionally applicable requirement</x:v>
      </x:c>
      <x:c r="E14" s="8" t="str">
        <x:v>Instrument rights determine mandatory repayments, coupon resets and legally available borrowing; numerical solvency cannot replace contract evidence.</x:v>
      </x:c>
      <x:c r="F14" s="8" t="str">
        <x:v>Fixed note coupons 3.15%/4.10% DKS and 4% FL; DKS SOFR margin 112.5bp at year-end, FL term-SOFR grid 150-200bp.</x:v>
      </x:c>
      <x:c r="G14" s="8" t="str">
        <x:v>Instrument lease effective interest schedules, applicable future facility pricing-grid/rating assumptions and resets.</x:v>
      </x:c>
      <x:c r="H14" s="8" t="str">
        <x:v>Required for all complete funding structures.</x:v>
      </x:c>
      <x:c r="I14" s="8" t="str">
        <x:v>https://www.sec.gov/Archives/edgar/data/1089063/000108906325000012/dks-20250201.htm</x:v>
      </x:c>
      <x:c r="J14" s="8" t="str">
        <x:v>Indentures and credit agreements plus lease ledger. Weighted-average lease discount rate is not each instrument coupon.</x:v>
      </x:c>
    </x:row>
    <x:row r="15" ht="150" customHeight="1">
      <x:c r="A15" s="8" t="str">
        <x:v>acquirer.debt.change_of_control</x:v>
      </x:c>
      <x:c r="B15" s="8" t="str">
        <x:v>Remaining</x:v>
      </x:c>
      <x:c r="C15" s="8" t="str">
        <x:v>missing evidence</x:v>
      </x:c>
      <x:c r="D15" s="8" t="str">
        <x:v>conditionally applicable requirement</x:v>
      </x:c>
      <x:c r="E15" s="8" t="str">
        <x:v>Instrument rights determine mandatory repayments, coupon resets and legally available borrowing; numerical solvency cannot replace contract evidence.</x:v>
      </x:c>
      <x:c r="F15" s="8" t="str">
        <x:v>FL ABL termination required at closing. FL note offer 101% requires control AND ratings event. DKS purchase of target does not itself establish DKS control change.</x:v>
      </x:c>
      <x:c r="G15" s="8" t="str">
        <x:v>Facility and lease consent/default application, notes ratings-event assessment and exact retained versus redeemed treatment.</x:v>
      </x:c>
      <x:c r="H15" s="8" t="str">
        <x:v>Required for all complete funding structures.</x:v>
      </x:c>
      <x:c r="I15" s="8" t="str">
        <x:v>https://www.sec.gov/Archives/edgar/data/850209/000110465925049592/tm2515123d3_ex2-1.htm</x:v>
      </x:c>
      <x:c r="J15" s="8" t="str">
        <x:v>Merger 7.16, indenture definitions/4.10, ABL 8.01 and lease contracts; scenario-specific legal review.</x:v>
      </x:c>
    </x:row>
    <x:row r="16" ht="150" customHeight="1">
      <x:c r="A16" s="8" t="str">
        <x:v>acquirer.debt.refinancing_and_repricing</x:v>
      </x:c>
      <x:c r="B16" s="8" t="str">
        <x:v>Remaining</x:v>
      </x:c>
      <x:c r="C16" s="8" t="str">
        <x:v>missing evidence</x:v>
      </x:c>
      <x:c r="D16" s="8" t="str">
        <x:v>conditionally applicable requirement</x:v>
      </x:c>
      <x:c r="E16" s="8" t="str">
        <x:v>Instrument rights determine mandatory repayments, coupon resets and legally available borrowing; numerical solvency cannot replace contract evidence.</x:v>
      </x:c>
      <x:c r="F16" s="8" t="str">
        <x:v>DKS pre-par make-whole; FL redemption 102% before Oct 1 2025, 101% until Oct 1 2026, then par, plus accrued interest.</x:v>
      </x:c>
      <x:c r="G16" s="8" t="str">
        <x:v>Scenario treatment for each instrument, accrued interest, notice timing and any lease termination/consent costs; actual future refinancing is not guaranteed.</x:v>
      </x:c>
      <x:c r="H16" s="8" t="str">
        <x:v>Retain versus redeem changes required calculations. Refinancing coupon/fees are future assumptions; existing call premium/consent rights remain historical facts. No waiver applied.</x:v>
      </x:c>
      <x:c r="I16" s="8" t="str">
        <x:v>https://www.sec.gov/Archives/edgar/data/1089063/000119312522009887/d285529dex42.htm</x:v>
      </x:c>
      <x:c r="J16" s="8" t="str">
        <x:v>Original indenture redemption sections and prospective quote sensitivities. Retained DKS notes with no optional redemption do not require a make-whole quote.</x:v>
      </x:c>
    </x:row>
    <x:row r="17" ht="150" customHeight="1">
      <x:c r="A17" s="8" t="str">
        <x:v>acquirer.debt.revolver_commitments</x:v>
      </x:c>
      <x:c r="B17" s="8" t="str">
        <x:v>Resolved</x:v>
      </x:c>
      <x:c r="C17" s="8" t="str">
        <x:v>verified fact</x:v>
      </x:c>
      <x:c r="D17" s="8" t="str">
        <x:v>conditionally applicable requirement</x:v>
      </x:c>
      <x:c r="E17" s="8" t="str">
        <x:v>Instrument rights determine mandatory repayments, coupon resets and legally available borrowing; numerical solvency cannot replace contract evidence.</x:v>
      </x:c>
      <x:c r="F17" s="8" t="str">
        <x:v>DKS unsecured 1600, Jan 14 2027; FL secured 600, June 20 2029. Both zero drawn at fiscal year-end. Uncommitted accordions excluded.</x:v>
      </x:c>
      <x:c r="G17" s="8" t="str">
        <x:v>None for this narrowly defined input; related financing dependencies remain separate.</x:v>
      </x:c>
      <x:c r="H17" s="8" t="str">
        <x:v>Required for all complete funding structures.</x:v>
      </x:c>
      <x:c r="I17" s="8" t="str">
        <x:v>https://www.sec.gov/Archives/edgar/data/1089063/000108906325000012/dks-20250201.htm</x:v>
      </x:c>
      <x:c r="J17" s="8" t="str">
        <x:v>Annual debt notes verify contractual size and dates; does not resolve borrowing eligibility.</x:v>
      </x:c>
    </x:row>
    <x:row r="18" ht="150" customHeight="1">
      <x:c r="A18" s="8" t="str">
        <x:v>acquirer.debt.borrowing_base_and_letters_of_credit</x:v>
      </x:c>
      <x:c r="B18" s="8" t="str">
        <x:v>Resolved</x:v>
      </x:c>
      <x:c r="C18" s="8" t="str">
        <x:v>verified fact</x:v>
      </x:c>
      <x:c r="D18" s="8" t="str">
        <x:v>conditionally applicable requirement</x:v>
      </x:c>
      <x:c r="E18" s="8" t="str">
        <x:v>Instrument rights determine mandatory repayments, coupon resets and legally available borrowing; numerical solvency cannot replace contract evidence.</x:v>
      </x:c>
      <x:c r="F18" s="8" t="str">
        <x:v>DKS LC 19.9 against unsecured 1600; FL LC 7 against 600 commitment, subject to eligible inventory/reserves.</x:v>
      </x:c>
      <x:c r="G18" s="8" t="str">
        <x:v>None for this narrowly defined input; related financing dependencies remain separate.</x:v>
      </x:c>
      <x:c r="H18" s="8" t="str">
        <x:v>Target ABL is terminated under merger 7.16(a); no post-close availability counted. Certificate matters for interim liquidity; funded payoff and LC replacement still matter for closing uses. No blanket waiver.</x:v>
      </x:c>
      <x:c r="I18" s="8" t="str">
        <x:v>https://www.sec.gov/Archives/edgar/data/1089063/000108906325000012/dks-20250201.htm</x:v>
      </x:c>
      <x:c r="J18" s="8" t="str">
        <x:v>DKS Note 9; FL ABL borrowing-base certificate under agreement reporting provisions, held by Wells Fargo/borrower treasury.</x:v>
      </x:c>
    </x:row>
    <x:row r="19" ht="150" customHeight="1">
      <x:c r="A19" s="8" t="str">
        <x:v>acquirer.debt.covenants_and_restricted_payments</x:v>
      </x:c>
      <x:c r="B19" s="8" t="str">
        <x:v>Remaining</x:v>
      </x:c>
      <x:c r="C19" s="8" t="str">
        <x:v>missing evidence</x:v>
      </x:c>
      <x:c r="D19" s="8" t="str">
        <x:v>conditionally applicable requirement</x:v>
      </x:c>
      <x:c r="E19" s="8" t="str">
        <x:v>Instrument rights determine mandatory repayments, coupon resets and legally available borrowing; numerical solvency cannot replace contract evidence.</x:v>
      </x:c>
      <x:c r="F19" s="8" t="str">
        <x:v>DKS lease-adjusted maximum 3.75x; conditional acquisition election 4.25x. FL springing FCCR 1.00x plus restricted-payment conditions.</x:v>
      </x:c>
      <x:c r="G19" s="8" t="str">
        <x:v>Contractual numerator/denominator reconciliation, permitted debt and lien baskets, payment-condition capacity and post-acquisition eligibility.</x:v>
      </x:c>
      <x:c r="H19" s="8" t="str">
        <x:v>Required for all complete funding structures.</x:v>
      </x:c>
      <x:c r="I19" s="8" t="str">
        <x:v>https://www.sec.gov/Archives/edgar/data/1089063/000119312522009887/d285529dex101.htm</x:v>
      </x:c>
      <x:c r="J19" s="8" t="str">
        <x:v>Executed agreements and latest compliance certificates; counsel interpretation. Generic net-debt/EBITDA engine thresholds do not implement these covenants.</x:v>
      </x:c>
    </x:row>
    <x:row r="20" ht="150" customHeight="1">
      <x:c r="A20" s="8" t="str">
        <x:v>target.opening.unrestricted_cash</x:v>
      </x:c>
      <x:c r="B20" s="8" t="str">
        <x:v>Remaining</x:v>
      </x:c>
      <x:c r="C20" s="8" t="str">
        <x:v>missing evidence</x:v>
      </x:c>
      <x:c r="D20" s="8" t="str">
        <x:v>historical fact</x:v>
      </x:c>
      <x:c r="E20" s="8" t="str">
        <x:v>Opening liquidity and debt determine spendable cash, financing need and net leverage; a wrong balance can falsely imply funding.</x:v>
      </x:c>
      <x:c r="F20" s="8" t="str">
        <x:v>Feb 1 cash and equivalents: DKS 1689.940; FL 401, with separately restricted 29. Accounting balances are verified separately.</x:v>
      </x:c>
      <x:c r="G20" s="8" t="str">
        <x:v>Entity-level encumbrances, trapped/repatriable cash, minimum operating balances, and legally available cash at the selected closing date.</x:v>
      </x:c>
      <x:c r="H20" s="8" t="str">
        <x:v>Cash-first consumes availability. A zero contribution removes acquisition use, but group liquidity still cannot count restricted or inaccessible balances. No waiver applied.</x:v>
      </x:c>
      <x:c r="I20" s="8" t="str">
        <x:v>https://www.sec.gov/Archives/edgar/data/850209/000143774925009620/floc20241213_10k.htm</x:v>
      </x:c>
      <x:c r="J20" s="8" t="str">
        <x:v>Treasury cash-by-entity/restriction schedule, credit security documents and counsel review; prospective cash bridge must remain a forecast.</x:v>
      </x:c>
    </x:row>
    <x:row r="21" ht="150" customHeight="1">
      <x:c r="A21" s="8" t="str">
        <x:v>target.opening.cash_restrictions</x:v>
      </x:c>
      <x:c r="B21" s="8" t="str">
        <x:v>Remaining</x:v>
      </x:c>
      <x:c r="C21" s="8" t="str">
        <x:v>missing evidence</x:v>
      </x:c>
      <x:c r="D21" s="8" t="str">
        <x:v>historical fact</x:v>
      </x:c>
      <x:c r="E21" s="8" t="str">
        <x:v>Opening liquidity and debt determine spendable cash, financing need and net leverage; a wrong balance can falsely imply funding.</x:v>
      </x:c>
      <x:c r="F21" s="8" t="str">
        <x:v>Feb 1 cash and equivalents: DKS 1689.940; FL 401, with separately restricted 29. Accounting balances are verified separately.</x:v>
      </x:c>
      <x:c r="G21" s="8" t="str">
        <x:v>Entity-level encumbrances, trapped/repatriable cash, minimum operating balances, and legally available cash at the selected closing date.</x:v>
      </x:c>
      <x:c r="H21" s="8" t="str">
        <x:v>Cash-first consumes availability. A zero contribution removes acquisition use, but group liquidity still cannot count restricted or inaccessible balances. No waiver applied.</x:v>
      </x:c>
      <x:c r="I21" s="8" t="str">
        <x:v>https://www.sec.gov/Archives/edgar/data/850209/000143774925009620/floc20241213_10k.htm</x:v>
      </x:c>
      <x:c r="J21" s="8" t="str">
        <x:v>Treasury cash-by-entity/restriction schedule, credit security documents and counsel review; prospective cash bridge must remain a forecast.</x:v>
      </x:c>
    </x:row>
    <x:row r="22" ht="150" customHeight="1">
      <x:c r="A22" s="8" t="str">
        <x:v>target.opening.debt_principal</x:v>
      </x:c>
      <x:c r="B22" s="8" t="str">
        <x:v>Resolved</x:v>
      </x:c>
      <x:c r="C22" s="8" t="str">
        <x:v>verified fact</x:v>
      </x:c>
      <x:c r="D22" s="8" t="str">
        <x:v>historical fact</x:v>
      </x:c>
      <x:c r="E22" s="8" t="str">
        <x:v>Opening liquidity and debt determine spendable cash, financing need and net leverage; a wrong balance can falsely imply funding.</x:v>
      </x:c>
      <x:c r="F22" s="8" t="str">
        <x:v>DKS notes 750+750; FL notes 400 and finance-lease liability 50. Carrying amounts are separate.</x:v>
      </x:c>
      <x:c r="G22" s="8" t="str">
        <x:v>None for this narrowly defined input; related financing dependencies remain separate.</x:v>
      </x:c>
      <x:c r="H22" s="8" t="str">
        <x:v>Required for all complete funding structures.</x:v>
      </x:c>
      <x:c r="I22" s="8" t="str">
        <x:v>https://www.sec.gov/Archives/edgar/data/850209/000143774925009620/floc20241213_10k.htm</x:v>
      </x:c>
      <x:c r="J22" s="8" t="str">
        <x:v>Debt Note 9 / Note 13 and lease liability ledger; exclude operating leases from financial-debt principal.</x:v>
      </x:c>
    </x:row>
    <x:row r="23" ht="150" customHeight="1">
      <x:c r="A23" s="8" t="str">
        <x:v>target.FY2024.ebitda_reconciliation</x:v>
      </x:c>
      <x:c r="B23" s="8" t="str">
        <x:v>Resolved</x:v>
      </x:c>
      <x:c r="C23" s="8" t="str">
        <x:v>verified fact</x:v>
      </x:c>
      <x:c r="D23" s="8" t="str">
        <x:v>historical fact</x:v>
      </x:c>
      <x:c r="E23" s="8" t="str">
        <x:v>Latest standalone operating base drives forecast EBITDA, cash taxes, working capital and cash available for debt service.</x:v>
      </x:c>
      <x:c r="F23" s="8" t="str">
        <x:v>Computed from verified FY2024 operating profit plus disclosed cash-flow D&amp;A. No exceptional-item addbacks.</x:v>
      </x:c>
      <x:c r="G23" s="8" t="str">
        <x:v>None for this narrowly defined input; related financing dependencies remain separate.</x:v>
      </x:c>
      <x:c r="H23" s="8" t="str">
        <x:v>Required for all complete funding structures.</x:v>
      </x:c>
      <x:c r="I23" s="8" t="str">
        <x:v>https://www.sec.gov/Archives/edgar/data/850209/000143774925009620/floc20241213_10k.htm</x:v>
      </x:c>
      <x:c r="J23" s="8" t="str">
        <x:v>Code-owned sum with dependency checks. This resolves simple operating EBITDA, not covenant EBITDAR.</x:v>
      </x:c>
    </x:row>
    <x:row r="24" ht="150" customHeight="1">
      <x:c r="A24" s="8" t="str">
        <x:v>target.FY2024.receivables</x:v>
      </x:c>
      <x:c r="B24" s="8" t="str">
        <x:v>Resolved</x:v>
      </x:c>
      <x:c r="C24" s="8" t="str">
        <x:v>verified fact</x:v>
      </x:c>
      <x:c r="D24" s="8" t="str">
        <x:v>historical fact</x:v>
      </x:c>
      <x:c r="E24" s="8" t="str">
        <x:v>Latest standalone operating base drives forecast EBITDA, cash taxes, working capital and cash available for debt service.</x:v>
      </x:c>
      <x:c r="F24" s="8" t="str">
        <x:v>FL Note 8 p54: net receivables 156 at Feb 1, 2025; 160 comparative.</x:v>
      </x:c>
      <x:c r="G24" s="8" t="str">
        <x:v>None for this narrowly defined input; related financing dependencies remain separate.</x:v>
      </x:c>
      <x:c r="H24" s="8" t="str">
        <x:v>Required for all complete funding structures.</x:v>
      </x:c>
      <x:c r="I24" s="8" t="str">
        <x:v>https://www.sec.gov/Archives/edgar/data/850209/000143774925009620/floc20241213_10k.htm</x:v>
      </x:c>
      <x:c r="J24" s="8" t="str">
        <x:v>Exact units/date reviewed; feeds selected operating NWC, not all current assets.</x:v>
      </x:c>
    </x:row>
    <x:row r="25" ht="150" customHeight="1">
      <x:c r="A25" s="8" t="str">
        <x:v>target.FY2024.lease_reconciliation</x:v>
      </x:c>
      <x:c r="B25" s="8" t="str">
        <x:v>Remaining</x:v>
      </x:c>
      <x:c r="C25" s="8" t="str">
        <x:v>missing evidence</x:v>
      </x:c>
      <x:c r="D25" s="8" t="str">
        <x:v>historical fact</x:v>
      </x:c>
      <x:c r="E25" s="8" t="str">
        <x:v>Latest standalone operating base drives forecast EBITDA, cash taxes, working capital and cash available for debt service.</x:v>
      </x:c>
      <x:c r="F25" s="8" t="str">
        <x:v>Rent cost components, fixed lease cash, operating liabilities, uncommenced commitments and FL finance cash are separately archived.</x:v>
      </x:c>
      <x:c r="G25" s="8" t="str">
        <x:v>Cash timing for variable/short-term rent, subleases and complete instrument finance-lease interest/principal schedules; reconcile held-for-sale treatment.</x:v>
      </x:c>
      <x:c r="H25" s="8" t="str">
        <x:v>Required for all complete funding structures.</x:v>
      </x:c>
      <x:c r="I25" s="8" t="str">
        <x:v>https://www.sec.gov/Archives/edgar/data/850209/000143774925009620/floc20241213_10k.htm</x:v>
      </x:c>
      <x:c r="J25" s="8" t="str">
        <x:v>Lease Note 7 (DKS) / 16 (FL), lease payment ledger and explicit future rent assumptions. FL liability includes 5 held for sale outside main table.</x:v>
      </x:c>
    </x:row>
    <x:row r="26" ht="150" customHeight="1">
      <x:c r="A26" s="8" t="str">
        <x:v>target.FY2024.dividends_buybacks_commitments</x:v>
      </x:c>
      <x:c r="B26" s="8" t="str">
        <x:v>Remaining</x:v>
      </x:c>
      <x:c r="C26" s="8" t="str">
        <x:v>missing evidence</x:v>
      </x:c>
      <x:c r="D26" s="8" t="str">
        <x:v>historical fact</x:v>
      </x:c>
      <x:c r="E26" s="8" t="str">
        <x:v>Contractual capital commitments can compete with debt service; discretionary future distributions are separate explicit assumptions.</x:v>
      </x:c>
      <x:c r="F26" s="8" t="str">
        <x:v>Cash-flow historical distributions and lease commitments disclosed; future discretionary distributions set to zero only as a scenario assumption.</x:v>
      </x:c>
      <x:c r="G26" s="8" t="str">
        <x:v>Reconciliation of declared/unpaid distributions and binding capex, purchase and lease commitments affecting the closing bridge and forecast.</x:v>
      </x:c>
      <x:c r="H26" s="8" t="str">
        <x:v>Required for all complete funding structures.</x:v>
      </x:c>
      <x:c r="I26" s="8" t="str">
        <x:v>https://www.sec.gov/Archives/edgar/data/850209/000143774925009620/floc20241213_10k.htm</x:v>
      </x:c>
      <x:c r="J26" s="8" t="str">
        <x:v>Annual cash-flow statement, commitments notes, pre-cutoff dividend declarations, treasury payable and capital-commitment schedules.</x:v>
      </x:c>
    </x:row>
    <x:row r="27" ht="150" customHeight="1">
      <x:c r="A27" s="8" t="str">
        <x:v>target.debt.instrument_inventory</x:v>
      </x:c>
      <x:c r="B27" s="8" t="str">
        <x:v>Remaining</x:v>
      </x:c>
      <x:c r="C27" s="8" t="str">
        <x:v>missing evidence</x:v>
      </x:c>
      <x:c r="D27" s="8" t="str">
        <x:v>conditionally applicable requirement</x:v>
      </x:c>
      <x:c r="E27" s="8" t="str">
        <x:v>Instrument rights determine mandatory repayments, coupon resets and legally available borrowing; numerical solvency cannot replace contract evidence.</x:v>
      </x:c>
      <x:c r="F27" s="8" t="str">
        <x:v>Bond series and aggregate lease liabilities disclosed; supplemental disclosures are not a complete executable instrument inventory.</x:v>
      </x:c>
      <x:c r="G27" s="8" t="str">
        <x:v>Complete lease/other borrowing register with principal, maturity, coupon, repayment and close treatment reconciled to debt notes.</x:v>
      </x:c>
      <x:c r="H27" s="8" t="str">
        <x:v>Required for all complete funding structures.</x:v>
      </x:c>
      <x:c r="I27" s="8" t="str">
        <x:v>https://www.sec.gov/Archives/edgar/data/850209/000143774925009620/floc20241213_10k.htm</x:v>
      </x:c>
      <x:c r="J27" s="8" t="str">
        <x:v>Annual debt and lease notes, treasury debt ledger and all material financing leases.</x:v>
      </x:c>
    </x:row>
    <x:row r="28" ht="150" customHeight="1">
      <x:c r="A28" s="8" t="str">
        <x:v>target.debt.maturity_and_amortisation_schedule</x:v>
      </x:c>
      <x:c r="B28" s="8" t="str">
        <x:v>Remaining</x:v>
      </x:c>
      <x:c r="C28" s="8" t="str">
        <x:v>missing evidence</x:v>
      </x:c>
      <x:c r="D28" s="8" t="str">
        <x:v>conditionally applicable requirement</x:v>
      </x:c>
      <x:c r="E28" s="8" t="str">
        <x:v>Instrument rights determine mandatory repayments, coupon resets and legally available borrowing; numerical solvency cannot replace contract evidence.</x:v>
      </x:c>
      <x:c r="F28" s="8" t="str">
        <x:v>DKS bullets Jan 15 2032/2052; FL note Oct 1 2029; annual aggregate lease payments disclosed.</x:v>
      </x:c>
      <x:c r="G28" s="8" t="str">
        <x:v>Finance-lease principal versus interest allocation and instrument-level remaining payment dates; relative model maturity must use assumed closing date.</x:v>
      </x:c>
      <x:c r="H28" s="8" t="str">
        <x:v>Required for all complete funding structures.</x:v>
      </x:c>
      <x:c r="I28" s="8" t="str">
        <x:v>https://www.sec.gov/Archives/edgar/data/850209/000143774925009620/floc20241213_10k.htm</x:v>
      </x:c>
      <x:c r="J28" s="8" t="str">
        <x:v>Original indentures plus lease amortisation ledger. Aggregate future minimum payments are not all principal.</x:v>
      </x:c>
    </x:row>
    <x:row r="29" ht="150" customHeight="1">
      <x:c r="A29" s="8" t="str">
        <x:v>target.debt.coupons_and_resets</x:v>
      </x:c>
      <x:c r="B29" s="8" t="str">
        <x:v>Remaining</x:v>
      </x:c>
      <x:c r="C29" s="8" t="str">
        <x:v>missing evidence</x:v>
      </x:c>
      <x:c r="D29" s="8" t="str">
        <x:v>conditionally applicable requirement</x:v>
      </x:c>
      <x:c r="E29" s="8" t="str">
        <x:v>Instrument rights determine mandatory repayments, coupon resets and legally available borrowing; numerical solvency cannot replace contract evidence.</x:v>
      </x:c>
      <x:c r="F29" s="8" t="str">
        <x:v>Fixed note coupons 3.15%/4.10% DKS and 4% FL; DKS SOFR margin 112.5bp at year-end, FL term-SOFR grid 150-200bp.</x:v>
      </x:c>
      <x:c r="G29" s="8" t="str">
        <x:v>Instrument lease effective interest schedules, applicable future facility pricing-grid/rating assumptions and resets.</x:v>
      </x:c>
      <x:c r="H29" s="8" t="str">
        <x:v>Required for all complete funding structures.</x:v>
      </x:c>
      <x:c r="I29" s="8" t="str">
        <x:v>https://www.sec.gov/Archives/edgar/data/850209/000143774925009620/floc20241213_10k.htm</x:v>
      </x:c>
      <x:c r="J29" s="8" t="str">
        <x:v>Indentures and credit agreements plus lease ledger. Weighted-average lease discount rate is not each instrument coupon.</x:v>
      </x:c>
    </x:row>
    <x:row r="30" ht="150" customHeight="1">
      <x:c r="A30" s="8" t="str">
        <x:v>target.debt.change_of_control</x:v>
      </x:c>
      <x:c r="B30" s="8" t="str">
        <x:v>Remaining</x:v>
      </x:c>
      <x:c r="C30" s="8" t="str">
        <x:v>missing evidence</x:v>
      </x:c>
      <x:c r="D30" s="8" t="str">
        <x:v>conditionally applicable requirement</x:v>
      </x:c>
      <x:c r="E30" s="8" t="str">
        <x:v>Instrument rights determine mandatory repayments, coupon resets and legally available borrowing; numerical solvency cannot replace contract evidence.</x:v>
      </x:c>
      <x:c r="F30" s="8" t="str">
        <x:v>FL ABL termination required at closing. FL note offer 101% requires control AND ratings event. DKS purchase of target does not itself establish DKS control change.</x:v>
      </x:c>
      <x:c r="G30" s="8" t="str">
        <x:v>Facility and lease consent/default application, notes ratings-event assessment and exact retained versus redeemed treatment.</x:v>
      </x:c>
      <x:c r="H30" s="8" t="str">
        <x:v>Required for all complete funding structures.</x:v>
      </x:c>
      <x:c r="I30" s="8" t="str">
        <x:v>https://www.sec.gov/Archives/edgar/data/850209/000110465925049592/tm2515123d3_ex2-1.htm</x:v>
      </x:c>
      <x:c r="J30" s="8" t="str">
        <x:v>Merger 7.16, indenture definitions/4.10, ABL 8.01 and lease contracts; scenario-specific legal review.</x:v>
      </x:c>
    </x:row>
    <x:row r="31" ht="150" customHeight="1">
      <x:c r="A31" s="8" t="str">
        <x:v>target.debt.refinancing_and_repricing</x:v>
      </x:c>
      <x:c r="B31" s="8" t="str">
        <x:v>Remaining</x:v>
      </x:c>
      <x:c r="C31" s="8" t="str">
        <x:v>missing evidence</x:v>
      </x:c>
      <x:c r="D31" s="8" t="str">
        <x:v>conditionally applicable requirement</x:v>
      </x:c>
      <x:c r="E31" s="8" t="str">
        <x:v>Instrument rights determine mandatory repayments, coupon resets and legally available borrowing; numerical solvency cannot replace contract evidence.</x:v>
      </x:c>
      <x:c r="F31" s="8" t="str">
        <x:v>DKS pre-par make-whole; FL redemption 102% before Oct 1 2025, 101% until Oct 1 2026, then par, plus accrued interest.</x:v>
      </x:c>
      <x:c r="G31" s="8" t="str">
        <x:v>Scenario treatment for each instrument, accrued interest, notice timing and any lease termination/consent costs; actual future refinancing is not guaranteed.</x:v>
      </x:c>
      <x:c r="H31" s="8" t="str">
        <x:v>Retain versus redeem changes required calculations. Refinancing coupon/fees are future assumptions; existing call premium/consent rights remain historical facts. No waiver applied.</x:v>
      </x:c>
      <x:c r="I31" s="8" t="str">
        <x:v>https://www.sec.gov/Archives/edgar/data/850209/000153949721001514/exh4-1_indenture.htm</x:v>
      </x:c>
      <x:c r="J31" s="8" t="str">
        <x:v>Original indenture redemption sections and prospective quote sensitivities. Retained DKS notes with no optional redemption do not require a make-whole quote.</x:v>
      </x:c>
    </x:row>
    <x:row r="32" ht="150" customHeight="1">
      <x:c r="A32" s="8" t="str">
        <x:v>target.debt.revolver_commitments</x:v>
      </x:c>
      <x:c r="B32" s="8" t="str">
        <x:v>Resolved</x:v>
      </x:c>
      <x:c r="C32" s="8" t="str">
        <x:v>verified fact</x:v>
      </x:c>
      <x:c r="D32" s="8" t="str">
        <x:v>conditionally applicable requirement</x:v>
      </x:c>
      <x:c r="E32" s="8" t="str">
        <x:v>Instrument rights determine mandatory repayments, coupon resets and legally available borrowing; numerical solvency cannot replace contract evidence.</x:v>
      </x:c>
      <x:c r="F32" s="8" t="str">
        <x:v>DKS unsecured 1600, Jan 14 2027; FL secured 600, June 20 2029. Both zero drawn at fiscal year-end. Uncommitted accordions excluded.</x:v>
      </x:c>
      <x:c r="G32" s="8" t="str">
        <x:v>None for this narrowly defined input; related financing dependencies remain separate.</x:v>
      </x:c>
      <x:c r="H32" s="8" t="str">
        <x:v>Required for all complete funding structures.</x:v>
      </x:c>
      <x:c r="I32" s="8" t="str">
        <x:v>https://www.sec.gov/Archives/edgar/data/850209/000143774925009620/floc20241213_10k.htm</x:v>
      </x:c>
      <x:c r="J32" s="8" t="str">
        <x:v>Annual debt notes verify contractual size and dates; does not resolve borrowing eligibility.</x:v>
      </x:c>
    </x:row>
    <x:row r="33" ht="150" customHeight="1">
      <x:c r="A33" s="8" t="str">
        <x:v>target.debt.borrowing_base_and_letters_of_credit</x:v>
      </x:c>
      <x:c r="B33" s="8" t="str">
        <x:v>Remaining</x:v>
      </x:c>
      <x:c r="C33" s="8" t="str">
        <x:v>missing evidence</x:v>
      </x:c>
      <x:c r="D33" s="8" t="str">
        <x:v>conditionally applicable requirement</x:v>
      </x:c>
      <x:c r="E33" s="8" t="str">
        <x:v>Instrument rights determine mandatory repayments, coupon resets and legally available borrowing; numerical solvency cannot replace contract evidence.</x:v>
      </x:c>
      <x:c r="F33" s="8" t="str">
        <x:v>DKS LC 19.9 against unsecured 1600; FL LC 7 against 600 commitment, subject to eligible inventory/reserves.</x:v>
      </x:c>
      <x:c r="G33" s="8" t="str">
        <x:v>Latest certified eligible collateral, reserves and LC replacement/cash-collateral terms.</x:v>
      </x:c>
      <x:c r="H33" s="8" t="str">
        <x:v>Target ABL is terminated under merger 7.16(a); no post-close availability counted. Certificate matters for interim liquidity; funded payoff and LC replacement still matter for closing uses. No blanket waiver.</x:v>
      </x:c>
      <x:c r="I33" s="8" t="str">
        <x:v>https://www.sec.gov/Archives/edgar/data/850209/000143774925009620/floc20241213_10k.htm</x:v>
      </x:c>
      <x:c r="J33" s="8" t="str">
        <x:v>DKS Note 9; FL ABL borrowing-base certificate under agreement reporting provisions, held by Wells Fargo/borrower treasury.</x:v>
      </x:c>
    </x:row>
    <x:row r="34" ht="150" customHeight="1">
      <x:c r="A34" s="8" t="str">
        <x:v>target.debt.covenants_and_restricted_payments</x:v>
      </x:c>
      <x:c r="B34" s="8" t="str">
        <x:v>Remaining</x:v>
      </x:c>
      <x:c r="C34" s="8" t="str">
        <x:v>missing evidence</x:v>
      </x:c>
      <x:c r="D34" s="8" t="str">
        <x:v>conditionally applicable requirement</x:v>
      </x:c>
      <x:c r="E34" s="8" t="str">
        <x:v>Instrument rights determine mandatory repayments, coupon resets and legally available borrowing; numerical solvency cannot replace contract evidence.</x:v>
      </x:c>
      <x:c r="F34" s="8" t="str">
        <x:v>DKS lease-adjusted maximum 3.75x; conditional acquisition election 4.25x. FL springing FCCR 1.00x plus restricted-payment conditions.</x:v>
      </x:c>
      <x:c r="G34" s="8" t="str">
        <x:v>Contractual numerator/denominator reconciliation, permitted debt and lien baskets, payment-condition capacity and post-acquisition eligibility.</x:v>
      </x:c>
      <x:c r="H34" s="8" t="str">
        <x:v>Required for all complete funding structures.</x:v>
      </x:c>
      <x:c r="I34" s="8" t="str">
        <x:v>https://www.sec.gov/Archives/edgar/data/850209/000143774924021177/ex_691205.htm</x:v>
      </x:c>
      <x:c r="J34" s="8" t="str">
        <x:v>Executed agreements and latest compliance certificates; counsel interpretation. Generic net-debt/EBITDA engine thresholds do not implement these covenants.</x:v>
      </x:c>
    </x:row>
    <x:row r="35" ht="150" customHeight="1">
      <x:c r="A35" s="8" t="str">
        <x:v>assumption.closing_bridge</x:v>
      </x:c>
      <x:c r="B35" s="8" t="str">
        <x:v>Resolved</x:v>
      </x:c>
      <x:c r="C35" s="8" t="str">
        <x:v>explicit modelling assumption</x:v>
      </x:c>
      <x:c r="D35" s="8" t="str">
        <x:v>future modelling assumption</x:v>
      </x:c>
      <x:c r="E35" s="8" t="str">
        <x:v>Future choice controls forecast or funding mechanics; explicit rationale is required, but it is not a historical fact.</x:v>
      </x:c>
      <x:c r="F35" s="8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  <x:c r="G35" s="8" t="str">
        <x:v>None for this narrowly defined input; related financing dependencies remain separate.</x:v>
      </x:c>
      <x:c r="H35" s="8" t="str">
        <x:v>Required when running the full prospective model. Partial studies disclose only the assumptions they consume.</x:v>
      </x:c>
      <x:c r="I35" s="8" t="str">
        <x:v>Analyst assumption register</x:v>
      </x:c>
      <x:c r="J35" s="8" t="str">
        <x:v>Explicit prospective choice; test uncertainty. Does not replace missing historical balance, rights or obligations.</x:v>
      </x:c>
    </x:row>
    <x:row r="36" ht="150" customHeight="1">
      <x:c r="A36" s="8" t="str">
        <x:v>assumption.operating_forecast</x:v>
      </x:c>
      <x:c r="B36" s="8" t="str">
        <x:v>Resolved</x:v>
      </x:c>
      <x:c r="C36" s="8" t="str">
        <x:v>explicit modelling assumption</x:v>
      </x:c>
      <x:c r="D36" s="8" t="str">
        <x:v>future modelling assumption</x:v>
      </x:c>
      <x:c r="E36" s="8" t="str">
        <x:v>Future choice controls forecast or funding mechanics; explicit rationale is required, but it is not a historical fact.</x:v>
      </x:c>
      <x:c r="F36" s="8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  <x:c r="G36" s="8" t="str">
        <x:v>None for this narrowly defined input; related financing dependencies remain separate.</x:v>
      </x:c>
      <x:c r="H36" s="8" t="str">
        <x:v>Required when running the full prospective model. Partial studies disclose only the assumptions they consume.</x:v>
      </x:c>
      <x:c r="I36" s="8" t="str">
        <x:v>Analyst assumption register</x:v>
      </x:c>
      <x:c r="J36" s="8" t="str">
        <x:v>Explicit prospective choice; test uncertainty. Does not replace missing historical balance, rights or obligations.</x:v>
      </x:c>
    </x:row>
    <x:row r="37" ht="150" customHeight="1">
      <x:c r="A37" s="8" t="str">
        <x:v>assumption.synergy_delivery_and_costs</x:v>
      </x:c>
      <x:c r="B37" s="8" t="str">
        <x:v>Resolved</x:v>
      </x:c>
      <x:c r="C37" s="8" t="str">
        <x:v>explicit modelling assumption</x:v>
      </x:c>
      <x:c r="D37" s="8" t="str">
        <x:v>future modelling assumption</x:v>
      </x:c>
      <x:c r="E37" s="8" t="str">
        <x:v>Future choice controls forecast or funding mechanics; explicit rationale is required, but it is not a historical fact.</x:v>
      </x:c>
      <x:c r="F37" s="8" t="str">
        <x:v>Future delivery/cost choices, not management cost guidance. Test run rates 0/100/125, one-year delay and doubled integration costs.</x:v>
      </x:c>
      <x:c r="G37" s="8" t="str">
        <x:v>None for this narrowly defined input; related financing dependencies remain separate.</x:v>
      </x:c>
      <x:c r="H37" s="8" t="str">
        <x:v>Required when running the full prospective model. Partial studies disclose only the assumptions they consume.</x:v>
      </x:c>
      <x:c r="I37" s="8" t="str">
        <x:v>Analyst assumption register</x:v>
      </x:c>
      <x:c r="J37" s="8" t="str">
        <x:v>Explicit prospective choice; test uncertainty. Does not replace missing historical balance, rights or obligations.</x:v>
      </x:c>
    </x:row>
    <x:row r="38" ht="150" customHeight="1">
      <x:c r="A38" s="8" t="str">
        <x:v>assumption.financing_terms_and_fees</x:v>
      </x:c>
      <x:c r="B38" s="8" t="str">
        <x:v>Resolved</x:v>
      </x:c>
      <x:c r="C38" s="8" t="str">
        <x:v>explicit modelling assumption</x:v>
      </x:c>
      <x:c r="D38" s="8" t="str">
        <x:v>future modelling assumption</x:v>
      </x:c>
      <x:c r="E38" s="8" t="str">
        <x:v>Future choice controls forecast or funding mechanics; explicit rationale is required, but it is not a historical fact.</x:v>
      </x:c>
      <x:c r="F38" s="8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  <x:c r="G38" s="8" t="str">
        <x:v>None for this narrowly defined input; related financing dependencies remain separate.</x:v>
      </x:c>
      <x:c r="H38" s="8" t="str">
        <x:v>Required when running the full prospective model. Partial studies disclose only the assumptions they consume.</x:v>
      </x:c>
      <x:c r="I38" s="8" t="str">
        <x:v>Analyst assumption register</x:v>
      </x:c>
      <x:c r="J38" s="8" t="str">
        <x:v>Explicit prospective choice; test uncertainty. Does not replace missing historical balance, rights or obligations.</x:v>
      </x:c>
    </x:row>
    <x:row r="39" ht="150" customHeight="1">
      <x:c r="A39" s="8" t="str">
        <x:v>assumption.analytical_thresholds</x:v>
      </x:c>
      <x:c r="B39" s="8" t="str">
        <x:v>Resolved</x:v>
      </x:c>
      <x:c r="C39" s="8" t="str">
        <x:v>explicit modelling assumption</x:v>
      </x:c>
      <x:c r="D39" s="8" t="str">
        <x:v>future modelling assumption</x:v>
      </x:c>
      <x:c r="E39" s="8" t="str">
        <x:v>Future choice controls forecast or funding mechanics; explicit rationale is required, but it is not a historical fact.</x:v>
      </x:c>
      <x:c r="F39" s="8" t="str">
        <x:v>Analyst screening limits, not lender covenants or verified tax deductibility; test cash floors 500/750/1000 and leverage 2/3/4.</x:v>
      </x:c>
      <x:c r="G39" s="8" t="str">
        <x:v>None for this narrowly defined input; related financing dependencies remain separate.</x:v>
      </x:c>
      <x:c r="H39" s="8" t="str">
        <x:v>Required when running the full prospective model. Partial studies disclose only the assumptions they consume.</x:v>
      </x:c>
      <x:c r="I39" s="8" t="str">
        <x:v>Analyst assumption register</x:v>
      </x:c>
      <x:c r="J39" s="8" t="str">
        <x:v>Explicit prospective choice; test uncertainty. Does not replace missing historical balance, rights or obligations.</x:v>
      </x:c>
    </x:row>
    <x:row r="40" ht="150" customHeight="1">
      <x:c r="A40" s="8" t="str">
        <x:v>assumption.capital_allocation</x:v>
      </x:c>
      <x:c r="B40" s="8" t="str">
        <x:v>Resolved</x:v>
      </x:c>
      <x:c r="C40" s="8" t="str">
        <x:v>explicit modelling assumption</x:v>
      </x:c>
      <x:c r="D40" s="8" t="str">
        <x:v>future modelling assumption</x:v>
      </x:c>
      <x:c r="E40" s="8" t="str">
        <x:v>Future choice controls forecast or funding mechanics; explicit rationale is required, but it is not a historical fact.</x:v>
      </x:c>
      <x:c r="F40" s="8" t="str">
        <x:v>Prospective suspension of discretionary distributions and optional repayments. Existing declared obligations remain separate missing facts, not zeroed.</x:v>
      </x:c>
      <x:c r="G40" s="8" t="str">
        <x:v>None for this narrowly defined input; related financing dependencies remain separate.</x:v>
      </x:c>
      <x:c r="H40" s="8" t="str">
        <x:v>Required when running the full prospective model. Partial studies disclose only the assumptions they consume.</x:v>
      </x:c>
      <x:c r="I40" s="8" t="str">
        <x:v>Analyst assumption register</x:v>
      </x:c>
      <x:c r="J40" s="8" t="str">
        <x:v>Explicit prospective choice; test uncertainty. Does not replace missing historical balance, rights or obligations.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5" hidden="0" customWidth="1"/>
    <x:col min="2" max="2" width="22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90" hidden="0" customWidth="1"/>
  </x:cols>
  <x:sheetData>
    <x:row r="2" ht="42" customHeight="1">
      <x:c r="A2" s="5" t="str">
        <x:v>Fictional Atlas / Beacon - illustrative only | Historical sensitivities</x:v>
      </x:c>
      <x:c r="B2" s="5"/>
      <x:c r="C2" s="5"/>
      <x:c r="D2" s="5"/>
      <x:c r="E2" s="5"/>
      <x:c r="F2" s="5"/>
      <x:c r="G2" s="5"/>
      <x:c r="H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</x:row>
    <x:row r="4" ht="42" customHeight="1">
      <x:c r="A4" s="7" t="str">
        <x:v>Study</x:v>
      </x:c>
      <x:c r="B4" s="7" t="str">
        <x:v>Company</x:v>
      </x:c>
      <x:c r="C4" s="7" t="str">
        <x:v>Year</x:v>
      </x:c>
      <x:c r="D4" s="7" t="str">
        <x:v>Annual growth</x:v>
      </x:c>
      <x:c r="E4" s="7" t="str">
        <x:v>Margin shift</x:v>
      </x:c>
      <x:c r="F4" s="7" t="str">
        <x:v>Revenue</x:v>
      </x:c>
      <x:c r="G4" s="7" t="str">
        <x:v>EBITDA</x:v>
      </x:c>
      <x:c r="H4" s="7" t="str">
        <x:v>Limitations</x:v>
      </x:c>
    </x:row>
    <x:row r="5" ht="80" customHeight="1">
      <x:c r="A5" s="8" t="str">
        <x:v>Hypothetical operating sensitivity; not actual company forecast or capacity</x:v>
      </x:c>
      <x:c r="B5" s="8" t="str">
        <x:v>acquirer</x:v>
      </x:c>
      <x:c r="C5" s="22" t="n">
        <x:v>1</x:v>
      </x:c>
      <x:c r="D5" s="23" t="n">
        <x:v>0</x:v>
      </x:c>
      <x:c r="E5" s="23" t="n">
        <x:v>0</x:v>
      </x:c>
      <x:c r="F5" s="8" t="n">
        <x:v>13442.849</x:v>
      </x:c>
      <x:c r="G5" s="8" t="n">
        <x:v>1874.3410000000001</x:v>
      </x:c>
      <x:c r="H5" s="8" t="str">
        <x:v>Constant stressed EBITDA margin; excludes synergies, integration, capex, taxes, rent cash and financing. No preferred structure.</x:v>
      </x:c>
    </x:row>
    <x:row r="6" ht="80" customHeight="1">
      <x:c r="A6" s="8" t="str">
        <x:v>Hypothetical operating sensitivity; not actual company forecast or capacity</x:v>
      </x:c>
      <x:c r="B6" s="8" t="str">
        <x:v>acquirer</x:v>
      </x:c>
      <x:c r="C6" s="22" t="n">
        <x:v>2</x:v>
      </x:c>
      <x:c r="D6" s="23" t="n">
        <x:v>0</x:v>
      </x:c>
      <x:c r="E6" s="23" t="n">
        <x:v>0</x:v>
      </x:c>
      <x:c r="F6" s="8" t="n">
        <x:v>13442.849</x:v>
      </x:c>
      <x:c r="G6" s="8" t="n">
        <x:v>1874.3410000000001</x:v>
      </x:c>
      <x:c r="H6" s="8" t="str">
        <x:v>Constant stressed EBITDA margin; excludes synergies, integration, capex, taxes, rent cash and financing. No preferred structure.</x:v>
      </x:c>
    </x:row>
    <x:row r="7" ht="80" customHeight="1">
      <x:c r="A7" s="8" t="str">
        <x:v>Hypothetical operating sensitivity; not actual company forecast or capacity</x:v>
      </x:c>
      <x:c r="B7" s="8" t="str">
        <x:v>acquirer</x:v>
      </x:c>
      <x:c r="C7" s="22" t="n">
        <x:v>3</x:v>
      </x:c>
      <x:c r="D7" s="23" t="n">
        <x:v>0</x:v>
      </x:c>
      <x:c r="E7" s="23" t="n">
        <x:v>0</x:v>
      </x:c>
      <x:c r="F7" s="8" t="n">
        <x:v>13442.849</x:v>
      </x:c>
      <x:c r="G7" s="8" t="n">
        <x:v>1874.3410000000001</x:v>
      </x:c>
      <x:c r="H7" s="8" t="str">
        <x:v>Constant stressed EBITDA margin; excludes synergies, integration, capex, taxes, rent cash and financing. No preferred structure.</x:v>
      </x:c>
    </x:row>
    <x:row r="8" ht="80" customHeight="1">
      <x:c r="A8" s="8" t="str">
        <x:v>Hypothetical operating sensitivity; not actual company forecast or capacity</x:v>
      </x:c>
      <x:c r="B8" s="8" t="str">
        <x:v>acquirer</x:v>
      </x:c>
      <x:c r="C8" s="22" t="n">
        <x:v>4</x:v>
      </x:c>
      <x:c r="D8" s="23" t="n">
        <x:v>0</x:v>
      </x:c>
      <x:c r="E8" s="23" t="n">
        <x:v>0</x:v>
      </x:c>
      <x:c r="F8" s="8" t="n">
        <x:v>13442.849</x:v>
      </x:c>
      <x:c r="G8" s="8" t="n">
        <x:v>1874.3410000000001</x:v>
      </x:c>
      <x:c r="H8" s="8" t="str">
        <x:v>Constant stressed EBITDA margin; excludes synergies, integration, capex, taxes, rent cash and financing. No preferred structure.</x:v>
      </x:c>
    </x:row>
    <x:row r="9" ht="80" customHeight="1">
      <x:c r="A9" s="8" t="str">
        <x:v>Hypothetical operating sensitivity; not actual company forecast or capacity</x:v>
      </x:c>
      <x:c r="B9" s="8" t="str">
        <x:v>acquirer</x:v>
      </x:c>
      <x:c r="C9" s="22" t="n">
        <x:v>5</x:v>
      </x:c>
      <x:c r="D9" s="23" t="n">
        <x:v>0</x:v>
      </x:c>
      <x:c r="E9" s="23" t="n">
        <x:v>0</x:v>
      </x:c>
      <x:c r="F9" s="8" t="n">
        <x:v>13442.849</x:v>
      </x:c>
      <x:c r="G9" s="8" t="n">
        <x:v>1874.3410000000001</x:v>
      </x:c>
      <x:c r="H9" s="8" t="str">
        <x:v>Constant stressed EBITDA margin; excludes synergies, integration, capex, taxes, rent cash and financing. No preferred structure.</x:v>
      </x:c>
    </x:row>
    <x:row r="10" ht="80" customHeight="1">
      <x:c r="A10" s="8" t="str">
        <x:v>Hypothetical operating sensitivity; not actual company forecast or capacity</x:v>
      </x:c>
      <x:c r="B10" s="8" t="str">
        <x:v>acquirer</x:v>
      </x:c>
      <x:c r="C10" s="22" t="n">
        <x:v>1</x:v>
      </x:c>
      <x:c r="D10" s="23" t="n">
        <x:v>0</x:v>
      </x:c>
      <x:c r="E10" s="23" t="n">
        <x:v>-0.01</x:v>
      </x:c>
      <x:c r="F10" s="8" t="n">
        <x:v>13442.849</x:v>
      </x:c>
      <x:c r="G10" s="8" t="n">
        <x:v>1739.9125099999999</x:v>
      </x:c>
      <x:c r="H10" s="8" t="str">
        <x:v>Constant stressed EBITDA margin; excludes synergies, integration, capex, taxes, rent cash and financing. No preferred structure.</x:v>
      </x:c>
    </x:row>
    <x:row r="11" ht="80" customHeight="1">
      <x:c r="A11" s="8" t="str">
        <x:v>Hypothetical operating sensitivity; not actual company forecast or capacity</x:v>
      </x:c>
      <x:c r="B11" s="8" t="str">
        <x:v>acquirer</x:v>
      </x:c>
      <x:c r="C11" s="22" t="n">
        <x:v>2</x:v>
      </x:c>
      <x:c r="D11" s="23" t="n">
        <x:v>0</x:v>
      </x:c>
      <x:c r="E11" s="23" t="n">
        <x:v>-0.01</x:v>
      </x:c>
      <x:c r="F11" s="8" t="n">
        <x:v>13442.849</x:v>
      </x:c>
      <x:c r="G11" s="8" t="n">
        <x:v>1739.9125099999999</x:v>
      </x:c>
      <x:c r="H11" s="8" t="str">
        <x:v>Constant stressed EBITDA margin; excludes synergies, integration, capex, taxes, rent cash and financing. No preferred structure.</x:v>
      </x:c>
    </x:row>
    <x:row r="12" ht="80" customHeight="1">
      <x:c r="A12" s="8" t="str">
        <x:v>Hypothetical operating sensitivity; not actual company forecast or capacity</x:v>
      </x:c>
      <x:c r="B12" s="8" t="str">
        <x:v>acquirer</x:v>
      </x:c>
      <x:c r="C12" s="22" t="n">
        <x:v>3</x:v>
      </x:c>
      <x:c r="D12" s="23" t="n">
        <x:v>0</x:v>
      </x:c>
      <x:c r="E12" s="23" t="n">
        <x:v>-0.01</x:v>
      </x:c>
      <x:c r="F12" s="8" t="n">
        <x:v>13442.849</x:v>
      </x:c>
      <x:c r="G12" s="8" t="n">
        <x:v>1739.9125099999999</x:v>
      </x:c>
      <x:c r="H12" s="8" t="str">
        <x:v>Constant stressed EBITDA margin; excludes synergies, integration, capex, taxes, rent cash and financing. No preferred structure.</x:v>
      </x:c>
    </x:row>
    <x:row r="13" ht="80" customHeight="1">
      <x:c r="A13" s="8" t="str">
        <x:v>Hypothetical operating sensitivity; not actual company forecast or capacity</x:v>
      </x:c>
      <x:c r="B13" s="8" t="str">
        <x:v>acquirer</x:v>
      </x:c>
      <x:c r="C13" s="22" t="n">
        <x:v>4</x:v>
      </x:c>
      <x:c r="D13" s="23" t="n">
        <x:v>0</x:v>
      </x:c>
      <x:c r="E13" s="23" t="n">
        <x:v>-0.01</x:v>
      </x:c>
      <x:c r="F13" s="8" t="n">
        <x:v>13442.849</x:v>
      </x:c>
      <x:c r="G13" s="8" t="n">
        <x:v>1739.9125099999999</x:v>
      </x:c>
      <x:c r="H13" s="8" t="str">
        <x:v>Constant stressed EBITDA margin; excludes synergies, integration, capex, taxes, rent cash and financing. No preferred structure.</x:v>
      </x:c>
    </x:row>
    <x:row r="14" ht="80" customHeight="1">
      <x:c r="A14" s="8" t="str">
        <x:v>Hypothetical operating sensitivity; not actual company forecast or capacity</x:v>
      </x:c>
      <x:c r="B14" s="8" t="str">
        <x:v>acquirer</x:v>
      </x:c>
      <x:c r="C14" s="22" t="n">
        <x:v>5</x:v>
      </x:c>
      <x:c r="D14" s="23" t="n">
        <x:v>0</x:v>
      </x:c>
      <x:c r="E14" s="23" t="n">
        <x:v>-0.01</x:v>
      </x:c>
      <x:c r="F14" s="8" t="n">
        <x:v>13442.849</x:v>
      </x:c>
      <x:c r="G14" s="8" t="n">
        <x:v>1739.9125099999999</x:v>
      </x:c>
      <x:c r="H14" s="8" t="str">
        <x:v>Constant stressed EBITDA margin; excludes synergies, integration, capex, taxes, rent cash and financing. No preferred structure.</x:v>
      </x:c>
    </x:row>
    <x:row r="15" ht="80" customHeight="1">
      <x:c r="A15" s="8" t="str">
        <x:v>Hypothetical operating sensitivity; not actual company forecast or capacity</x:v>
      </x:c>
      <x:c r="B15" s="8" t="str">
        <x:v>acquirer</x:v>
      </x:c>
      <x:c r="C15" s="22" t="n">
        <x:v>1</x:v>
      </x:c>
      <x:c r="D15" s="23" t="n">
        <x:v>0</x:v>
      </x:c>
      <x:c r="E15" s="23" t="n">
        <x:v>-0.02</x:v>
      </x:c>
      <x:c r="F15" s="8" t="n">
        <x:v>13442.849</x:v>
      </x:c>
      <x:c r="G15" s="8" t="n">
        <x:v>1605.48402</x:v>
      </x:c>
      <x:c r="H15" s="8" t="str">
        <x:v>Constant stressed EBITDA margin; excludes synergies, integration, capex, taxes, rent cash and financing. No preferred structure.</x:v>
      </x:c>
    </x:row>
    <x:row r="16" ht="80" customHeight="1">
      <x:c r="A16" s="8" t="str">
        <x:v>Hypothetical operating sensitivity; not actual company forecast or capacity</x:v>
      </x:c>
      <x:c r="B16" s="8" t="str">
        <x:v>acquirer</x:v>
      </x:c>
      <x:c r="C16" s="22" t="n">
        <x:v>2</x:v>
      </x:c>
      <x:c r="D16" s="23" t="n">
        <x:v>0</x:v>
      </x:c>
      <x:c r="E16" s="23" t="n">
        <x:v>-0.02</x:v>
      </x:c>
      <x:c r="F16" s="8" t="n">
        <x:v>13442.849</x:v>
      </x:c>
      <x:c r="G16" s="8" t="n">
        <x:v>1605.48402</x:v>
      </x:c>
      <x:c r="H16" s="8" t="str">
        <x:v>Constant stressed EBITDA margin; excludes synergies, integration, capex, taxes, rent cash and financing. No preferred structure.</x:v>
      </x:c>
    </x:row>
    <x:row r="17" ht="80" customHeight="1">
      <x:c r="A17" s="8" t="str">
        <x:v>Hypothetical operating sensitivity; not actual company forecast or capacity</x:v>
      </x:c>
      <x:c r="B17" s="8" t="str">
        <x:v>acquirer</x:v>
      </x:c>
      <x:c r="C17" s="22" t="n">
        <x:v>3</x:v>
      </x:c>
      <x:c r="D17" s="23" t="n">
        <x:v>0</x:v>
      </x:c>
      <x:c r="E17" s="23" t="n">
        <x:v>-0.02</x:v>
      </x:c>
      <x:c r="F17" s="8" t="n">
        <x:v>13442.849</x:v>
      </x:c>
      <x:c r="G17" s="8" t="n">
        <x:v>1605.48402</x:v>
      </x:c>
      <x:c r="H17" s="8" t="str">
        <x:v>Constant stressed EBITDA margin; excludes synergies, integration, capex, taxes, rent cash and financing. No preferred structure.</x:v>
      </x:c>
    </x:row>
    <x:row r="18" ht="80" customHeight="1">
      <x:c r="A18" s="8" t="str">
        <x:v>Hypothetical operating sensitivity; not actual company forecast or capacity</x:v>
      </x:c>
      <x:c r="B18" s="8" t="str">
        <x:v>acquirer</x:v>
      </x:c>
      <x:c r="C18" s="22" t="n">
        <x:v>4</x:v>
      </x:c>
      <x:c r="D18" s="23" t="n">
        <x:v>0</x:v>
      </x:c>
      <x:c r="E18" s="23" t="n">
        <x:v>-0.02</x:v>
      </x:c>
      <x:c r="F18" s="8" t="n">
        <x:v>13442.849</x:v>
      </x:c>
      <x:c r="G18" s="8" t="n">
        <x:v>1605.48402</x:v>
      </x:c>
      <x:c r="H18" s="8" t="str">
        <x:v>Constant stressed EBITDA margin; excludes synergies, integration, capex, taxes, rent cash and financing. No preferred structure.</x:v>
      </x:c>
    </x:row>
    <x:row r="19" ht="80" customHeight="1">
      <x:c r="A19" s="8" t="str">
        <x:v>Hypothetical operating sensitivity; not actual company forecast or capacity</x:v>
      </x:c>
      <x:c r="B19" s="8" t="str">
        <x:v>acquirer</x:v>
      </x:c>
      <x:c r="C19" s="22" t="n">
        <x:v>5</x:v>
      </x:c>
      <x:c r="D19" s="23" t="n">
        <x:v>0</x:v>
      </x:c>
      <x:c r="E19" s="23" t="n">
        <x:v>-0.02</x:v>
      </x:c>
      <x:c r="F19" s="8" t="n">
        <x:v>13442.849</x:v>
      </x:c>
      <x:c r="G19" s="8" t="n">
        <x:v>1605.48402</x:v>
      </x:c>
      <x:c r="H19" s="8" t="str">
        <x:v>Constant stressed EBITDA margin; excludes synergies, integration, capex, taxes, rent cash and financing. No preferred structure.</x:v>
      </x:c>
    </x:row>
    <x:row r="20" ht="80" customHeight="1">
      <x:c r="A20" s="8" t="str">
        <x:v>Hypothetical operating sensitivity; not actual company forecast or capacity</x:v>
      </x:c>
      <x:c r="B20" s="8" t="str">
        <x:v>acquirer</x:v>
      </x:c>
      <x:c r="C20" s="22" t="n">
        <x:v>1</x:v>
      </x:c>
      <x:c r="D20" s="23" t="n">
        <x:v>-0.05</x:v>
      </x:c>
      <x:c r="E20" s="23" t="n">
        <x:v>0</x:v>
      </x:c>
      <x:c r="F20" s="8" t="n">
        <x:v>12770.706549999999</x:v>
      </x:c>
      <x:c r="G20" s="8" t="n">
        <x:v>1780.62395</x:v>
      </x:c>
      <x:c r="H20" s="8" t="str">
        <x:v>Constant stressed EBITDA margin; excludes synergies, integration, capex, taxes, rent cash and financing. No preferred structure.</x:v>
      </x:c>
    </x:row>
    <x:row r="21" ht="80" customHeight="1">
      <x:c r="A21" s="8" t="str">
        <x:v>Hypothetical operating sensitivity; not actual company forecast or capacity</x:v>
      </x:c>
      <x:c r="B21" s="8" t="str">
        <x:v>acquirer</x:v>
      </x:c>
      <x:c r="C21" s="22" t="n">
        <x:v>2</x:v>
      </x:c>
      <x:c r="D21" s="23" t="n">
        <x:v>-0.05</x:v>
      </x:c>
      <x:c r="E21" s="23" t="n">
        <x:v>0</x:v>
      </x:c>
      <x:c r="F21" s="8" t="n">
        <x:v>12132.1712225</x:v>
      </x:c>
      <x:c r="G21" s="8" t="n">
        <x:v>1691.5927525</x:v>
      </x:c>
      <x:c r="H21" s="8" t="str">
        <x:v>Constant stressed EBITDA margin; excludes synergies, integration, capex, taxes, rent cash and financing. No preferred structure.</x:v>
      </x:c>
    </x:row>
    <x:row r="22" ht="80" customHeight="1">
      <x:c r="A22" s="8" t="str">
        <x:v>Hypothetical operating sensitivity; not actual company forecast or capacity</x:v>
      </x:c>
      <x:c r="B22" s="8" t="str">
        <x:v>acquirer</x:v>
      </x:c>
      <x:c r="C22" s="22" t="n">
        <x:v>3</x:v>
      </x:c>
      <x:c r="D22" s="23" t="n">
        <x:v>-0.05</x:v>
      </x:c>
      <x:c r="E22" s="23" t="n">
        <x:v>0</x:v>
      </x:c>
      <x:c r="F22" s="8" t="n">
        <x:v>11525.562661375</x:v>
      </x:c>
      <x:c r="G22" s="8" t="n">
        <x:v>1607.013114875</x:v>
      </x:c>
      <x:c r="H22" s="8" t="str">
        <x:v>Constant stressed EBITDA margin; excludes synergies, integration, capex, taxes, rent cash and financing. No preferred structure.</x:v>
      </x:c>
    </x:row>
    <x:row r="23" ht="80" customHeight="1">
      <x:c r="A23" s="8" t="str">
        <x:v>Hypothetical operating sensitivity; not actual company forecast or capacity</x:v>
      </x:c>
      <x:c r="B23" s="8" t="str">
        <x:v>acquirer</x:v>
      </x:c>
      <x:c r="C23" s="22" t="n">
        <x:v>4</x:v>
      </x:c>
      <x:c r="D23" s="23" t="n">
        <x:v>-0.05</x:v>
      </x:c>
      <x:c r="E23" s="23" t="n">
        <x:v>0</x:v>
      </x:c>
      <x:c r="F23" s="8" t="n">
        <x:v>10949.284528306249</x:v>
      </x:c>
      <x:c r="G23" s="8" t="n">
        <x:v>1526.6624591312498</x:v>
      </x:c>
      <x:c r="H23" s="8" t="str">
        <x:v>Constant stressed EBITDA margin; excludes synergies, integration, capex, taxes, rent cash and financing. No preferred structure.</x:v>
      </x:c>
    </x:row>
    <x:row r="24" ht="80" customHeight="1">
      <x:c r="A24" s="8" t="str">
        <x:v>Hypothetical operating sensitivity; not actual company forecast or capacity</x:v>
      </x:c>
      <x:c r="B24" s="8" t="str">
        <x:v>acquirer</x:v>
      </x:c>
      <x:c r="C24" s="22" t="n">
        <x:v>5</x:v>
      </x:c>
      <x:c r="D24" s="23" t="n">
        <x:v>-0.05</x:v>
      </x:c>
      <x:c r="E24" s="23" t="n">
        <x:v>0</x:v>
      </x:c>
      <x:c r="F24" s="8" t="n">
        <x:v>10401.820301890935</x:v>
      </x:c>
      <x:c r="G24" s="8" t="n">
        <x:v>1450.3293361746871</x:v>
      </x:c>
      <x:c r="H24" s="8" t="str">
        <x:v>Constant stressed EBITDA margin; excludes synergies, integration, capex, taxes, rent cash and financing. No preferred structure.</x:v>
      </x:c>
    </x:row>
    <x:row r="25" ht="80" customHeight="1">
      <x:c r="A25" s="8" t="str">
        <x:v>Hypothetical operating sensitivity; not actual company forecast or capacity</x:v>
      </x:c>
      <x:c r="B25" s="8" t="str">
        <x:v>acquirer</x:v>
      </x:c>
      <x:c r="C25" s="22" t="n">
        <x:v>1</x:v>
      </x:c>
      <x:c r="D25" s="23" t="n">
        <x:v>-0.05</x:v>
      </x:c>
      <x:c r="E25" s="23" t="n">
        <x:v>-0.01</x:v>
      </x:c>
      <x:c r="F25" s="8" t="n">
        <x:v>12770.706549999999</x:v>
      </x:c>
      <x:c r="G25" s="8" t="n">
        <x:v>1652.9168844999997</x:v>
      </x:c>
      <x:c r="H25" s="8" t="str">
        <x:v>Constant stressed EBITDA margin; excludes synergies, integration, capex, taxes, rent cash and financing. No preferred structure.</x:v>
      </x:c>
    </x:row>
    <x:row r="26" ht="80" customHeight="1">
      <x:c r="A26" s="8" t="str">
        <x:v>Hypothetical operating sensitivity; not actual company forecast or capacity</x:v>
      </x:c>
      <x:c r="B26" s="8" t="str">
        <x:v>acquirer</x:v>
      </x:c>
      <x:c r="C26" s="22" t="n">
        <x:v>2</x:v>
      </x:c>
      <x:c r="D26" s="23" t="n">
        <x:v>-0.05</x:v>
      </x:c>
      <x:c r="E26" s="23" t="n">
        <x:v>-0.01</x:v>
      </x:c>
      <x:c r="F26" s="8" t="n">
        <x:v>12132.1712225</x:v>
      </x:c>
      <x:c r="G26" s="8" t="n">
        <x:v>1570.271040275</x:v>
      </x:c>
      <x:c r="H26" s="8" t="str">
        <x:v>Constant stressed EBITDA margin; excludes synergies, integration, capex, taxes, rent cash and financing. No preferred structure.</x:v>
      </x:c>
    </x:row>
    <x:row r="27" ht="80" customHeight="1">
      <x:c r="A27" s="8" t="str">
        <x:v>Hypothetical operating sensitivity; not actual company forecast or capacity</x:v>
      </x:c>
      <x:c r="B27" s="8" t="str">
        <x:v>acquirer</x:v>
      </x:c>
      <x:c r="C27" s="22" t="n">
        <x:v>3</x:v>
      </x:c>
      <x:c r="D27" s="23" t="n">
        <x:v>-0.05</x:v>
      </x:c>
      <x:c r="E27" s="23" t="n">
        <x:v>-0.01</x:v>
      </x:c>
      <x:c r="F27" s="8" t="n">
        <x:v>11525.562661375</x:v>
      </x:c>
      <x:c r="G27" s="8" t="n">
        <x:v>1491.7574882612498</x:v>
      </x:c>
      <x:c r="H27" s="8" t="str">
        <x:v>Constant stressed EBITDA margin; excludes synergies, integration, capex, taxes, rent cash and financing. No preferred structure.</x:v>
      </x:c>
    </x:row>
    <x:row r="28" ht="80" customHeight="1">
      <x:c r="A28" s="8" t="str">
        <x:v>Hypothetical operating sensitivity; not actual company forecast or capacity</x:v>
      </x:c>
      <x:c r="B28" s="8" t="str">
        <x:v>acquirer</x:v>
      </x:c>
      <x:c r="C28" s="22" t="n">
        <x:v>4</x:v>
      </x:c>
      <x:c r="D28" s="23" t="n">
        <x:v>-0.05</x:v>
      </x:c>
      <x:c r="E28" s="23" t="n">
        <x:v>-0.01</x:v>
      </x:c>
      <x:c r="F28" s="8" t="n">
        <x:v>10949.284528306249</x:v>
      </x:c>
      <x:c r="G28" s="8" t="n">
        <x:v>1417.1696138481873</x:v>
      </x:c>
      <x:c r="H28" s="8" t="str">
        <x:v>Constant stressed EBITDA margin; excludes synergies, integration, capex, taxes, rent cash and financing. No preferred structure.</x:v>
      </x:c>
    </x:row>
    <x:row r="29" ht="80" customHeight="1">
      <x:c r="A29" s="8" t="str">
        <x:v>Hypothetical operating sensitivity; not actual company forecast or capacity</x:v>
      </x:c>
      <x:c r="B29" s="8" t="str">
        <x:v>acquirer</x:v>
      </x:c>
      <x:c r="C29" s="22" t="n">
        <x:v>5</x:v>
      </x:c>
      <x:c r="D29" s="23" t="n">
        <x:v>-0.05</x:v>
      </x:c>
      <x:c r="E29" s="23" t="n">
        <x:v>-0.01</x:v>
      </x:c>
      <x:c r="F29" s="8" t="n">
        <x:v>10401.820301890935</x:v>
      </x:c>
      <x:c r="G29" s="8" t="n">
        <x:v>1346.3111331557777</x:v>
      </x:c>
      <x:c r="H29" s="8" t="str">
        <x:v>Constant stressed EBITDA margin; excludes synergies, integration, capex, taxes, rent cash and financing. No preferred structure.</x:v>
      </x:c>
    </x:row>
    <x:row r="30" ht="80" customHeight="1">
      <x:c r="A30" s="8" t="str">
        <x:v>Hypothetical operating sensitivity; not actual company forecast or capacity</x:v>
      </x:c>
      <x:c r="B30" s="8" t="str">
        <x:v>acquirer</x:v>
      </x:c>
      <x:c r="C30" s="22" t="n">
        <x:v>1</x:v>
      </x:c>
      <x:c r="D30" s="23" t="n">
        <x:v>-0.05</x:v>
      </x:c>
      <x:c r="E30" s="23" t="n">
        <x:v>-0.02</x:v>
      </x:c>
      <x:c r="F30" s="8" t="n">
        <x:v>12770.706549999999</x:v>
      </x:c>
      <x:c r="G30" s="8" t="n">
        <x:v>1525.209819</x:v>
      </x:c>
      <x:c r="H30" s="8" t="str">
        <x:v>Constant stressed EBITDA margin; excludes synergies, integration, capex, taxes, rent cash and financing. No preferred structure.</x:v>
      </x:c>
    </x:row>
    <x:row r="31" ht="80" customHeight="1">
      <x:c r="A31" s="8" t="str">
        <x:v>Hypothetical operating sensitivity; not actual company forecast or capacity</x:v>
      </x:c>
      <x:c r="B31" s="8" t="str">
        <x:v>acquirer</x:v>
      </x:c>
      <x:c r="C31" s="22" t="n">
        <x:v>2</x:v>
      </x:c>
      <x:c r="D31" s="23" t="n">
        <x:v>-0.05</x:v>
      </x:c>
      <x:c r="E31" s="23" t="n">
        <x:v>-0.02</x:v>
      </x:c>
      <x:c r="F31" s="8" t="n">
        <x:v>12132.1712225</x:v>
      </x:c>
      <x:c r="G31" s="8" t="n">
        <x:v>1448.9493280499998</x:v>
      </x:c>
      <x:c r="H31" s="8" t="str">
        <x:v>Constant stressed EBITDA margin; excludes synergies, integration, capex, taxes, rent cash and financing. No preferred structure.</x:v>
      </x:c>
    </x:row>
    <x:row r="32" ht="80" customHeight="1">
      <x:c r="A32" s="8" t="str">
        <x:v>Hypothetical operating sensitivity; not actual company forecast or capacity</x:v>
      </x:c>
      <x:c r="B32" s="8" t="str">
        <x:v>acquirer</x:v>
      </x:c>
      <x:c r="C32" s="22" t="n">
        <x:v>3</x:v>
      </x:c>
      <x:c r="D32" s="23" t="n">
        <x:v>-0.05</x:v>
      </x:c>
      <x:c r="E32" s="23" t="n">
        <x:v>-0.02</x:v>
      </x:c>
      <x:c r="F32" s="8" t="n">
        <x:v>11525.562661375</x:v>
      </x:c>
      <x:c r="G32" s="8" t="n">
        <x:v>1376.5018616475</x:v>
      </x:c>
      <x:c r="H32" s="8" t="str">
        <x:v>Constant stressed EBITDA margin; excludes synergies, integration, capex, taxes, rent cash and financing. No preferred structure.</x:v>
      </x:c>
    </x:row>
    <x:row r="33" ht="80" customHeight="1">
      <x:c r="A33" s="8" t="str">
        <x:v>Hypothetical operating sensitivity; not actual company forecast or capacity</x:v>
      </x:c>
      <x:c r="B33" s="8" t="str">
        <x:v>acquirer</x:v>
      </x:c>
      <x:c r="C33" s="22" t="n">
        <x:v>4</x:v>
      </x:c>
      <x:c r="D33" s="23" t="n">
        <x:v>-0.05</x:v>
      </x:c>
      <x:c r="E33" s="23" t="n">
        <x:v>-0.02</x:v>
      </x:c>
      <x:c r="F33" s="8" t="n">
        <x:v>10949.284528306249</x:v>
      </x:c>
      <x:c r="G33" s="8" t="n">
        <x:v>1307.6767685651248</x:v>
      </x:c>
      <x:c r="H33" s="8" t="str">
        <x:v>Constant stressed EBITDA margin; excludes synergies, integration, capex, taxes, rent cash and financing. No preferred structure.</x:v>
      </x:c>
    </x:row>
    <x:row r="34" ht="80" customHeight="1">
      <x:c r="A34" s="8" t="str">
        <x:v>Hypothetical operating sensitivity; not actual company forecast or capacity</x:v>
      </x:c>
      <x:c r="B34" s="8" t="str">
        <x:v>acquirer</x:v>
      </x:c>
      <x:c r="C34" s="22" t="n">
        <x:v>5</x:v>
      </x:c>
      <x:c r="D34" s="23" t="n">
        <x:v>-0.05</x:v>
      </x:c>
      <x:c r="E34" s="23" t="n">
        <x:v>-0.02</x:v>
      </x:c>
      <x:c r="F34" s="8" t="n">
        <x:v>10401.820301890935</x:v>
      </x:c>
      <x:c r="G34" s="8" t="n">
        <x:v>1242.2929301368686</x:v>
      </x:c>
      <x:c r="H34" s="8" t="str">
        <x:v>Constant stressed EBITDA margin; excludes synergies, integration, capex, taxes, rent cash and financing. No preferred structure.</x:v>
      </x:c>
    </x:row>
    <x:row r="35" ht="80" customHeight="1">
      <x:c r="A35" s="8" t="str">
        <x:v>Hypothetical operating sensitivity; not actual company forecast or capacity</x:v>
      </x:c>
      <x:c r="B35" s="8" t="str">
        <x:v>acquirer</x:v>
      </x:c>
      <x:c r="C35" s="22" t="n">
        <x:v>1</x:v>
      </x:c>
      <x:c r="D35" s="23" t="n">
        <x:v>-0.1</x:v>
      </x:c>
      <x:c r="E35" s="23" t="n">
        <x:v>0</x:v>
      </x:c>
      <x:c r="F35" s="8" t="n">
        <x:v>12098.5641</x:v>
      </x:c>
      <x:c r="G35" s="8" t="n">
        <x:v>1686.9069</x:v>
      </x:c>
      <x:c r="H35" s="8" t="str">
        <x:v>Constant stressed EBITDA margin; excludes synergies, integration, capex, taxes, rent cash and financing. No preferred structure.</x:v>
      </x:c>
    </x:row>
    <x:row r="36" ht="80" customHeight="1">
      <x:c r="A36" s="8" t="str">
        <x:v>Hypothetical operating sensitivity; not actual company forecast or capacity</x:v>
      </x:c>
      <x:c r="B36" s="8" t="str">
        <x:v>acquirer</x:v>
      </x:c>
      <x:c r="C36" s="22" t="n">
        <x:v>2</x:v>
      </x:c>
      <x:c r="D36" s="23" t="n">
        <x:v>-0.1</x:v>
      </x:c>
      <x:c r="E36" s="23" t="n">
        <x:v>0</x:v>
      </x:c>
      <x:c r="F36" s="8" t="n">
        <x:v>10888.707690000001</x:v>
      </x:c>
      <x:c r="G36" s="8" t="n">
        <x:v>1518.2162100000003</x:v>
      </x:c>
      <x:c r="H36" s="8" t="str">
        <x:v>Constant stressed EBITDA margin; excludes synergies, integration, capex, taxes, rent cash and financing. No preferred structure.</x:v>
      </x:c>
    </x:row>
    <x:row r="37" ht="80" customHeight="1">
      <x:c r="A37" s="8" t="str">
        <x:v>Hypothetical operating sensitivity; not actual company forecast or capacity</x:v>
      </x:c>
      <x:c r="B37" s="8" t="str">
        <x:v>acquirer</x:v>
      </x:c>
      <x:c r="C37" s="22" t="n">
        <x:v>3</x:v>
      </x:c>
      <x:c r="D37" s="23" t="n">
        <x:v>-0.1</x:v>
      </x:c>
      <x:c r="E37" s="23" t="n">
        <x:v>0</x:v>
      </x:c>
      <x:c r="F37" s="8" t="n">
        <x:v>9799.836921000002</x:v>
      </x:c>
      <x:c r="G37" s="8" t="n">
        <x:v>1366.3945890000002</x:v>
      </x:c>
      <x:c r="H37" s="8" t="str">
        <x:v>Constant stressed EBITDA margin; excludes synergies, integration, capex, taxes, rent cash and financing. No preferred structure.</x:v>
      </x:c>
    </x:row>
    <x:row r="38" ht="80" customHeight="1">
      <x:c r="A38" s="8" t="str">
        <x:v>Hypothetical operating sensitivity; not actual company forecast or capacity</x:v>
      </x:c>
      <x:c r="B38" s="8" t="str">
        <x:v>acquirer</x:v>
      </x:c>
      <x:c r="C38" s="22" t="n">
        <x:v>4</x:v>
      </x:c>
      <x:c r="D38" s="23" t="n">
        <x:v>-0.1</x:v>
      </x:c>
      <x:c r="E38" s="23" t="n">
        <x:v>0</x:v>
      </x:c>
      <x:c r="F38" s="8" t="n">
        <x:v>8819.8532289</x:v>
      </x:c>
      <x:c r="G38" s="8" t="n">
        <x:v>1229.7551300999999</x:v>
      </x:c>
      <x:c r="H38" s="8" t="str">
        <x:v>Constant stressed EBITDA margin; excludes synergies, integration, capex, taxes, rent cash and financing. No preferred structure.</x:v>
      </x:c>
    </x:row>
    <x:row r="39" ht="80" customHeight="1">
      <x:c r="A39" s="8" t="str">
        <x:v>Hypothetical operating sensitivity; not actual company forecast or capacity</x:v>
      </x:c>
      <x:c r="B39" s="8" t="str">
        <x:v>acquirer</x:v>
      </x:c>
      <x:c r="C39" s="22" t="n">
        <x:v>5</x:v>
      </x:c>
      <x:c r="D39" s="23" t="n">
        <x:v>-0.1</x:v>
      </x:c>
      <x:c r="E39" s="23" t="n">
        <x:v>0</x:v>
      </x:c>
      <x:c r="F39" s="8" t="n">
        <x:v>7937.867906010001</x:v>
      </x:c>
      <x:c r="G39" s="8" t="n">
        <x:v>1106.77961709</x:v>
      </x:c>
      <x:c r="H39" s="8" t="str">
        <x:v>Constant stressed EBITDA margin; excludes synergies, integration, capex, taxes, rent cash and financing. No preferred structure.</x:v>
      </x:c>
    </x:row>
    <x:row r="40" ht="80" customHeight="1">
      <x:c r="A40" s="8" t="str">
        <x:v>Hypothetical operating sensitivity; not actual company forecast or capacity</x:v>
      </x:c>
      <x:c r="B40" s="8" t="str">
        <x:v>acquirer</x:v>
      </x:c>
      <x:c r="C40" s="22" t="n">
        <x:v>1</x:v>
      </x:c>
      <x:c r="D40" s="23" t="n">
        <x:v>-0.1</x:v>
      </x:c>
      <x:c r="E40" s="23" t="n">
        <x:v>-0.01</x:v>
      </x:c>
      <x:c r="F40" s="8" t="n">
        <x:v>12098.5641</x:v>
      </x:c>
      <x:c r="G40" s="8" t="n">
        <x:v>1565.921259</x:v>
      </x:c>
      <x:c r="H40" s="8" t="str">
        <x:v>Constant stressed EBITDA margin; excludes synergies, integration, capex, taxes, rent cash and financing. No preferred structure.</x:v>
      </x:c>
    </x:row>
    <x:row r="41" ht="80" customHeight="1">
      <x:c r="A41" s="8" t="str">
        <x:v>Hypothetical operating sensitivity; not actual company forecast or capacity</x:v>
      </x:c>
      <x:c r="B41" s="8" t="str">
        <x:v>acquirer</x:v>
      </x:c>
      <x:c r="C41" s="22" t="n">
        <x:v>2</x:v>
      </x:c>
      <x:c r="D41" s="23" t="n">
        <x:v>-0.1</x:v>
      </x:c>
      <x:c r="E41" s="23" t="n">
        <x:v>-0.01</x:v>
      </x:c>
      <x:c r="F41" s="8" t="n">
        <x:v>10888.707690000001</x:v>
      </x:c>
      <x:c r="G41" s="8" t="n">
        <x:v>1409.3291331</x:v>
      </x:c>
      <x:c r="H41" s="8" t="str">
        <x:v>Constant stressed EBITDA margin; excludes synergies, integration, capex, taxes, rent cash and financing. No preferred structure.</x:v>
      </x:c>
    </x:row>
    <x:row r="42" ht="80" customHeight="1">
      <x:c r="A42" s="8" t="str">
        <x:v>Hypothetical operating sensitivity; not actual company forecast or capacity</x:v>
      </x:c>
      <x:c r="B42" s="8" t="str">
        <x:v>acquirer</x:v>
      </x:c>
      <x:c r="C42" s="22" t="n">
        <x:v>3</x:v>
      </x:c>
      <x:c r="D42" s="23" t="n">
        <x:v>-0.1</x:v>
      </x:c>
      <x:c r="E42" s="23" t="n">
        <x:v>-0.01</x:v>
      </x:c>
      <x:c r="F42" s="8" t="n">
        <x:v>9799.836921000002</x:v>
      </x:c>
      <x:c r="G42" s="8" t="n">
        <x:v>1268.3962197900003</x:v>
      </x:c>
      <x:c r="H42" s="8" t="str">
        <x:v>Constant stressed EBITDA margin; excludes synergies, integration, capex, taxes, rent cash and financing. No preferred structure.</x:v>
      </x:c>
    </x:row>
    <x:row r="43" ht="80" customHeight="1">
      <x:c r="A43" s="8" t="str">
        <x:v>Hypothetical operating sensitivity; not actual company forecast or capacity</x:v>
      </x:c>
      <x:c r="B43" s="8" t="str">
        <x:v>acquirer</x:v>
      </x:c>
      <x:c r="C43" s="22" t="n">
        <x:v>4</x:v>
      </x:c>
      <x:c r="D43" s="23" t="n">
        <x:v>-0.1</x:v>
      </x:c>
      <x:c r="E43" s="23" t="n">
        <x:v>-0.01</x:v>
      </x:c>
      <x:c r="F43" s="8" t="n">
        <x:v>8819.8532289</x:v>
      </x:c>
      <x:c r="G43" s="8" t="n">
        <x:v>1141.5565978109998</x:v>
      </x:c>
      <x:c r="H43" s="8" t="str">
        <x:v>Constant stressed EBITDA margin; excludes synergies, integration, capex, taxes, rent cash and financing. No preferred structure.</x:v>
      </x:c>
    </x:row>
    <x:row r="44" ht="80" customHeight="1">
      <x:c r="A44" s="8" t="str">
        <x:v>Hypothetical operating sensitivity; not actual company forecast or capacity</x:v>
      </x:c>
      <x:c r="B44" s="8" t="str">
        <x:v>acquirer</x:v>
      </x:c>
      <x:c r="C44" s="22" t="n">
        <x:v>5</x:v>
      </x:c>
      <x:c r="D44" s="23" t="n">
        <x:v>-0.1</x:v>
      </x:c>
      <x:c r="E44" s="23" t="n">
        <x:v>-0.01</x:v>
      </x:c>
      <x:c r="F44" s="8" t="n">
        <x:v>7937.867906010001</x:v>
      </x:c>
      <x:c r="G44" s="8" t="n">
        <x:v>1027.4009380299</x:v>
      </x:c>
      <x:c r="H44" s="8" t="str">
        <x:v>Constant stressed EBITDA margin; excludes synergies, integration, capex, taxes, rent cash and financing. No preferred structure.</x:v>
      </x:c>
    </x:row>
    <x:row r="45" ht="80" customHeight="1">
      <x:c r="A45" s="8" t="str">
        <x:v>Hypothetical operating sensitivity; not actual company forecast or capacity</x:v>
      </x:c>
      <x:c r="B45" s="8" t="str">
        <x:v>acquirer</x:v>
      </x:c>
      <x:c r="C45" s="22" t="n">
        <x:v>1</x:v>
      </x:c>
      <x:c r="D45" s="23" t="n">
        <x:v>-0.1</x:v>
      </x:c>
      <x:c r="E45" s="23" t="n">
        <x:v>-0.02</x:v>
      </x:c>
      <x:c r="F45" s="8" t="n">
        <x:v>12098.5641</x:v>
      </x:c>
      <x:c r="G45" s="8" t="n">
        <x:v>1444.935618</x:v>
      </x:c>
      <x:c r="H45" s="8" t="str">
        <x:v>Constant stressed EBITDA margin; excludes synergies, integration, capex, taxes, rent cash and financing. No preferred structure.</x:v>
      </x:c>
    </x:row>
    <x:row r="46" ht="80" customHeight="1">
      <x:c r="A46" s="8" t="str">
        <x:v>Hypothetical operating sensitivity; not actual company forecast or capacity</x:v>
      </x:c>
      <x:c r="B46" s="8" t="str">
        <x:v>acquirer</x:v>
      </x:c>
      <x:c r="C46" s="22" t="n">
        <x:v>2</x:v>
      </x:c>
      <x:c r="D46" s="23" t="n">
        <x:v>-0.1</x:v>
      </x:c>
      <x:c r="E46" s="23" t="n">
        <x:v>-0.02</x:v>
      </x:c>
      <x:c r="F46" s="8" t="n">
        <x:v>10888.707690000001</x:v>
      </x:c>
      <x:c r="G46" s="8" t="n">
        <x:v>1300.4420562</x:v>
      </x:c>
      <x:c r="H46" s="8" t="str">
        <x:v>Constant stressed EBITDA margin; excludes synergies, integration, capex, taxes, rent cash and financing. No preferred structure.</x:v>
      </x:c>
    </x:row>
    <x:row r="47" ht="80" customHeight="1">
      <x:c r="A47" s="8" t="str">
        <x:v>Hypothetical operating sensitivity; not actual company forecast or capacity</x:v>
      </x:c>
      <x:c r="B47" s="8" t="str">
        <x:v>acquirer</x:v>
      </x:c>
      <x:c r="C47" s="22" t="n">
        <x:v>3</x:v>
      </x:c>
      <x:c r="D47" s="23" t="n">
        <x:v>-0.1</x:v>
      </x:c>
      <x:c r="E47" s="23" t="n">
        <x:v>-0.02</x:v>
      </x:c>
      <x:c r="F47" s="8" t="n">
        <x:v>9799.836921000002</x:v>
      </x:c>
      <x:c r="G47" s="8" t="n">
        <x:v>1170.3978505800003</x:v>
      </x:c>
      <x:c r="H47" s="8" t="str">
        <x:v>Constant stressed EBITDA margin; excludes synergies, integration, capex, taxes, rent cash and financing. No preferred structure.</x:v>
      </x:c>
    </x:row>
    <x:row r="48" ht="80" customHeight="1">
      <x:c r="A48" s="8" t="str">
        <x:v>Hypothetical operating sensitivity; not actual company forecast or capacity</x:v>
      </x:c>
      <x:c r="B48" s="8" t="str">
        <x:v>acquirer</x:v>
      </x:c>
      <x:c r="C48" s="22" t="n">
        <x:v>4</x:v>
      </x:c>
      <x:c r="D48" s="23" t="n">
        <x:v>-0.1</x:v>
      </x:c>
      <x:c r="E48" s="23" t="n">
        <x:v>-0.02</x:v>
      </x:c>
      <x:c r="F48" s="8" t="n">
        <x:v>8819.8532289</x:v>
      </x:c>
      <x:c r="G48" s="8" t="n">
        <x:v>1053.3580655219998</x:v>
      </x:c>
      <x:c r="H48" s="8" t="str">
        <x:v>Constant stressed EBITDA margin; excludes synergies, integration, capex, taxes, rent cash and financing. No preferred structure.</x:v>
      </x:c>
    </x:row>
    <x:row r="49" ht="80" customHeight="1">
      <x:c r="A49" s="8" t="str">
        <x:v>Hypothetical operating sensitivity; not actual company forecast or capacity</x:v>
      </x:c>
      <x:c r="B49" s="8" t="str">
        <x:v>acquirer</x:v>
      </x:c>
      <x:c r="C49" s="22" t="n">
        <x:v>5</x:v>
      </x:c>
      <x:c r="D49" s="23" t="n">
        <x:v>-0.1</x:v>
      </x:c>
      <x:c r="E49" s="23" t="n">
        <x:v>-0.02</x:v>
      </x:c>
      <x:c r="F49" s="8" t="n">
        <x:v>7937.867906010001</x:v>
      </x:c>
      <x:c r="G49" s="8" t="n">
        <x:v>948.0222589698001</x:v>
      </x:c>
      <x:c r="H49" s="8" t="str">
        <x:v>Constant stressed EBITDA margin; excludes synergies, integration, capex, taxes, rent cash and financing. No preferred structure.</x:v>
      </x:c>
    </x:row>
    <x:row r="50" ht="80" customHeight="1">
      <x:c r="A50" s="8" t="str">
        <x:v>Hypothetical operating sensitivity; not actual company forecast or capacity</x:v>
      </x:c>
      <x:c r="B50" s="8" t="str">
        <x:v>target</x:v>
      </x:c>
      <x:c r="C50" s="22" t="n">
        <x:v>1</x:v>
      </x:c>
      <x:c r="D50" s="23" t="n">
        <x:v>0</x:v>
      </x:c>
      <x:c r="E50" s="23" t="n">
        <x:v>0</x:v>
      </x:c>
      <x:c r="F50" s="8" t="n">
        <x:v>7988</x:v>
      </x:c>
      <x:c r="G50" s="8" t="n">
        <x:v>305</x:v>
      </x:c>
      <x:c r="H50" s="8" t="str">
        <x:v>Constant stressed EBITDA margin; excludes synergies, integration, capex, taxes, rent cash and financing. No preferred structure.</x:v>
      </x:c>
    </x:row>
    <x:row r="51" ht="80" customHeight="1">
      <x:c r="A51" s="8" t="str">
        <x:v>Hypothetical operating sensitivity; not actual company forecast or capacity</x:v>
      </x:c>
      <x:c r="B51" s="8" t="str">
        <x:v>target</x:v>
      </x:c>
      <x:c r="C51" s="22" t="n">
        <x:v>2</x:v>
      </x:c>
      <x:c r="D51" s="23" t="n">
        <x:v>0</x:v>
      </x:c>
      <x:c r="E51" s="23" t="n">
        <x:v>0</x:v>
      </x:c>
      <x:c r="F51" s="8" t="n">
        <x:v>7988</x:v>
      </x:c>
      <x:c r="G51" s="8" t="n">
        <x:v>305</x:v>
      </x:c>
      <x:c r="H51" s="8" t="str">
        <x:v>Constant stressed EBITDA margin; excludes synergies, integration, capex, taxes, rent cash and financing. No preferred structure.</x:v>
      </x:c>
    </x:row>
    <x:row r="52" ht="80" customHeight="1">
      <x:c r="A52" s="8" t="str">
        <x:v>Hypothetical operating sensitivity; not actual company forecast or capacity</x:v>
      </x:c>
      <x:c r="B52" s="8" t="str">
        <x:v>target</x:v>
      </x:c>
      <x:c r="C52" s="22" t="n">
        <x:v>3</x:v>
      </x:c>
      <x:c r="D52" s="23" t="n">
        <x:v>0</x:v>
      </x:c>
      <x:c r="E52" s="23" t="n">
        <x:v>0</x:v>
      </x:c>
      <x:c r="F52" s="8" t="n">
        <x:v>7988</x:v>
      </x:c>
      <x:c r="G52" s="8" t="n">
        <x:v>305</x:v>
      </x:c>
      <x:c r="H52" s="8" t="str">
        <x:v>Constant stressed EBITDA margin; excludes synergies, integration, capex, taxes, rent cash and financing. No preferred structure.</x:v>
      </x:c>
    </x:row>
    <x:row r="53" ht="80" customHeight="1">
      <x:c r="A53" s="8" t="str">
        <x:v>Hypothetical operating sensitivity; not actual company forecast or capacity</x:v>
      </x:c>
      <x:c r="B53" s="8" t="str">
        <x:v>target</x:v>
      </x:c>
      <x:c r="C53" s="22" t="n">
        <x:v>4</x:v>
      </x:c>
      <x:c r="D53" s="23" t="n">
        <x:v>0</x:v>
      </x:c>
      <x:c r="E53" s="23" t="n">
        <x:v>0</x:v>
      </x:c>
      <x:c r="F53" s="8" t="n">
        <x:v>7988</x:v>
      </x:c>
      <x:c r="G53" s="8" t="n">
        <x:v>305</x:v>
      </x:c>
      <x:c r="H53" s="8" t="str">
        <x:v>Constant stressed EBITDA margin; excludes synergies, integration, capex, taxes, rent cash and financing. No preferred structure.</x:v>
      </x:c>
    </x:row>
    <x:row r="54" ht="80" customHeight="1">
      <x:c r="A54" s="8" t="str">
        <x:v>Hypothetical operating sensitivity; not actual company forecast or capacity</x:v>
      </x:c>
      <x:c r="B54" s="8" t="str">
        <x:v>target</x:v>
      </x:c>
      <x:c r="C54" s="22" t="n">
        <x:v>5</x:v>
      </x:c>
      <x:c r="D54" s="23" t="n">
        <x:v>0</x:v>
      </x:c>
      <x:c r="E54" s="23" t="n">
        <x:v>0</x:v>
      </x:c>
      <x:c r="F54" s="8" t="n">
        <x:v>7988</x:v>
      </x:c>
      <x:c r="G54" s="8" t="n">
        <x:v>305</x:v>
      </x:c>
      <x:c r="H54" s="8" t="str">
        <x:v>Constant stressed EBITDA margin; excludes synergies, integration, capex, taxes, rent cash and financing. No preferred structure.</x:v>
      </x:c>
    </x:row>
    <x:row r="55" ht="80" customHeight="1">
      <x:c r="A55" s="8" t="str">
        <x:v>Hypothetical operating sensitivity; not actual company forecast or capacity</x:v>
      </x:c>
      <x:c r="B55" s="8" t="str">
        <x:v>target</x:v>
      </x:c>
      <x:c r="C55" s="22" t="n">
        <x:v>1</x:v>
      </x:c>
      <x:c r="D55" s="23" t="n">
        <x:v>0</x:v>
      </x:c>
      <x:c r="E55" s="23" t="n">
        <x:v>-0.01</x:v>
      </x:c>
      <x:c r="F55" s="8" t="n">
        <x:v>7988</x:v>
      </x:c>
      <x:c r="G55" s="8" t="n">
        <x:v>225.12</x:v>
      </x:c>
      <x:c r="H55" s="8" t="str">
        <x:v>Constant stressed EBITDA margin; excludes synergies, integration, capex, taxes, rent cash and financing. No preferred structure.</x:v>
      </x:c>
    </x:row>
    <x:row r="56" ht="80" customHeight="1">
      <x:c r="A56" s="8" t="str">
        <x:v>Hypothetical operating sensitivity; not actual company forecast or capacity</x:v>
      </x:c>
      <x:c r="B56" s="8" t="str">
        <x:v>target</x:v>
      </x:c>
      <x:c r="C56" s="22" t="n">
        <x:v>2</x:v>
      </x:c>
      <x:c r="D56" s="23" t="n">
        <x:v>0</x:v>
      </x:c>
      <x:c r="E56" s="23" t="n">
        <x:v>-0.01</x:v>
      </x:c>
      <x:c r="F56" s="8" t="n">
        <x:v>7988</x:v>
      </x:c>
      <x:c r="G56" s="8" t="n">
        <x:v>225.12</x:v>
      </x:c>
      <x:c r="H56" s="8" t="str">
        <x:v>Constant stressed EBITDA margin; excludes synergies, integration, capex, taxes, rent cash and financing. No preferred structure.</x:v>
      </x:c>
    </x:row>
    <x:row r="57" ht="80" customHeight="1">
      <x:c r="A57" s="8" t="str">
        <x:v>Hypothetical operating sensitivity; not actual company forecast or capacity</x:v>
      </x:c>
      <x:c r="B57" s="8" t="str">
        <x:v>target</x:v>
      </x:c>
      <x:c r="C57" s="22" t="n">
        <x:v>3</x:v>
      </x:c>
      <x:c r="D57" s="23" t="n">
        <x:v>0</x:v>
      </x:c>
      <x:c r="E57" s="23" t="n">
        <x:v>-0.01</x:v>
      </x:c>
      <x:c r="F57" s="8" t="n">
        <x:v>7988</x:v>
      </x:c>
      <x:c r="G57" s="8" t="n">
        <x:v>225.12</x:v>
      </x:c>
      <x:c r="H57" s="8" t="str">
        <x:v>Constant stressed EBITDA margin; excludes synergies, integration, capex, taxes, rent cash and financing. No preferred structure.</x:v>
      </x:c>
    </x:row>
    <x:row r="58" ht="80" customHeight="1">
      <x:c r="A58" s="8" t="str">
        <x:v>Hypothetical operating sensitivity; not actual company forecast or capacity</x:v>
      </x:c>
      <x:c r="B58" s="8" t="str">
        <x:v>target</x:v>
      </x:c>
      <x:c r="C58" s="22" t="n">
        <x:v>4</x:v>
      </x:c>
      <x:c r="D58" s="23" t="n">
        <x:v>0</x:v>
      </x:c>
      <x:c r="E58" s="23" t="n">
        <x:v>-0.01</x:v>
      </x:c>
      <x:c r="F58" s="8" t="n">
        <x:v>7988</x:v>
      </x:c>
      <x:c r="G58" s="8" t="n">
        <x:v>225.12</x:v>
      </x:c>
      <x:c r="H58" s="8" t="str">
        <x:v>Constant stressed EBITDA margin; excludes synergies, integration, capex, taxes, rent cash and financing. No preferred structure.</x:v>
      </x:c>
    </x:row>
    <x:row r="59" ht="80" customHeight="1">
      <x:c r="A59" s="8" t="str">
        <x:v>Hypothetical operating sensitivity; not actual company forecast or capacity</x:v>
      </x:c>
      <x:c r="B59" s="8" t="str">
        <x:v>target</x:v>
      </x:c>
      <x:c r="C59" s="22" t="n">
        <x:v>5</x:v>
      </x:c>
      <x:c r="D59" s="23" t="n">
        <x:v>0</x:v>
      </x:c>
      <x:c r="E59" s="23" t="n">
        <x:v>-0.01</x:v>
      </x:c>
      <x:c r="F59" s="8" t="n">
        <x:v>7988</x:v>
      </x:c>
      <x:c r="G59" s="8" t="n">
        <x:v>225.12</x:v>
      </x:c>
      <x:c r="H59" s="8" t="str">
        <x:v>Constant stressed EBITDA margin; excludes synergies, integration, capex, taxes, rent cash and financing. No preferred structure.</x:v>
      </x:c>
    </x:row>
    <x:row r="60" ht="80" customHeight="1">
      <x:c r="A60" s="8" t="str">
        <x:v>Hypothetical operating sensitivity; not actual company forecast or capacity</x:v>
      </x:c>
      <x:c r="B60" s="8" t="str">
        <x:v>target</x:v>
      </x:c>
      <x:c r="C60" s="22" t="n">
        <x:v>1</x:v>
      </x:c>
      <x:c r="D60" s="23" t="n">
        <x:v>0</x:v>
      </x:c>
      <x:c r="E60" s="23" t="n">
        <x:v>-0.02</x:v>
      </x:c>
      <x:c r="F60" s="8" t="n">
        <x:v>7988</x:v>
      </x:c>
      <x:c r="G60" s="8" t="n">
        <x:v>145.24</x:v>
      </x:c>
      <x:c r="H60" s="8" t="str">
        <x:v>Constant stressed EBITDA margin; excludes synergies, integration, capex, taxes, rent cash and financing. No preferred structure.</x:v>
      </x:c>
    </x:row>
    <x:row r="61" ht="80" customHeight="1">
      <x:c r="A61" s="8" t="str">
        <x:v>Hypothetical operating sensitivity; not actual company forecast or capacity</x:v>
      </x:c>
      <x:c r="B61" s="8" t="str">
        <x:v>target</x:v>
      </x:c>
      <x:c r="C61" s="22" t="n">
        <x:v>2</x:v>
      </x:c>
      <x:c r="D61" s="23" t="n">
        <x:v>0</x:v>
      </x:c>
      <x:c r="E61" s="23" t="n">
        <x:v>-0.02</x:v>
      </x:c>
      <x:c r="F61" s="8" t="n">
        <x:v>7988</x:v>
      </x:c>
      <x:c r="G61" s="8" t="n">
        <x:v>145.24</x:v>
      </x:c>
      <x:c r="H61" s="8" t="str">
        <x:v>Constant stressed EBITDA margin; excludes synergies, integration, capex, taxes, rent cash and financing. No preferred structure.</x:v>
      </x:c>
    </x:row>
    <x:row r="62" ht="80" customHeight="1">
      <x:c r="A62" s="8" t="str">
        <x:v>Hypothetical operating sensitivity; not actual company forecast or capacity</x:v>
      </x:c>
      <x:c r="B62" s="8" t="str">
        <x:v>target</x:v>
      </x:c>
      <x:c r="C62" s="22" t="n">
        <x:v>3</x:v>
      </x:c>
      <x:c r="D62" s="23" t="n">
        <x:v>0</x:v>
      </x:c>
      <x:c r="E62" s="23" t="n">
        <x:v>-0.02</x:v>
      </x:c>
      <x:c r="F62" s="8" t="n">
        <x:v>7988</x:v>
      </x:c>
      <x:c r="G62" s="8" t="n">
        <x:v>145.24</x:v>
      </x:c>
      <x:c r="H62" s="8" t="str">
        <x:v>Constant stressed EBITDA margin; excludes synergies, integration, capex, taxes, rent cash and financing. No preferred structure.</x:v>
      </x:c>
    </x:row>
    <x:row r="63" ht="80" customHeight="1">
      <x:c r="A63" s="8" t="str">
        <x:v>Hypothetical operating sensitivity; not actual company forecast or capacity</x:v>
      </x:c>
      <x:c r="B63" s="8" t="str">
        <x:v>target</x:v>
      </x:c>
      <x:c r="C63" s="22" t="n">
        <x:v>4</x:v>
      </x:c>
      <x:c r="D63" s="23" t="n">
        <x:v>0</x:v>
      </x:c>
      <x:c r="E63" s="23" t="n">
        <x:v>-0.02</x:v>
      </x:c>
      <x:c r="F63" s="8" t="n">
        <x:v>7988</x:v>
      </x:c>
      <x:c r="G63" s="8" t="n">
        <x:v>145.24</x:v>
      </x:c>
      <x:c r="H63" s="8" t="str">
        <x:v>Constant stressed EBITDA margin; excludes synergies, integration, capex, taxes, rent cash and financing. No preferred structure.</x:v>
      </x:c>
    </x:row>
    <x:row r="64" ht="80" customHeight="1">
      <x:c r="A64" s="8" t="str">
        <x:v>Hypothetical operating sensitivity; not actual company forecast or capacity</x:v>
      </x:c>
      <x:c r="B64" s="8" t="str">
        <x:v>target</x:v>
      </x:c>
      <x:c r="C64" s="22" t="n">
        <x:v>5</x:v>
      </x:c>
      <x:c r="D64" s="23" t="n">
        <x:v>0</x:v>
      </x:c>
      <x:c r="E64" s="23" t="n">
        <x:v>-0.02</x:v>
      </x:c>
      <x:c r="F64" s="8" t="n">
        <x:v>7988</x:v>
      </x:c>
      <x:c r="G64" s="8" t="n">
        <x:v>145.24</x:v>
      </x:c>
      <x:c r="H64" s="8" t="str">
        <x:v>Constant stressed EBITDA margin; excludes synergies, integration, capex, taxes, rent cash and financing. No preferred structure.</x:v>
      </x:c>
    </x:row>
    <x:row r="65" ht="80" customHeight="1">
      <x:c r="A65" s="8" t="str">
        <x:v>Hypothetical operating sensitivity; not actual company forecast or capacity</x:v>
      </x:c>
      <x:c r="B65" s="8" t="str">
        <x:v>target</x:v>
      </x:c>
      <x:c r="C65" s="22" t="n">
        <x:v>1</x:v>
      </x:c>
      <x:c r="D65" s="23" t="n">
        <x:v>-0.05</x:v>
      </x:c>
      <x:c r="E65" s="23" t="n">
        <x:v>0</x:v>
      </x:c>
      <x:c r="F65" s="8" t="n">
        <x:v>7588.599999999999</x:v>
      </x:c>
      <x:c r="G65" s="8" t="n">
        <x:v>289.75</x:v>
      </x:c>
      <x:c r="H65" s="8" t="str">
        <x:v>Constant stressed EBITDA margin; excludes synergies, integration, capex, taxes, rent cash and financing. No preferred structure.</x:v>
      </x:c>
    </x:row>
    <x:row r="66" ht="80" customHeight="1">
      <x:c r="A66" s="8" t="str">
        <x:v>Hypothetical operating sensitivity; not actual company forecast or capacity</x:v>
      </x:c>
      <x:c r="B66" s="8" t="str">
        <x:v>target</x:v>
      </x:c>
      <x:c r="C66" s="22" t="n">
        <x:v>2</x:v>
      </x:c>
      <x:c r="D66" s="23" t="n">
        <x:v>-0.05</x:v>
      </x:c>
      <x:c r="E66" s="23" t="n">
        <x:v>0</x:v>
      </x:c>
      <x:c r="F66" s="8" t="n">
        <x:v>7209.17</x:v>
      </x:c>
      <x:c r="G66" s="8" t="n">
        <x:v>275.2625</x:v>
      </x:c>
      <x:c r="H66" s="8" t="str">
        <x:v>Constant stressed EBITDA margin; excludes synergies, integration, capex, taxes, rent cash and financing. No preferred structure.</x:v>
      </x:c>
    </x:row>
    <x:row r="67" ht="80" customHeight="1">
      <x:c r="A67" s="8" t="str">
        <x:v>Hypothetical operating sensitivity; not actual company forecast or capacity</x:v>
      </x:c>
      <x:c r="B67" s="8" t="str">
        <x:v>target</x:v>
      </x:c>
      <x:c r="C67" s="22" t="n">
        <x:v>3</x:v>
      </x:c>
      <x:c r="D67" s="23" t="n">
        <x:v>-0.05</x:v>
      </x:c>
      <x:c r="E67" s="23" t="n">
        <x:v>0</x:v>
      </x:c>
      <x:c r="F67" s="8" t="n">
        <x:v>6848.711499999999</x:v>
      </x:c>
      <x:c r="G67" s="8" t="n">
        <x:v>261.499375</x:v>
      </x:c>
      <x:c r="H67" s="8" t="str">
        <x:v>Constant stressed EBITDA margin; excludes synergies, integration, capex, taxes, rent cash and financing. No preferred structure.</x:v>
      </x:c>
    </x:row>
    <x:row r="68" ht="80" customHeight="1">
      <x:c r="A68" s="8" t="str">
        <x:v>Hypothetical operating sensitivity; not actual company forecast or capacity</x:v>
      </x:c>
      <x:c r="B68" s="8" t="str">
        <x:v>target</x:v>
      </x:c>
      <x:c r="C68" s="22" t="n">
        <x:v>4</x:v>
      </x:c>
      <x:c r="D68" s="23" t="n">
        <x:v>-0.05</x:v>
      </x:c>
      <x:c r="E68" s="23" t="n">
        <x:v>0</x:v>
      </x:c>
      <x:c r="F68" s="8" t="n">
        <x:v>6506.275924999999</x:v>
      </x:c>
      <x:c r="G68" s="8" t="n">
        <x:v>248.42440624999998</x:v>
      </x:c>
      <x:c r="H68" s="8" t="str">
        <x:v>Constant stressed EBITDA margin; excludes synergies, integration, capex, taxes, rent cash and financing. No preferred structure.</x:v>
      </x:c>
    </x:row>
    <x:row r="69" ht="80" customHeight="1">
      <x:c r="A69" s="8" t="str">
        <x:v>Hypothetical operating sensitivity; not actual company forecast or capacity</x:v>
      </x:c>
      <x:c r="B69" s="8" t="str">
        <x:v>target</x:v>
      </x:c>
      <x:c r="C69" s="22" t="n">
        <x:v>5</x:v>
      </x:c>
      <x:c r="D69" s="23" t="n">
        <x:v>-0.05</x:v>
      </x:c>
      <x:c r="E69" s="23" t="n">
        <x:v>0</x:v>
      </x:c>
      <x:c r="F69" s="8" t="n">
        <x:v>6180.962128749999</x:v>
      </x:c>
      <x:c r="G69" s="8" t="n">
        <x:v>236.00318593749995</x:v>
      </x:c>
      <x:c r="H69" s="8" t="str">
        <x:v>Constant stressed EBITDA margin; excludes synergies, integration, capex, taxes, rent cash and financing. No preferred structure.</x:v>
      </x:c>
    </x:row>
    <x:row r="70" ht="80" customHeight="1">
      <x:c r="A70" s="8" t="str">
        <x:v>Hypothetical operating sensitivity; not actual company forecast or capacity</x:v>
      </x:c>
      <x:c r="B70" s="8" t="str">
        <x:v>target</x:v>
      </x:c>
      <x:c r="C70" s="22" t="n">
        <x:v>1</x:v>
      </x:c>
      <x:c r="D70" s="23" t="n">
        <x:v>-0.05</x:v>
      </x:c>
      <x:c r="E70" s="23" t="n">
        <x:v>-0.01</x:v>
      </x:c>
      <x:c r="F70" s="8" t="n">
        <x:v>7588.599999999999</x:v>
      </x:c>
      <x:c r="G70" s="8" t="n">
        <x:v>213.86399999999998</x:v>
      </x:c>
      <x:c r="H70" s="8" t="str">
        <x:v>Constant stressed EBITDA margin; excludes synergies, integration, capex, taxes, rent cash and financing. No preferred structure.</x:v>
      </x:c>
    </x:row>
    <x:row r="71" ht="80" customHeight="1">
      <x:c r="A71" s="8" t="str">
        <x:v>Hypothetical operating sensitivity; not actual company forecast or capacity</x:v>
      </x:c>
      <x:c r="B71" s="8" t="str">
        <x:v>target</x:v>
      </x:c>
      <x:c r="C71" s="22" t="n">
        <x:v>2</x:v>
      </x:c>
      <x:c r="D71" s="23" t="n">
        <x:v>-0.05</x:v>
      </x:c>
      <x:c r="E71" s="23" t="n">
        <x:v>-0.01</x:v>
      </x:c>
      <x:c r="F71" s="8" t="n">
        <x:v>7209.17</x:v>
      </x:c>
      <x:c r="G71" s="8" t="n">
        <x:v>203.17079999999999</x:v>
      </x:c>
      <x:c r="H71" s="8" t="str">
        <x:v>Constant stressed EBITDA margin; excludes synergies, integration, capex, taxes, rent cash and financing. No preferred structure.</x:v>
      </x:c>
    </x:row>
    <x:row r="72" ht="80" customHeight="1">
      <x:c r="A72" s="8" t="str">
        <x:v>Hypothetical operating sensitivity; not actual company forecast or capacity</x:v>
      </x:c>
      <x:c r="B72" s="8" t="str">
        <x:v>target</x:v>
      </x:c>
      <x:c r="C72" s="22" t="n">
        <x:v>3</x:v>
      </x:c>
      <x:c r="D72" s="23" t="n">
        <x:v>-0.05</x:v>
      </x:c>
      <x:c r="E72" s="23" t="n">
        <x:v>-0.01</x:v>
      </x:c>
      <x:c r="F72" s="8" t="n">
        <x:v>6848.711499999999</x:v>
      </x:c>
      <x:c r="G72" s="8" t="n">
        <x:v>193.01225999999997</x:v>
      </x:c>
      <x:c r="H72" s="8" t="str">
        <x:v>Constant stressed EBITDA margin; excludes synergies, integration, capex, taxes, rent cash and financing. No preferred structure.</x:v>
      </x:c>
    </x:row>
    <x:row r="73" ht="80" customHeight="1">
      <x:c r="A73" s="8" t="str">
        <x:v>Hypothetical operating sensitivity; not actual company forecast or capacity</x:v>
      </x:c>
      <x:c r="B73" s="8" t="str">
        <x:v>target</x:v>
      </x:c>
      <x:c r="C73" s="22" t="n">
        <x:v>4</x:v>
      </x:c>
      <x:c r="D73" s="23" t="n">
        <x:v>-0.05</x:v>
      </x:c>
      <x:c r="E73" s="23" t="n">
        <x:v>-0.01</x:v>
      </x:c>
      <x:c r="F73" s="8" t="n">
        <x:v>6506.275924999999</x:v>
      </x:c>
      <x:c r="G73" s="8" t="n">
        <x:v>183.36164699999998</x:v>
      </x:c>
      <x:c r="H73" s="8" t="str">
        <x:v>Constant stressed EBITDA margin; excludes synergies, integration, capex, taxes, rent cash and financing. No preferred structure.</x:v>
      </x:c>
    </x:row>
    <x:row r="74" ht="80" customHeight="1">
      <x:c r="A74" s="8" t="str">
        <x:v>Hypothetical operating sensitivity; not actual company forecast or capacity</x:v>
      </x:c>
      <x:c r="B74" s="8" t="str">
        <x:v>target</x:v>
      </x:c>
      <x:c r="C74" s="22" t="n">
        <x:v>5</x:v>
      </x:c>
      <x:c r="D74" s="23" t="n">
        <x:v>-0.05</x:v>
      </x:c>
      <x:c r="E74" s="23" t="n">
        <x:v>-0.01</x:v>
      </x:c>
      <x:c r="F74" s="8" t="n">
        <x:v>6180.962128749999</x:v>
      </x:c>
      <x:c r="G74" s="8" t="n">
        <x:v>174.19356464999996</x:v>
      </x:c>
      <x:c r="H74" s="8" t="str">
        <x:v>Constant stressed EBITDA margin; excludes synergies, integration, capex, taxes, rent cash and financing. No preferred structure.</x:v>
      </x:c>
    </x:row>
    <x:row r="75" ht="80" customHeight="1">
      <x:c r="A75" s="8" t="str">
        <x:v>Hypothetical operating sensitivity; not actual company forecast or capacity</x:v>
      </x:c>
      <x:c r="B75" s="8" t="str">
        <x:v>target</x:v>
      </x:c>
      <x:c r="C75" s="22" t="n">
        <x:v>1</x:v>
      </x:c>
      <x:c r="D75" s="23" t="n">
        <x:v>-0.05</x:v>
      </x:c>
      <x:c r="E75" s="23" t="n">
        <x:v>-0.02</x:v>
      </x:c>
      <x:c r="F75" s="8" t="n">
        <x:v>7588.599999999999</x:v>
      </x:c>
      <x:c r="G75" s="8" t="n">
        <x:v>137.97799999999998</x:v>
      </x:c>
      <x:c r="H75" s="8" t="str">
        <x:v>Constant stressed EBITDA margin; excludes synergies, integration, capex, taxes, rent cash and financing. No preferred structure.</x:v>
      </x:c>
    </x:row>
    <x:row r="76" ht="80" customHeight="1">
      <x:c r="A76" s="8" t="str">
        <x:v>Hypothetical operating sensitivity; not actual company forecast or capacity</x:v>
      </x:c>
      <x:c r="B76" s="8" t="str">
        <x:v>target</x:v>
      </x:c>
      <x:c r="C76" s="22" t="n">
        <x:v>2</x:v>
      </x:c>
      <x:c r="D76" s="23" t="n">
        <x:v>-0.05</x:v>
      </x:c>
      <x:c r="E76" s="23" t="n">
        <x:v>-0.02</x:v>
      </x:c>
      <x:c r="F76" s="8" t="n">
        <x:v>7209.17</x:v>
      </x:c>
      <x:c r="G76" s="8" t="n">
        <x:v>131.0791</x:v>
      </x:c>
      <x:c r="H76" s="8" t="str">
        <x:v>Constant stressed EBITDA margin; excludes synergies, integration, capex, taxes, rent cash and financing. No preferred structure.</x:v>
      </x:c>
    </x:row>
    <x:row r="77" ht="80" customHeight="1">
      <x:c r="A77" s="8" t="str">
        <x:v>Hypothetical operating sensitivity; not actual company forecast or capacity</x:v>
      </x:c>
      <x:c r="B77" s="8" t="str">
        <x:v>target</x:v>
      </x:c>
      <x:c r="C77" s="22" t="n">
        <x:v>3</x:v>
      </x:c>
      <x:c r="D77" s="23" t="n">
        <x:v>-0.05</x:v>
      </x:c>
      <x:c r="E77" s="23" t="n">
        <x:v>-0.02</x:v>
      </x:c>
      <x:c r="F77" s="8" t="n">
        <x:v>6848.711499999999</x:v>
      </x:c>
      <x:c r="G77" s="8" t="n">
        <x:v>124.525145</x:v>
      </x:c>
      <x:c r="H77" s="8" t="str">
        <x:v>Constant stressed EBITDA margin; excludes synergies, integration, capex, taxes, rent cash and financing. No preferred structure.</x:v>
      </x:c>
    </x:row>
    <x:row r="78" ht="80" customHeight="1">
      <x:c r="A78" s="8" t="str">
        <x:v>Hypothetical operating sensitivity; not actual company forecast or capacity</x:v>
      </x:c>
      <x:c r="B78" s="8" t="str">
        <x:v>target</x:v>
      </x:c>
      <x:c r="C78" s="22" t="n">
        <x:v>4</x:v>
      </x:c>
      <x:c r="D78" s="23" t="n">
        <x:v>-0.05</x:v>
      </x:c>
      <x:c r="E78" s="23" t="n">
        <x:v>-0.02</x:v>
      </x:c>
      <x:c r="F78" s="8" t="n">
        <x:v>6506.275924999999</x:v>
      </x:c>
      <x:c r="G78" s="8" t="n">
        <x:v>118.29888774999999</x:v>
      </x:c>
      <x:c r="H78" s="8" t="str">
        <x:v>Constant stressed EBITDA margin; excludes synergies, integration, capex, taxes, rent cash and financing. No preferred structure.</x:v>
      </x:c>
    </x:row>
    <x:row r="79" ht="80" customHeight="1">
      <x:c r="A79" s="8" t="str">
        <x:v>Hypothetical operating sensitivity; not actual company forecast or capacity</x:v>
      </x:c>
      <x:c r="B79" s="8" t="str">
        <x:v>target</x:v>
      </x:c>
      <x:c r="C79" s="22" t="n">
        <x:v>5</x:v>
      </x:c>
      <x:c r="D79" s="23" t="n">
        <x:v>-0.05</x:v>
      </x:c>
      <x:c r="E79" s="23" t="n">
        <x:v>-0.02</x:v>
      </x:c>
      <x:c r="F79" s="8" t="n">
        <x:v>6180.962128749999</x:v>
      </x:c>
      <x:c r="G79" s="8" t="n">
        <x:v>112.38394336249998</x:v>
      </x:c>
      <x:c r="H79" s="8" t="str">
        <x:v>Constant stressed EBITDA margin; excludes synergies, integration, capex, taxes, rent cash and financing. No preferred structure.</x:v>
      </x:c>
    </x:row>
    <x:row r="80" ht="80" customHeight="1">
      <x:c r="A80" s="8" t="str">
        <x:v>Hypothetical operating sensitivity; not actual company forecast or capacity</x:v>
      </x:c>
      <x:c r="B80" s="8" t="str">
        <x:v>target</x:v>
      </x:c>
      <x:c r="C80" s="22" t="n">
        <x:v>1</x:v>
      </x:c>
      <x:c r="D80" s="23" t="n">
        <x:v>-0.1</x:v>
      </x:c>
      <x:c r="E80" s="23" t="n">
        <x:v>0</x:v>
      </x:c>
      <x:c r="F80" s="8" t="n">
        <x:v>7189.2</x:v>
      </x:c>
      <x:c r="G80" s="8" t="n">
        <x:v>274.5</x:v>
      </x:c>
      <x:c r="H80" s="8" t="str">
        <x:v>Constant stressed EBITDA margin; excludes synergies, integration, capex, taxes, rent cash and financing. No preferred structure.</x:v>
      </x:c>
    </x:row>
    <x:row r="81" ht="80" customHeight="1">
      <x:c r="A81" s="8" t="str">
        <x:v>Hypothetical operating sensitivity; not actual company forecast or capacity</x:v>
      </x:c>
      <x:c r="B81" s="8" t="str">
        <x:v>target</x:v>
      </x:c>
      <x:c r="C81" s="22" t="n">
        <x:v>2</x:v>
      </x:c>
      <x:c r="D81" s="23" t="n">
        <x:v>-0.1</x:v>
      </x:c>
      <x:c r="E81" s="23" t="n">
        <x:v>0</x:v>
      </x:c>
      <x:c r="F81" s="8" t="n">
        <x:v>6470.280000000001</x:v>
      </x:c>
      <x:c r="G81" s="8" t="n">
        <x:v>247.05000000000004</x:v>
      </x:c>
      <x:c r="H81" s="8" t="str">
        <x:v>Constant stressed EBITDA margin; excludes synergies, integration, capex, taxes, rent cash and financing. No preferred structure.</x:v>
      </x:c>
    </x:row>
    <x:row r="82" ht="80" customHeight="1">
      <x:c r="A82" s="8" t="str">
        <x:v>Hypothetical operating sensitivity; not actual company forecast or capacity</x:v>
      </x:c>
      <x:c r="B82" s="8" t="str">
        <x:v>target</x:v>
      </x:c>
      <x:c r="C82" s="22" t="n">
        <x:v>3</x:v>
      </x:c>
      <x:c r="D82" s="23" t="n">
        <x:v>-0.1</x:v>
      </x:c>
      <x:c r="E82" s="23" t="n">
        <x:v>0</x:v>
      </x:c>
      <x:c r="F82" s="8" t="n">
        <x:v>5823.252</x:v>
      </x:c>
      <x:c r="G82" s="8" t="n">
        <x:v>222.34500000000003</x:v>
      </x:c>
      <x:c r="H82" s="8" t="str">
        <x:v>Constant stressed EBITDA margin; excludes synergies, integration, capex, taxes, rent cash and financing. No preferred structure.</x:v>
      </x:c>
    </x:row>
    <x:row r="83" ht="80" customHeight="1">
      <x:c r="A83" s="8" t="str">
        <x:v>Hypothetical operating sensitivity; not actual company forecast or capacity</x:v>
      </x:c>
      <x:c r="B83" s="8" t="str">
        <x:v>target</x:v>
      </x:c>
      <x:c r="C83" s="22" t="n">
        <x:v>4</x:v>
      </x:c>
      <x:c r="D83" s="23" t="n">
        <x:v>-0.1</x:v>
      </x:c>
      <x:c r="E83" s="23" t="n">
        <x:v>0</x:v>
      </x:c>
      <x:c r="F83" s="8" t="n">
        <x:v>5240.9268</x:v>
      </x:c>
      <x:c r="G83" s="8" t="n">
        <x:v>200.1105</x:v>
      </x:c>
      <x:c r="H83" s="8" t="str">
        <x:v>Constant stressed EBITDA margin; excludes synergies, integration, capex, taxes, rent cash and financing. No preferred structure.</x:v>
      </x:c>
    </x:row>
    <x:row r="84" ht="80" customHeight="1">
      <x:c r="A84" s="8" t="str">
        <x:v>Hypothetical operating sensitivity; not actual company forecast or capacity</x:v>
      </x:c>
      <x:c r="B84" s="8" t="str">
        <x:v>target</x:v>
      </x:c>
      <x:c r="C84" s="22" t="n">
        <x:v>5</x:v>
      </x:c>
      <x:c r="D84" s="23" t="n">
        <x:v>-0.1</x:v>
      </x:c>
      <x:c r="E84" s="23" t="n">
        <x:v>0</x:v>
      </x:c>
      <x:c r="F84" s="8" t="n">
        <x:v>4716.83412</x:v>
      </x:c>
      <x:c r="G84" s="8" t="n">
        <x:v>180.09945000000002</x:v>
      </x:c>
      <x:c r="H84" s="8" t="str">
        <x:v>Constant stressed EBITDA margin; excludes synergies, integration, capex, taxes, rent cash and financing. No preferred structure.</x:v>
      </x:c>
    </x:row>
    <x:row r="85" ht="80" customHeight="1">
      <x:c r="A85" s="8" t="str">
        <x:v>Hypothetical operating sensitivity; not actual company forecast or capacity</x:v>
      </x:c>
      <x:c r="B85" s="8" t="str">
        <x:v>target</x:v>
      </x:c>
      <x:c r="C85" s="22" t="n">
        <x:v>1</x:v>
      </x:c>
      <x:c r="D85" s="23" t="n">
        <x:v>-0.1</x:v>
      </x:c>
      <x:c r="E85" s="23" t="n">
        <x:v>-0.01</x:v>
      </x:c>
      <x:c r="F85" s="8" t="n">
        <x:v>7189.2</x:v>
      </x:c>
      <x:c r="G85" s="8" t="n">
        <x:v>202.60799999999998</x:v>
      </x:c>
      <x:c r="H85" s="8" t="str">
        <x:v>Constant stressed EBITDA margin; excludes synergies, integration, capex, taxes, rent cash and financing. No preferred structure.</x:v>
      </x:c>
    </x:row>
    <x:row r="86" ht="80" customHeight="1">
      <x:c r="A86" s="8" t="str">
        <x:v>Hypothetical operating sensitivity; not actual company forecast or capacity</x:v>
      </x:c>
      <x:c r="B86" s="8" t="str">
        <x:v>target</x:v>
      </x:c>
      <x:c r="C86" s="22" t="n">
        <x:v>2</x:v>
      </x:c>
      <x:c r="D86" s="23" t="n">
        <x:v>-0.1</x:v>
      </x:c>
      <x:c r="E86" s="23" t="n">
        <x:v>-0.01</x:v>
      </x:c>
      <x:c r="F86" s="8" t="n">
        <x:v>6470.280000000001</x:v>
      </x:c>
      <x:c r="G86" s="8" t="n">
        <x:v>182.34720000000002</x:v>
      </x:c>
      <x:c r="H86" s="8" t="str">
        <x:v>Constant stressed EBITDA margin; excludes synergies, integration, capex, taxes, rent cash and financing. No preferred structure.</x:v>
      </x:c>
    </x:row>
    <x:row r="87" ht="80" customHeight="1">
      <x:c r="A87" s="8" t="str">
        <x:v>Hypothetical operating sensitivity; not actual company forecast or capacity</x:v>
      </x:c>
      <x:c r="B87" s="8" t="str">
        <x:v>target</x:v>
      </x:c>
      <x:c r="C87" s="22" t="n">
        <x:v>3</x:v>
      </x:c>
      <x:c r="D87" s="23" t="n">
        <x:v>-0.1</x:v>
      </x:c>
      <x:c r="E87" s="23" t="n">
        <x:v>-0.01</x:v>
      </x:c>
      <x:c r="F87" s="8" t="n">
        <x:v>5823.252</x:v>
      </x:c>
      <x:c r="G87" s="8" t="n">
        <x:v>164.11248</x:v>
      </x:c>
      <x:c r="H87" s="8" t="str">
        <x:v>Constant stressed EBITDA margin; excludes synergies, integration, capex, taxes, rent cash and financing. No preferred structure.</x:v>
      </x:c>
    </x:row>
    <x:row r="88" ht="80" customHeight="1">
      <x:c r="A88" s="8" t="str">
        <x:v>Hypothetical operating sensitivity; not actual company forecast or capacity</x:v>
      </x:c>
      <x:c r="B88" s="8" t="str">
        <x:v>target</x:v>
      </x:c>
      <x:c r="C88" s="22" t="n">
        <x:v>4</x:v>
      </x:c>
      <x:c r="D88" s="23" t="n">
        <x:v>-0.1</x:v>
      </x:c>
      <x:c r="E88" s="23" t="n">
        <x:v>-0.01</x:v>
      </x:c>
      <x:c r="F88" s="8" t="n">
        <x:v>5240.9268</x:v>
      </x:c>
      <x:c r="G88" s="8" t="n">
        <x:v>147.701232</x:v>
      </x:c>
      <x:c r="H88" s="8" t="str">
        <x:v>Constant stressed EBITDA margin; excludes synergies, integration, capex, taxes, rent cash and financing. No preferred structure.</x:v>
      </x:c>
    </x:row>
    <x:row r="89" ht="80" customHeight="1">
      <x:c r="A89" s="8" t="str">
        <x:v>Hypothetical operating sensitivity; not actual company forecast or capacity</x:v>
      </x:c>
      <x:c r="B89" s="8" t="str">
        <x:v>target</x:v>
      </x:c>
      <x:c r="C89" s="22" t="n">
        <x:v>5</x:v>
      </x:c>
      <x:c r="D89" s="23" t="n">
        <x:v>-0.1</x:v>
      </x:c>
      <x:c r="E89" s="23" t="n">
        <x:v>-0.01</x:v>
      </x:c>
      <x:c r="F89" s="8" t="n">
        <x:v>4716.83412</x:v>
      </x:c>
      <x:c r="G89" s="8" t="n">
        <x:v>132.9311088</x:v>
      </x:c>
      <x:c r="H89" s="8" t="str">
        <x:v>Constant stressed EBITDA margin; excludes synergies, integration, capex, taxes, rent cash and financing. No preferred structure.</x:v>
      </x:c>
    </x:row>
    <x:row r="90" ht="80" customHeight="1">
      <x:c r="A90" s="8" t="str">
        <x:v>Hypothetical operating sensitivity; not actual company forecast or capacity</x:v>
      </x:c>
      <x:c r="B90" s="8" t="str">
        <x:v>target</x:v>
      </x:c>
      <x:c r="C90" s="22" t="n">
        <x:v>1</x:v>
      </x:c>
      <x:c r="D90" s="23" t="n">
        <x:v>-0.1</x:v>
      </x:c>
      <x:c r="E90" s="23" t="n">
        <x:v>-0.02</x:v>
      </x:c>
      <x:c r="F90" s="8" t="n">
        <x:v>7189.2</x:v>
      </x:c>
      <x:c r="G90" s="8" t="n">
        <x:v>130.716</x:v>
      </x:c>
      <x:c r="H90" s="8" t="str">
        <x:v>Constant stressed EBITDA margin; excludes synergies, integration, capex, taxes, rent cash and financing. No preferred structure.</x:v>
      </x:c>
    </x:row>
    <x:row r="91" ht="80" customHeight="1">
      <x:c r="A91" s="8" t="str">
        <x:v>Hypothetical operating sensitivity; not actual company forecast or capacity</x:v>
      </x:c>
      <x:c r="B91" s="8" t="str">
        <x:v>target</x:v>
      </x:c>
      <x:c r="C91" s="22" t="n">
        <x:v>2</x:v>
      </x:c>
      <x:c r="D91" s="23" t="n">
        <x:v>-0.1</x:v>
      </x:c>
      <x:c r="E91" s="23" t="n">
        <x:v>-0.02</x:v>
      </x:c>
      <x:c r="F91" s="8" t="n">
        <x:v>6470.280000000001</x:v>
      </x:c>
      <x:c r="G91" s="8" t="n">
        <x:v>117.64440000000002</x:v>
      </x:c>
      <x:c r="H91" s="8" t="str">
        <x:v>Constant stressed EBITDA margin; excludes synergies, integration, capex, taxes, rent cash and financing. No preferred structure.</x:v>
      </x:c>
    </x:row>
    <x:row r="92" ht="80" customHeight="1">
      <x:c r="A92" s="8" t="str">
        <x:v>Hypothetical operating sensitivity; not actual company forecast or capacity</x:v>
      </x:c>
      <x:c r="B92" s="8" t="str">
        <x:v>target</x:v>
      </x:c>
      <x:c r="C92" s="22" t="n">
        <x:v>3</x:v>
      </x:c>
      <x:c r="D92" s="23" t="n">
        <x:v>-0.1</x:v>
      </x:c>
      <x:c r="E92" s="23" t="n">
        <x:v>-0.02</x:v>
      </x:c>
      <x:c r="F92" s="8" t="n">
        <x:v>5823.252</x:v>
      </x:c>
      <x:c r="G92" s="8" t="n">
        <x:v>105.87996000000001</x:v>
      </x:c>
      <x:c r="H92" s="8" t="str">
        <x:v>Constant stressed EBITDA margin; excludes synergies, integration, capex, taxes, rent cash and financing. No preferred structure.</x:v>
      </x:c>
    </x:row>
    <x:row r="93" ht="80" customHeight="1">
      <x:c r="A93" s="8" t="str">
        <x:v>Hypothetical operating sensitivity; not actual company forecast or capacity</x:v>
      </x:c>
      <x:c r="B93" s="8" t="str">
        <x:v>target</x:v>
      </x:c>
      <x:c r="C93" s="22" t="n">
        <x:v>4</x:v>
      </x:c>
      <x:c r="D93" s="23" t="n">
        <x:v>-0.1</x:v>
      </x:c>
      <x:c r="E93" s="23" t="n">
        <x:v>-0.02</x:v>
      </x:c>
      <x:c r="F93" s="8" t="n">
        <x:v>5240.9268</x:v>
      </x:c>
      <x:c r="G93" s="8" t="n">
        <x:v>95.29196400000001</x:v>
      </x:c>
      <x:c r="H93" s="8" t="str">
        <x:v>Constant stressed EBITDA margin; excludes synergies, integration, capex, taxes, rent cash and financing. No preferred structure.</x:v>
      </x:c>
    </x:row>
    <x:row r="94" ht="80" customHeight="1">
      <x:c r="A94" s="8" t="str">
        <x:v>Hypothetical operating sensitivity; not actual company forecast or capacity</x:v>
      </x:c>
      <x:c r="B94" s="8" t="str">
        <x:v>target</x:v>
      </x:c>
      <x:c r="C94" s="22" t="n">
        <x:v>5</x:v>
      </x:c>
      <x:c r="D94" s="23" t="n">
        <x:v>-0.1</x:v>
      </x:c>
      <x:c r="E94" s="23" t="n">
        <x:v>-0.02</x:v>
      </x:c>
      <x:c r="F94" s="8" t="n">
        <x:v>4716.83412</x:v>
      </x:c>
      <x:c r="G94" s="8" t="n">
        <x:v>85.7627676</x:v>
      </x:c>
      <x:c r="H94" s="8" t="str">
        <x:v>Constant stressed EBITDA margin; excludes synergies, integration, capex, taxes, rent cash and financing. No preferred structure.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110" hidden="0" customWidth="1"/>
    <x:col min="3" max="3" width="110" hidden="0" customWidth="1"/>
  </x:cols>
  <x:sheetData>
    <x:row r="2" ht="42" customHeight="1">
      <x:c r="A2" s="5" t="str">
        <x:v>Fictional Atlas / Beacon - illustrative only | Historical assumptions</x:v>
      </x:c>
      <x:c r="B2" s="5"/>
      <x:c r="C2" s="5"/>
    </x:row>
    <x:row r="3" ht="42" customHeight="1">
      <x:c r="A3" s="4" t="str">
        <x:v>USD millions unless stated. Python snapshots; formula calculations are explicitly shown.</x:v>
      </x:c>
      <x:c r="B3" s="4"/>
      <x:c r="C3" s="4"/>
    </x:row>
    <x:row r="4" ht="42" customHeight="1">
      <x:c r="A4" s="7" t="str">
        <x:v>Future choice</x:v>
      </x:c>
      <x:c r="B4" s="7" t="str">
        <x:v>Value</x:v>
      </x:c>
      <x:c r="C4" s="7" t="str">
        <x:v>Rationale</x:v>
      </x:c>
    </x:row>
    <x:row r="5" ht="210" customHeight="1">
      <x:c r="A5" s="17" t="str">
        <x:v>assumption.analytical_thresholds</x:v>
      </x:c>
      <x:c r="B5" s="17" t="str">
        <x:v>{"cash_floor": 750.0, "max_leverage": 3.0, "min_coverage": 4.0, "tax_rate": 0.25, "interest_deduction_limit": 1.0}</x:v>
      </x:c>
      <x:c r="C5" s="17" t="str">
        <x:v>Analyst screening limits, not lender covenants or verified tax deductibility; test cash floors 500/750/1000 and leverage 2/3/4.</x:v>
      </x:c>
    </x:row>
    <x:row r="6" ht="210" customHeight="1">
      <x:c r="A6" s="17" t="str">
        <x:v>assumption.capital_allocation</x:v>
      </x:c>
      <x:c r="B6" s="17" t="str">
        <x:v>{"dividends": [0.0, 0.0, 0.0, 0.0, 0.0], "buybacks": [0.0, 0.0, 0.0, 0.0, 0.0], "sweep_fraction": 0.0}</x:v>
      </x:c>
      <x:c r="C6" s="17" t="str">
        <x:v>Prospective suspension of discretionary distributions and optional repayments. Existing declared obligations remain separate missing facts, not zeroed.</x:v>
      </x:c>
    </x:row>
    <x:row r="7" ht="210" customHeight="1">
      <x:c r="A7" s="17" t="str">
        <x:v>assumption.synergy_delivery_and_costs</x:v>
      </x:c>
      <x:c r="B7" s="17" t="str">
        <x:v>{"run_rate": 100.0, "ramp": [0.0, 0.5, 1.0, 1.0, 1.0], "integration": [100.0, 50.0, 25.0, 0.0, 0.0]}</x:v>
      </x:c>
      <x:c r="C7" s="17" t="str">
        <x:v>Future delivery/cost choices, not management cost guidance. Test run rates 0/100/125, one-year delay and doubled integration costs.</x:v>
      </x:c>
    </x:row>
    <x:row r="8" ht="210" customHeight="1">
      <x:c r="A8" s="17" t="str">
        <x:v>assumption.closing_bridge</x:v>
      </x:c>
      <x:c r="B8" s="17" t="str">
        <x:v>{"closing_date": "2025-11-01", "companies": [{"operating": 788.7715500000004, "capex": 845.6421598250608, "dividends": 291.1673650125, "buybacks": 5.0, "projected_lease_principal": 0.0}, {"operating": -70.04999999999973, "capex": 231.25, "dividends": 0.0, "buybacks": 0.0, "projected_lease_principal": 3.6}]}</x:v>
      </x:c>
      <x:c r="C8" s="17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</x:row>
    <x:row r="9" ht="210" customHeight="1">
      <x:c r="A9" s="17" t="str">
        <x:v>assumption.operating_forecast</x:v>
      </x:c>
      <x:c r="B9" s="17" t="str">
        <x:v>{"companies": [{"gross_margin": 0.35, "variable_opex": 0.1, "capex_ratio": 0.06, "growth": [0.0, 0.0, 0.0, 0.0, 0.0], "fixed_growth": 0.02, "seasonality": [0.25, 0.25, 0.25, 0.25], "inventory_seasonality": [1.0, 1.0, 1.0, 1.0]}, {"gross_margin": 0.3, "variable_opex": 0.1, "capex_ratio": 0.04, "growth": [-0.05, 0.0, 0.02, 0.02, 0.02], "fixed_growth": 0.02, "seasonality": [0.25, 0.25, 0.25, 0.25], "inventory_seasonality": [1.0, 1.0, 1.0, 1.0]}], "quarterly": {"enabled": false, "label": "No assumed quarterly historical liquidity"}}</x:v>
      </x:c>
      <x:c r="C9" s="17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</x:row>
    <x:row r="10" ht="210" customHeight="1">
      <x:c r="A10" s="17" t="str">
        <x:v>assumption.financing_terms_and_fees</x:v>
      </x:c>
      <x:c r="B10" s="17" t="str">
        <x:v>{"transaction": {"transaction_fees": 75.0, "financing_fee_rate": 0.02, "ev_other": 0.0, "allow_target_cash": false, "target_cash_rationale": "Conservative future scenario choice; no upstream availability assumed", "acquirer_reference_price": 200.0}, "new_debt": {"kind": "floating", "benchmark": [0.045, 0.045, 0.045, 0.045, 0.045], "spread": 0.025, "fixed_benchmark": 0.045, "maturity": 5.0, "amortisation": 0.02}, "policy": {"refinance": false, "refinance_limit": 0.0, "refinance_tenor": 5.0, "refinance_fee": 0.02}}</x:v>
      </x:c>
      <x:c r="C10" s="17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0" hidden="0" customWidth="1"/>
    <x:col min="2" max="2" width="70" hidden="0" customWidth="1"/>
    <x:col min="3" max="3" width="22" hidden="0" customWidth="1"/>
    <x:col min="4" max="4" width="30" hidden="0" customWidth="1"/>
    <x:col min="5" max="5" width="90" hidden="0" customWidth="1"/>
  </x:cols>
  <x:sheetData>
    <x:row r="2" ht="42" customHeight="1">
      <x:c r="A2" s="5" t="str">
        <x:v>Fictional Atlas / Beacon - illustrative only | Funding unit sensitivities</x:v>
      </x:c>
      <x:c r="B2" s="5"/>
      <x:c r="C2" s="5"/>
      <x:c r="D2" s="5"/>
      <x:c r="E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</x:row>
    <x:row r="4" ht="42" customHeight="1">
      <x:c r="A4" s="7" t="str">
        <x:v>Study</x:v>
      </x:c>
      <x:c r="B4" s="7" t="str">
        <x:v>Assumptions</x:v>
      </x:c>
      <x:c r="C4" s="7" t="str">
        <x:v>Value</x:v>
      </x:c>
      <x:c r="D4" s="7" t="str">
        <x:v>Units</x:v>
      </x:c>
      <x:c r="E4" s="7" t="str">
        <x:v>Limitation</x:v>
      </x:c>
    </x:row>
    <x:row r="5" ht="80" customHeight="1">
      <x:c r="A5" s="8" t="str">
        <x:v>Annual coupon per hypothetical 1000 new debt</x:v>
      </x:c>
      <x:c r="B5" s="8" t="str">
        <x:v>Benchmark shift -2.00%; spread shift +0.00%</x:v>
      </x:c>
      <x:c r="C5" s="8" t="n">
        <x:v>50</x:v>
      </x:c>
      <x:c r="D5" s="8" t="str">
        <x:v>USD millions/year</x:v>
      </x:c>
      <x:c r="E5" s="8" t="str">
        <x:v>Unit sensitivity, not actual debt size, quote, debt capacity or fixed legacy-note repricing.</x:v>
      </x:c>
    </x:row>
    <x:row r="6" ht="80" customHeight="1">
      <x:c r="A6" s="8" t="str">
        <x:v>Annual coupon per hypothetical 1000 new debt</x:v>
      </x:c>
      <x:c r="B6" s="8" t="str">
        <x:v>Benchmark shift -2.00%; spread shift +1.00%</x:v>
      </x:c>
      <x:c r="C6" s="8" t="n">
        <x:v>60.00000000000001</x:v>
      </x:c>
      <x:c r="D6" s="8" t="str">
        <x:v>USD millions/year</x:v>
      </x:c>
      <x:c r="E6" s="8" t="str">
        <x:v>Unit sensitivity, not actual debt size, quote, debt capacity or fixed legacy-note repricing.</x:v>
      </x:c>
    </x:row>
    <x:row r="7" ht="80" customHeight="1">
      <x:c r="A7" s="8" t="str">
        <x:v>Annual coupon per hypothetical 1000 new debt</x:v>
      </x:c>
      <x:c r="B7" s="8" t="str">
        <x:v>Benchmark shift -2.00%; spread shift +2.00%</x:v>
      </x:c>
      <x:c r="C7" s="8" t="n">
        <x:v>70</x:v>
      </x:c>
      <x:c r="D7" s="8" t="str">
        <x:v>USD millions/year</x:v>
      </x:c>
      <x:c r="E7" s="8" t="str">
        <x:v>Unit sensitivity, not actual debt size, quote, debt capacity or fixed legacy-note repricing.</x:v>
      </x:c>
    </x:row>
    <x:row r="8" ht="80" customHeight="1">
      <x:c r="A8" s="8" t="str">
        <x:v>Annual coupon per hypothetical 1000 new debt</x:v>
      </x:c>
      <x:c r="B8" s="8" t="str">
        <x:v>Benchmark shift +0.00%; spread shift +0.00%</x:v>
      </x:c>
      <x:c r="C8" s="8" t="n">
        <x:v>70</x:v>
      </x:c>
      <x:c r="D8" s="8" t="str">
        <x:v>USD millions/year</x:v>
      </x:c>
      <x:c r="E8" s="8" t="str">
        <x:v>Unit sensitivity, not actual debt size, quote, debt capacity or fixed legacy-note repricing.</x:v>
      </x:c>
    </x:row>
    <x:row r="9" ht="80" customHeight="1">
      <x:c r="A9" s="8" t="str">
        <x:v>Annual coupon per hypothetical 1000 new debt</x:v>
      </x:c>
      <x:c r="B9" s="8" t="str">
        <x:v>Benchmark shift +0.00%; spread shift +1.00%</x:v>
      </x:c>
      <x:c r="C9" s="8" t="n">
        <x:v>80</x:v>
      </x:c>
      <x:c r="D9" s="8" t="str">
        <x:v>USD millions/year</x:v>
      </x:c>
      <x:c r="E9" s="8" t="str">
        <x:v>Unit sensitivity, not actual debt size, quote, debt capacity or fixed legacy-note repricing.</x:v>
      </x:c>
    </x:row>
    <x:row r="10" ht="80" customHeight="1">
      <x:c r="A10" s="8" t="str">
        <x:v>Annual coupon per hypothetical 1000 new debt</x:v>
      </x:c>
      <x:c r="B10" s="8" t="str">
        <x:v>Benchmark shift +0.00%; spread shift +2.00%</x:v>
      </x:c>
      <x:c r="C10" s="8" t="n">
        <x:v>90.00000000000001</x:v>
      </x:c>
      <x:c r="D10" s="8" t="str">
        <x:v>USD millions/year</x:v>
      </x:c>
      <x:c r="E10" s="8" t="str">
        <x:v>Unit sensitivity, not actual debt size, quote, debt capacity or fixed legacy-note repricing.</x:v>
      </x:c>
    </x:row>
    <x:row r="11" ht="80" customHeight="1">
      <x:c r="A11" s="8" t="str">
        <x:v>Annual coupon per hypothetical 1000 new debt</x:v>
      </x:c>
      <x:c r="B11" s="8" t="str">
        <x:v>Benchmark shift +2.00%; spread shift +0.00%</x:v>
      </x:c>
      <x:c r="C11" s="8" t="n">
        <x:v>90</x:v>
      </x:c>
      <x:c r="D11" s="8" t="str">
        <x:v>USD millions/year</x:v>
      </x:c>
      <x:c r="E11" s="8" t="str">
        <x:v>Unit sensitivity, not actual debt size, quote, debt capacity or fixed legacy-note repricing.</x:v>
      </x:c>
    </x:row>
    <x:row r="12" ht="80" customHeight="1">
      <x:c r="A12" s="8" t="str">
        <x:v>Annual coupon per hypothetical 1000 new debt</x:v>
      </x:c>
      <x:c r="B12" s="8" t="str">
        <x:v>Benchmark shift +2.00%; spread shift +1.00%</x:v>
      </x:c>
      <x:c r="C12" s="8" t="n">
        <x:v>99.99999999999999</x:v>
      </x:c>
      <x:c r="D12" s="8" t="str">
        <x:v>USD millions/year</x:v>
      </x:c>
      <x:c r="E12" s="8" t="str">
        <x:v>Unit sensitivity, not actual debt size, quote, debt capacity or fixed legacy-note repricing.</x:v>
      </x:c>
    </x:row>
    <x:row r="13" ht="80" customHeight="1">
      <x:c r="A13" s="8" t="str">
        <x:v>Annual coupon per hypothetical 1000 new debt</x:v>
      </x:c>
      <x:c r="B13" s="8" t="str">
        <x:v>Benchmark shift +2.00%; spread shift +2.00%</x:v>
      </x:c>
      <x:c r="C13" s="8" t="n">
        <x:v>110</x:v>
      </x:c>
      <x:c r="D13" s="8" t="str">
        <x:v>USD millions/year</x:v>
      </x:c>
      <x:c r="E13" s="8" t="str">
        <x:v>Unit sensitivity, not actual debt size, quote, debt capacity or fixed legacy-note repricing.</x:v>
      </x:c>
    </x:row>
    <x:row r="14" ht="80" customHeight="1">
      <x:c r="A14" s="8" t="str">
        <x:v>Gross borrowing to net hypothetical 1000 proceeds</x:v>
      </x:c>
      <x:c r="B14" s="8" t="str">
        <x:v>Upfront fee 1%</x:v>
      </x:c>
      <x:c r="C14" s="8" t="n">
        <x:v>1010.1010101010102</x:v>
      </x:c>
      <x:c r="D14" s="8" t="str">
        <x:v>USD millions</x:v>
      </x:c>
      <x:c r="E14" s="8" t="str">
        <x:v>1000 is a unit scenario, not historical acquisition funding.</x:v>
      </x:c>
    </x:row>
    <x:row r="15" ht="80" customHeight="1">
      <x:c r="A15" s="8" t="str">
        <x:v>Gross borrowing to net hypothetical 1000 proceeds</x:v>
      </x:c>
      <x:c r="B15" s="8" t="str">
        <x:v>Upfront fee 2%</x:v>
      </x:c>
      <x:c r="C15" s="8" t="n">
        <x:v>1020.4081632653061</x:v>
      </x:c>
      <x:c r="D15" s="8" t="str">
        <x:v>USD millions</x:v>
      </x:c>
      <x:c r="E15" s="8" t="str">
        <x:v>1000 is a unit scenario, not historical acquisition funding.</x:v>
      </x:c>
    </x:row>
    <x:row r="16" ht="80" customHeight="1">
      <x:c r="A16" s="8" t="str">
        <x:v>Gross borrowing to net hypothetical 1000 proceeds</x:v>
      </x:c>
      <x:c r="B16" s="8" t="str">
        <x:v>Upfront fee 3%</x:v>
      </x:c>
      <x:c r="C16" s="8" t="n">
        <x:v>1030.9278350515465</x:v>
      </x:c>
      <x:c r="D16" s="8" t="str">
        <x:v>USD millions</x:v>
      </x:c>
      <x:c r="E16" s="8" t="str">
        <x:v>1000 is a unit scenario, not historical acquisition funding.</x:v>
      </x:c>
    </x:row>
    <x:row r="17" ht="80" customHeight="1">
      <x:c r="A17" s="8" t="str">
        <x:v>Five-year cumulative synergy less integration costs</x:v>
      </x:c>
      <x:c r="B17" s="8" t="str">
        <x:v>Run rate 0.0; delay 0yr; cost multiplier 1.0</x:v>
      </x:c>
      <x:c r="C17" s="8" t="n">
        <x:v>-175</x:v>
      </x:c>
      <x:c r="D17" s="8" t="str">
        <x:v>USD millions, pre-tax</x:v>
      </x:c>
      <x:c r="E17" s="8" t="str">
        <x:v>Hypothetical delivery and costs; no discounting/tax, financing or working-capital effects.</x:v>
      </x:c>
    </x:row>
    <x:row r="18" ht="80" customHeight="1">
      <x:c r="A18" s="8" t="str">
        <x:v>Five-year cumulative synergy less integration costs</x:v>
      </x:c>
      <x:c r="B18" s="8" t="str">
        <x:v>Run rate 0.0; delay 0yr; cost multiplier 2.0</x:v>
      </x:c>
      <x:c r="C18" s="8" t="n">
        <x:v>-350</x:v>
      </x:c>
      <x:c r="D18" s="8" t="str">
        <x:v>USD millions, pre-tax</x:v>
      </x:c>
      <x:c r="E18" s="8" t="str">
        <x:v>Hypothetical delivery and costs; no discounting/tax, financing or working-capital effects.</x:v>
      </x:c>
    </x:row>
    <x:row r="19" ht="80" customHeight="1">
      <x:c r="A19" s="8" t="str">
        <x:v>Five-year cumulative synergy less integration costs</x:v>
      </x:c>
      <x:c r="B19" s="8" t="str">
        <x:v>Run rate 0.0; delay 1yr; cost multiplier 1.0</x:v>
      </x:c>
      <x:c r="C19" s="8" t="n">
        <x:v>-175</x:v>
      </x:c>
      <x:c r="D19" s="8" t="str">
        <x:v>USD millions, pre-tax</x:v>
      </x:c>
      <x:c r="E19" s="8" t="str">
        <x:v>Hypothetical delivery and costs; no discounting/tax, financing or working-capital effects.</x:v>
      </x:c>
    </x:row>
    <x:row r="20" ht="80" customHeight="1">
      <x:c r="A20" s="8" t="str">
        <x:v>Five-year cumulative synergy less integration costs</x:v>
      </x:c>
      <x:c r="B20" s="8" t="str">
        <x:v>Run rate 0.0; delay 1yr; cost multiplier 2.0</x:v>
      </x:c>
      <x:c r="C20" s="8" t="n">
        <x:v>-350</x:v>
      </x:c>
      <x:c r="D20" s="8" t="str">
        <x:v>USD millions, pre-tax</x:v>
      </x:c>
      <x:c r="E20" s="8" t="str">
        <x:v>Hypothetical delivery and costs; no discounting/tax, financing or working-capital effects.</x:v>
      </x:c>
    </x:row>
    <x:row r="21" ht="80" customHeight="1">
      <x:c r="A21" s="8" t="str">
        <x:v>Five-year cumulative synergy less integration costs</x:v>
      </x:c>
      <x:c r="B21" s="8" t="str">
        <x:v>Run rate 100.0; delay 0yr; cost multiplier 1.0</x:v>
      </x:c>
      <x:c r="C21" s="8" t="n">
        <x:v>175</x:v>
      </x:c>
      <x:c r="D21" s="8" t="str">
        <x:v>USD millions, pre-tax</x:v>
      </x:c>
      <x:c r="E21" s="8" t="str">
        <x:v>Hypothetical delivery and costs; no discounting/tax, financing or working-capital effects.</x:v>
      </x:c>
    </x:row>
    <x:row r="22" ht="80" customHeight="1">
      <x:c r="A22" s="8" t="str">
        <x:v>Five-year cumulative synergy less integration costs</x:v>
      </x:c>
      <x:c r="B22" s="8" t="str">
        <x:v>Run rate 100.0; delay 0yr; cost multiplier 2.0</x:v>
      </x:c>
      <x:c r="C22" s="8" t="n">
        <x:v>0</x:v>
      </x:c>
      <x:c r="D22" s="8" t="str">
        <x:v>USD millions, pre-tax</x:v>
      </x:c>
      <x:c r="E22" s="8" t="str">
        <x:v>Hypothetical delivery and costs; no discounting/tax, financing or working-capital effects.</x:v>
      </x:c>
    </x:row>
    <x:row r="23" ht="80" customHeight="1">
      <x:c r="A23" s="8" t="str">
        <x:v>Five-year cumulative synergy less integration costs</x:v>
      </x:c>
      <x:c r="B23" s="8" t="str">
        <x:v>Run rate 100.0; delay 1yr; cost multiplier 1.0</x:v>
      </x:c>
      <x:c r="C23" s="8" t="n">
        <x:v>75</x:v>
      </x:c>
      <x:c r="D23" s="8" t="str">
        <x:v>USD millions, pre-tax</x:v>
      </x:c>
      <x:c r="E23" s="8" t="str">
        <x:v>Hypothetical delivery and costs; no discounting/tax, financing or working-capital effects.</x:v>
      </x:c>
    </x:row>
    <x:row r="24" ht="80" customHeight="1">
      <x:c r="A24" s="8" t="str">
        <x:v>Five-year cumulative synergy less integration costs</x:v>
      </x:c>
      <x:c r="B24" s="8" t="str">
        <x:v>Run rate 100.0; delay 1yr; cost multiplier 2.0</x:v>
      </x:c>
      <x:c r="C24" s="8" t="n">
        <x:v>-100</x:v>
      </x:c>
      <x:c r="D24" s="8" t="str">
        <x:v>USD millions, pre-tax</x:v>
      </x:c>
      <x:c r="E24" s="8" t="str">
        <x:v>Hypothetical delivery and costs; no discounting/tax, financing or working-capital effects.</x:v>
      </x:c>
    </x:row>
    <x:row r="25" ht="80" customHeight="1">
      <x:c r="A25" s="8" t="str">
        <x:v>Five-year cumulative synergy less integration costs</x:v>
      </x:c>
      <x:c r="B25" s="8" t="str">
        <x:v>Run rate 125.0; delay 0yr; cost multiplier 1.0</x:v>
      </x:c>
      <x:c r="C25" s="8" t="n">
        <x:v>262.5</x:v>
      </x:c>
      <x:c r="D25" s="8" t="str">
        <x:v>USD millions, pre-tax</x:v>
      </x:c>
      <x:c r="E25" s="8" t="str">
        <x:v>Hypothetical delivery and costs; no discounting/tax, financing or working-capital effects.</x:v>
      </x:c>
    </x:row>
    <x:row r="26" ht="80" customHeight="1">
      <x:c r="A26" s="8" t="str">
        <x:v>Five-year cumulative synergy less integration costs</x:v>
      </x:c>
      <x:c r="B26" s="8" t="str">
        <x:v>Run rate 125.0; delay 0yr; cost multiplier 2.0</x:v>
      </x:c>
      <x:c r="C26" s="8" t="n">
        <x:v>87.5</x:v>
      </x:c>
      <x:c r="D26" s="8" t="str">
        <x:v>USD millions, pre-tax</x:v>
      </x:c>
      <x:c r="E26" s="8" t="str">
        <x:v>Hypothetical delivery and costs; no discounting/tax, financing or working-capital effects.</x:v>
      </x:c>
    </x:row>
    <x:row r="27" ht="80" customHeight="1">
      <x:c r="A27" s="8" t="str">
        <x:v>Five-year cumulative synergy less integration costs</x:v>
      </x:c>
      <x:c r="B27" s="8" t="str">
        <x:v>Run rate 125.0; delay 1yr; cost multiplier 1.0</x:v>
      </x:c>
      <x:c r="C27" s="8" t="n">
        <x:v>137.5</x:v>
      </x:c>
      <x:c r="D27" s="8" t="str">
        <x:v>USD millions, pre-tax</x:v>
      </x:c>
      <x:c r="E27" s="8" t="str">
        <x:v>Hypothetical delivery and costs; no discounting/tax, financing or working-capital effects.</x:v>
      </x:c>
    </x:row>
    <x:row r="28" ht="80" customHeight="1">
      <x:c r="A28" s="8" t="str">
        <x:v>Five-year cumulative synergy less integration costs</x:v>
      </x:c>
      <x:c r="B28" s="8" t="str">
        <x:v>Run rate 125.0; delay 1yr; cost multiplier 2.0</x:v>
      </x:c>
      <x:c r="C28" s="8" t="n">
        <x:v>-37.5</x:v>
      </x:c>
      <x:c r="D28" s="8" t="str">
        <x:v>USD millions, pre-tax</x:v>
      </x:c>
      <x:c r="E28" s="8" t="str">
        <x:v>Hypothetical delivery and costs; no discounting/tax, financing or working-capital effects.</x:v>
      </x:c>
    </x:row>
  </x:sheetData>
  <x:mergeCells>
    <x:mergeCell ref="A2:E2"/>
    <x:mergeCell ref="A3:E3"/>
  </x:mergeCells>
  <x:pageMargins left="0.7" right="0.7" top="0.75" bottom="0.75" header="0.3" footer="0.3"/>
</x:worksheet>
</file>