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s" sheetId="1" r:id="rId1"/>
    <sheet name="Summary" sheetId="2" r:id="rId2"/>
    <sheet name="Itemised funding" sheetId="3" r:id="rId3"/>
    <sheet name="Timing and capacity" sheetId="4" r:id="rId4"/>
    <sheet name="Model checks" sheetId="5" r:id="rId5"/>
    <sheet name="Joint credit stress" sheetId="6" r:id="rId6"/>
    <sheet name="Illustrative bond risk" sheetId="7" r:id="rId7"/>
    <sheet name="Assumptions" sheetId="8" r:id="rId8"/>
    <sheet name="Sources Uses" sheetId="9" r:id="rId9"/>
    <sheet name="Opening Bridge" sheetId="10" r:id="rId10"/>
    <sheet name="Operations" sheetId="11" r:id="rId11"/>
    <sheet name="Liquidity" sheetId="12" r:id="rId12"/>
    <sheet name="Debt Schedule" sheetId="13" r:id="rId13"/>
    <sheet name="Scenarios" sheetId="14" r:id="rId14"/>
    <sheet name="Quarterly" sheetId="15" r:id="rId15"/>
    <sheet name="Capacity" sheetId="16" r:id="rId16"/>
    <sheet name="Capacity Grid" sheetId="17" r:id="rId17"/>
    <sheet name="Sensitivity" sheetId="18" r:id="rId18"/>
    <sheet name="Reverse Stress" sheetId="19" r:id="rId19"/>
    <sheet name="Checks" sheetId="20" r:id="rId20"/>
    <sheet name="Evidence" sheetId="21" r:id="rId21"/>
    <sheet name="Sources" sheetId="22" r:id="rId22"/>
    <sheet name="Historical calculations" sheetId="23" r:id="rId23"/>
    <sheet name="Historical gap review" sheetId="24" r:id="rId24"/>
    <sheet name="Historical sensitivities" sheetId="25" r:id="rId25"/>
    <sheet name="Historical assumptions" sheetId="26" r:id="rId26"/>
    <sheet name="Funding unit sensitivities" sheetId="27" r:id="rId27"/>
  </sheets>
  <definedNames>
    <definedName name="_xlnm._FilterDatabase" localSheetId="7" hidden="1">Assumptions!$A$4:$B$181</definedName>
    <definedName name="_xlnm._FilterDatabase" localSheetId="16" hidden="1">'Capacity Grid'!$A$4:$D$361</definedName>
    <definedName name="_xlnm._FilterDatabase" localSheetId="15" hidden="1">Capacity!$A$4:$H$7</definedName>
    <definedName name="_xlnm._FilterDatabase" localSheetId="19" hidden="1">Checks!$A$4:$F$19</definedName>
    <definedName name="_xlnm._FilterDatabase" localSheetId="0" hidden="1">Contents!$A$5:$B$31</definedName>
    <definedName name="_xlnm._FilterDatabase" localSheetId="20" hidden="1">Evidence!$A$4:$H$141</definedName>
    <definedName name="_xlnm._FilterDatabase" localSheetId="26" hidden="1">'Funding unit sensitivities'!$A$4:$E$28</definedName>
    <definedName name="_xlnm._FilterDatabase" localSheetId="25" hidden="1">'Historical assumptions'!$A$4:$C$10</definedName>
    <definedName name="_xlnm._FilterDatabase" localSheetId="22" hidden="1">'Historical calculations'!$A$4:$G$19</definedName>
    <definedName name="_xlnm._FilterDatabase" localSheetId="23" hidden="1">'Historical gap review'!$A$4:$J$40</definedName>
    <definedName name="_xlnm._FilterDatabase" localSheetId="24" hidden="1">'Historical sensitivities'!$A$4:$H$94</definedName>
    <definedName name="_xlnm._FilterDatabase" localSheetId="6" hidden="1">'Illustrative bond risk'!$A$4:$B$14</definedName>
    <definedName name="_xlnm._FilterDatabase" localSheetId="2" hidden="1">'Itemised funding'!$A$4:$C$46</definedName>
    <definedName name="_xlnm._FilterDatabase" localSheetId="5" hidden="1">'Joint credit stress'!$A$4:$F$31</definedName>
    <definedName name="_xlnm._FilterDatabase" localSheetId="4" hidden="1">'Model checks'!$A$4:$F$19</definedName>
    <definedName name="_xlnm._FilterDatabase" localSheetId="14" hidden="1">Quarterly!$A$4:$M$28</definedName>
    <definedName name="_xlnm._FilterDatabase" localSheetId="18" hidden="1">'Reverse Stress'!$A$4:$E$7</definedName>
    <definedName name="_xlnm._FilterDatabase" localSheetId="13" hidden="1">Scenarios!$A$4:$K$244</definedName>
    <definedName name="_xlnm._FilterDatabase" localSheetId="17" hidden="1">Sensitivity!$A$4:$D$12</definedName>
    <definedName name="_xlnm._FilterDatabase" localSheetId="8" hidden="1">'Sources Uses'!$A$4:$C$73</definedName>
    <definedName name="_xlnm._FilterDatabase" localSheetId="21" hidden="1">Sources!$A$4:$G$24</definedName>
    <definedName name="_xlnm._FilterDatabase" localSheetId="3" hidden="1">'Timing and capacity'!$A$4:$F$10</definedName>
    <definedName name="_xlnm.Print_Area" localSheetId="7">Assumptions!$A$1:$B$181</definedName>
    <definedName name="_xlnm.Print_Area" localSheetId="16">'Capacity Grid'!$A$1:$D$361</definedName>
    <definedName name="_xlnm.Print_Area" localSheetId="15">Capacity!$A$1:$H$7</definedName>
    <definedName name="_xlnm.Print_Area" localSheetId="19">Checks!$A$1:$F$19</definedName>
    <definedName name="_xlnm.Print_Area" localSheetId="0">Contents!$A$1:$B$31</definedName>
    <definedName name="_xlnm.Print_Area" localSheetId="12">'Debt Schedule'!$A$1:$M$1216</definedName>
    <definedName name="_xlnm.Print_Area" localSheetId="20">Evidence!$A$1:$H$141</definedName>
    <definedName name="_xlnm.Print_Area" localSheetId="26">'Funding unit sensitivities'!$A$1:$E$28</definedName>
    <definedName name="_xlnm.Print_Area" localSheetId="25">'Historical assumptions'!$A$1:$C$10</definedName>
    <definedName name="_xlnm.Print_Area" localSheetId="22">'Historical calculations'!$A$1:$G$19</definedName>
    <definedName name="_xlnm.Print_Area" localSheetId="23">'Historical gap review'!$A$1:$J$40</definedName>
    <definedName name="_xlnm.Print_Area" localSheetId="24">'Historical sensitivities'!$A$1:$H$94</definedName>
    <definedName name="_xlnm.Print_Area" localSheetId="6">'Illustrative bond risk'!$A$1:$B$14</definedName>
    <definedName name="_xlnm.Print_Area" localSheetId="2">'Itemised funding'!$A$1:$C$46</definedName>
    <definedName name="_xlnm.Print_Area" localSheetId="5">'Joint credit stress'!$A$1:$F$31</definedName>
    <definedName name="_xlnm.Print_Area" localSheetId="11">Liquidity!$A$1:$W$19</definedName>
    <definedName name="_xlnm.Print_Area" localSheetId="4">'Model checks'!$A$1:$F$19</definedName>
    <definedName name="_xlnm.Print_Area" localSheetId="9">'Opening Bridge'!$A$1:$K$10</definedName>
    <definedName name="_xlnm.Print_Area" localSheetId="10">Operations!$A$1:$P$34</definedName>
    <definedName name="_xlnm.Print_Area" localSheetId="14">Quarterly!$A$1:$M$28</definedName>
    <definedName name="_xlnm.Print_Area" localSheetId="18">'Reverse Stress'!$A$1:$E$7</definedName>
    <definedName name="_xlnm.Print_Area" localSheetId="13">Scenarios!$A$1:$K$244</definedName>
    <definedName name="_xlnm.Print_Area" localSheetId="17">Sensitivity!$A$1:$D$12</definedName>
    <definedName name="_xlnm.Print_Area" localSheetId="8">'Sources Uses'!$A$1:$C$73</definedName>
    <definedName name="_xlnm.Print_Area" localSheetId="21">Sources!$A$1:$G$24</definedName>
    <definedName name="_xlnm.Print_Area" localSheetId="1">Summary!$A$1:$B$17</definedName>
    <definedName name="_xlnm.Print_Area" localSheetId="3">'Timing and capacity'!$A$1:$F$10</definedName>
    <definedName name="_xlnm.Print_Titles" localSheetId="7">Assumptions!$1:$4</definedName>
    <definedName name="_xlnm.Print_Titles" localSheetId="16">'Capacity Grid'!$1:$4</definedName>
    <definedName name="_xlnm.Print_Titles" localSheetId="15">Capacity!$1:$4</definedName>
    <definedName name="_xlnm.Print_Titles" localSheetId="19">Checks!$1:$4</definedName>
    <definedName name="_xlnm.Print_Titles" localSheetId="0">Contents!$1:$5</definedName>
    <definedName name="_xlnm.Print_Titles" localSheetId="12">'Debt Schedule'!$1:$4</definedName>
    <definedName name="_xlnm.Print_Titles" localSheetId="20">Evidence!$1:$4</definedName>
    <definedName name="_xlnm.Print_Titles" localSheetId="26">'Funding unit sensitivities'!$1:$4</definedName>
    <definedName name="_xlnm.Print_Titles" localSheetId="25">'Historical assumptions'!$1:$4</definedName>
    <definedName name="_xlnm.Print_Titles" localSheetId="22">'Historical calculations'!$1:$4</definedName>
    <definedName name="_xlnm.Print_Titles" localSheetId="23">'Historical gap review'!$1:$4</definedName>
    <definedName name="_xlnm.Print_Titles" localSheetId="24">'Historical sensitivities'!$1:$4</definedName>
    <definedName name="_xlnm.Print_Titles" localSheetId="6">'Illustrative bond risk'!$1:$4</definedName>
    <definedName name="_xlnm.Print_Titles" localSheetId="2">'Itemised funding'!$1:$4</definedName>
    <definedName name="_xlnm.Print_Titles" localSheetId="5">'Joint credit stress'!$1:$4</definedName>
    <definedName name="_xlnm.Print_Titles" localSheetId="11">Liquidity!$1:$4</definedName>
    <definedName name="_xlnm.Print_Titles" localSheetId="4">'Model checks'!$1:$4</definedName>
    <definedName name="_xlnm.Print_Titles" localSheetId="9">'Opening Bridge'!$1:$4</definedName>
    <definedName name="_xlnm.Print_Titles" localSheetId="10">Operations!$1:$4</definedName>
    <definedName name="_xlnm.Print_Titles" localSheetId="14">Quarterly!$1:$4</definedName>
    <definedName name="_xlnm.Print_Titles" localSheetId="18">'Reverse Stress'!$1:$4</definedName>
    <definedName name="_xlnm.Print_Titles" localSheetId="13">Scenarios!$1:$4</definedName>
    <definedName name="_xlnm.Print_Titles" localSheetId="17">Sensitivity!$1:$4</definedName>
    <definedName name="_xlnm.Print_Titles" localSheetId="8">'Sources Uses'!$1:$4</definedName>
    <definedName name="_xlnm.Print_Titles" localSheetId="21">Sources!$1:$4</definedName>
    <definedName name="_xlnm.Print_Titles" localSheetId="3">'Timing and capacity'!$1:$4</definedName>
  </definedNames>
  <calcPr calcId="124519" fullCalcOnLoad="1"/>
</workbook>
</file>

<file path=xl/sharedStrings.xml><?xml version="1.0" encoding="utf-8"?>
<sst xmlns="http://schemas.openxmlformats.org/spreadsheetml/2006/main" count="7453" uniqueCount="947">
  <si>
    <t>Acquisition financing research | Synthetic demonstration</t>
  </si>
  <si>
    <t>Python snapshots: edit assumptions with the CLI or live dashboard.</t>
  </si>
  <si>
    <t>Refresh</t>
  </si>
  <si>
    <t>Only displayed formulas recalculate. All forecasts, scenarios and capacity are Python snapshots.</t>
  </si>
  <si>
    <t>Worksheet</t>
  </si>
  <si>
    <t>Purpose / navigation</t>
  </si>
  <si>
    <t>Summary</t>
  </si>
  <si>
    <t>Open the named worksheet tab. Primary result and status</t>
  </si>
  <si>
    <t>Itemised funding</t>
  </si>
  <si>
    <t>Open the named worksheet tab. Supporting schedule / evidence</t>
  </si>
  <si>
    <t>Timing and capacity</t>
  </si>
  <si>
    <t>Model checks</t>
  </si>
  <si>
    <t>Joint credit stress</t>
  </si>
  <si>
    <t>Illustrative bond risk</t>
  </si>
  <si>
    <t>Assumptions</t>
  </si>
  <si>
    <t>Sources Uses</t>
  </si>
  <si>
    <t>Opening Bridge</t>
  </si>
  <si>
    <t>Operations</t>
  </si>
  <si>
    <t>Liquidity</t>
  </si>
  <si>
    <t>Debt Schedule</t>
  </si>
  <si>
    <t>Scenarios</t>
  </si>
  <si>
    <t>Quarterly</t>
  </si>
  <si>
    <t>Capacity</t>
  </si>
  <si>
    <t>Capacity Grid</t>
  </si>
  <si>
    <t>Sensitivity</t>
  </si>
  <si>
    <t>Reverse Stress</t>
  </si>
  <si>
    <t>Checks</t>
  </si>
  <si>
    <t>Evidence</t>
  </si>
  <si>
    <t>Sources</t>
  </si>
  <si>
    <t>Historical calculations</t>
  </si>
  <si>
    <t>Historical gap review</t>
  </si>
  <si>
    <t>Historical sensitivities</t>
  </si>
  <si>
    <t>Historical assumptions</t>
  </si>
  <si>
    <t>Funding unit sensitivities</t>
  </si>
  <si>
    <t>Acquisition financing simulator</t>
  </si>
  <si>
    <t>Recommendation status</t>
  </si>
  <si>
    <t>Blocked — insufficient verified evidence.</t>
  </si>
  <si>
    <t>Preferred actual-company structure</t>
  </si>
  <si>
    <t>None</t>
  </si>
  <si>
    <t>Historical-analysis completion</t>
  </si>
  <si>
    <t>Incomplete</t>
  </si>
  <si>
    <t>Numerical results</t>
  </si>
  <si>
    <t>Illustrative scenario analysis — anonymous synthetic companies; not historical results.</t>
  </si>
  <si>
    <t>Model snapshots. Rerun Python after input/source changes; only displayed formulas recalculate in Excel.</t>
  </si>
  <si>
    <t>Analysis limitation</t>
  </si>
  <si>
    <t>Historical forecasts and preferences require verified material evidence and a reconciled historical model mapping. Synthetic engineering is independent.</t>
  </si>
  <si>
    <t>Historical results</t>
  </si>
  <si>
    <t>Unavailable</t>
  </si>
  <si>
    <t>Information cutoff</t>
  </si>
  <si>
    <t>2025-05-15</t>
  </si>
  <si>
    <t>Input ID</t>
  </si>
  <si>
    <t>1a8ae10f2a4092f161ff409ca06005a491c00e8a8ce70dce6c698b13b2114955</t>
  </si>
  <si>
    <t>Engineering</t>
  </si>
  <si>
    <t>Complete synthetic model run</t>
  </si>
  <si>
    <t>Illustrative assessment</t>
  </si>
  <si>
    <t>Mixed consideration is the only base structure passing all period constraints. It is conditional on accepting its dilution, cash policy and downside outcomes; severe stress may still fail.</t>
  </si>
  <si>
    <t>Model code ID</t>
  </si>
  <si>
    <t>2adb17c37edf46ecd715b24bc960518988dc0b21afc18dd60cb25067c37fec88</t>
  </si>
  <si>
    <t>Run ID</t>
  </si>
  <si>
    <t>1b82eb3fe7ffddf22d6f35fe36b9b199e9a7481f9f23ff30d6cd06bcab67066d</t>
  </si>
  <si>
    <t>Calculation status</t>
  </si>
  <si>
    <t>Synthetic demonstration operational</t>
  </si>
  <si>
    <t>Selected timing</t>
  </si>
  <si>
    <t>Annual</t>
  </si>
  <si>
    <t>USD millions. Python snapshots; rerun Python to change assumptions.</t>
  </si>
  <si>
    <t>Structure</t>
  </si>
  <si>
    <t>Use / source</t>
  </si>
  <si>
    <t>USD millions</t>
  </si>
  <si>
    <t>Cash-first</t>
  </si>
  <si>
    <t>Cash consideration</t>
  </si>
  <si>
    <t>Debt principal repaid</t>
  </si>
  <si>
    <t>Transaction expenses</t>
  </si>
  <si>
    <t>Award settlement reserve</t>
  </si>
  <si>
    <t>Redemption premium</t>
  </si>
  <si>
    <t>Accrued interest</t>
  </si>
  <si>
    <t>Lc collateral reserve</t>
  </si>
  <si>
    <t>Other closing uses</t>
  </si>
  <si>
    <t>Financing fees</t>
  </si>
  <si>
    <t>Liquidity-first</t>
  </si>
  <si>
    <t>Mixed consideration</t>
  </si>
  <si>
    <t>Cash uses</t>
  </si>
  <si>
    <t>Cash contribution</t>
  </si>
  <si>
    <t>Total new borrowing</t>
  </si>
  <si>
    <t>Analytical equity</t>
  </si>
  <si>
    <t>Sources uses difference</t>
  </si>
  <si>
    <t>Timing</t>
  </si>
  <si>
    <t>Acquisition debt</t>
  </si>
  <si>
    <t>Residual equity</t>
  </si>
  <si>
    <t>Fee convention</t>
  </si>
  <si>
    <t>Constraint</t>
  </si>
  <si>
    <t>fixed_budget</t>
  </si>
  <si>
    <t>Cash at year 5, period 5</t>
  </si>
  <si>
    <t>No limiting breach at tested funding bound</t>
  </si>
  <si>
    <t>Cash at year 5, period 20</t>
  </si>
  <si>
    <t>Period end</t>
  </si>
  <si>
    <t>Sources less uses</t>
  </si>
  <si>
    <t>Cash rollforward</t>
  </si>
  <si>
    <t>Debt rollforward</t>
  </si>
  <si>
    <t>2026-11-01</t>
  </si>
  <si>
    <t>2027-11-01</t>
  </si>
  <si>
    <t>2028-11-01</t>
  </si>
  <si>
    <t>2029-11-01</t>
  </si>
  <si>
    <t>2030-11-01</t>
  </si>
  <si>
    <t>Margin bp</t>
  </si>
  <si>
    <t>Rate bp</t>
  </si>
  <si>
    <t>Cash cushion USD m</t>
  </si>
  <si>
    <t>All screens pass</t>
  </si>
  <si>
    <t>First breach</t>
  </si>
  <si>
    <t>Cash at year 4, period 4</t>
  </si>
  <si>
    <t>Standalone hypothetical bond. Dollar risks are USD, not USD millions.</t>
  </si>
  <si>
    <t>Metric</t>
  </si>
  <si>
    <t>Value</t>
  </si>
  <si>
    <t>Scope</t>
  </si>
  <si>
    <t>Standalone illustrative bond; not an actual-company security or market quote</t>
  </si>
  <si>
    <t>Notional USD</t>
  </si>
  <si>
    <t>Price per 100</t>
  </si>
  <si>
    <t>Modified duration</t>
  </si>
  <si>
    <t>Convexity</t>
  </si>
  <si>
    <t>DV01 USD per bp</t>
  </si>
  <si>
    <t>CS01 USD per bp</t>
  </si>
  <si>
    <t>Hypothetical short contracts</t>
  </si>
  <si>
    <t>Residual DV01 USD per bp</t>
  </si>
  <si>
    <t>Limitations</t>
  </si>
  <si>
    <t>Coupon-date settlement; flat yield; no accrued interest, default, optionality or liquidity premium model. Equal DV01 and CS01 reflect the additive flat-yield assumption. Hedge DV01 is hypothetical; benchmark hedging does not remove credit-spread or basis risk.</t>
  </si>
  <si>
    <t>Fictional Atlas / Beacon - illustrative only | Assumptions</t>
  </si>
  <si>
    <t>USD millions unless stated. Python snapshots; formula calculations are explicitly shown.</t>
  </si>
  <si>
    <t>Input / future choice</t>
  </si>
  <si>
    <t>closing_date</t>
  </si>
  <si>
    <t>2025-11-01</t>
  </si>
  <si>
    <t>companies[0].capex_ratio</t>
  </si>
  <si>
    <t>companies[0].cash</t>
  </si>
  <si>
    <t>companies[0].cash_bridge.buybacks</t>
  </si>
  <si>
    <t>companies[0].cash_bridge.capex</t>
  </si>
  <si>
    <t>companies[0].cash_bridge.dividends</t>
  </si>
  <si>
    <t>companies[0].cash_bridge.operating</t>
  </si>
  <si>
    <t>companies[0].da_ratio</t>
  </si>
  <si>
    <t>companies[0].debts[0].amortisation</t>
  </si>
  <si>
    <t>companies[0].debts[0].carrying_value</t>
  </si>
  <si>
    <t>companies[0].debts[0].id</t>
  </si>
  <si>
    <t>Atlas notes</t>
  </si>
  <si>
    <t>companies[0].debts[0].kind</t>
  </si>
  <si>
    <t>fixed</t>
  </si>
  <si>
    <t>companies[0].debts[0].maturity</t>
  </si>
  <si>
    <t>companies[0].debts[0].optional</t>
  </si>
  <si>
    <t>companies[0].debts[0].preclose_repayment</t>
  </si>
  <si>
    <t>companies[0].debts[0].principal</t>
  </si>
  <si>
    <t>companies[0].debts[0].rate</t>
  </si>
  <si>
    <t>companies[0].debts[0].repay_at_close</t>
  </si>
  <si>
    <t>companies[0].debts[0].spread</t>
  </si>
  <si>
    <t>companies[0].debts[1].amortisation</t>
  </si>
  <si>
    <t>companies[0].debts[1].carrying_value</t>
  </si>
  <si>
    <t>companies[0].debts[1].finance_lease</t>
  </si>
  <si>
    <t>companies[0].debts[1].id</t>
  </si>
  <si>
    <t>Atlas finance lease</t>
  </si>
  <si>
    <t>companies[0].debts[1].kind</t>
  </si>
  <si>
    <t>companies[0].debts[1].maturity</t>
  </si>
  <si>
    <t>companies[0].debts[1].optional</t>
  </si>
  <si>
    <t>companies[0].debts[1].preclose_repayment</t>
  </si>
  <si>
    <t>companies[0].debts[1].principal</t>
  </si>
  <si>
    <t>companies[0].debts[1].rate</t>
  </si>
  <si>
    <t>companies[0].debts[1].repay_at_close</t>
  </si>
  <si>
    <t>companies[0].debts[1].spread</t>
  </si>
  <si>
    <t>companies[0].dio</t>
  </si>
  <si>
    <t>companies[0].dpo</t>
  </si>
  <si>
    <t>companies[0].dso</t>
  </si>
  <si>
    <t>companies[0].fixed_growth</t>
  </si>
  <si>
    <t>companies[0].fixed_opex</t>
  </si>
  <si>
    <t>companies[0].gross_margin</t>
  </si>
  <si>
    <t>companies[0].growth[0]</t>
  </si>
  <si>
    <t>companies[0].growth[1]</t>
  </si>
  <si>
    <t>companies[0].growth[2]</t>
  </si>
  <si>
    <t>companies[0].growth[3]</t>
  </si>
  <si>
    <t>companies[0].growth[4]</t>
  </si>
  <si>
    <t>companies[0].inventory_seasonality[0]</t>
  </si>
  <si>
    <t>companies[0].inventory_seasonality[1]</t>
  </si>
  <si>
    <t>companies[0].inventory_seasonality[2]</t>
  </si>
  <si>
    <t>companies[0].inventory_seasonality[3]</t>
  </si>
  <si>
    <t>companies[0].name</t>
  </si>
  <si>
    <t>Atlas</t>
  </si>
  <si>
    <t>companies[0].operating_lease_liability</t>
  </si>
  <si>
    <t>companies[0].rent</t>
  </si>
  <si>
    <t>companies[0].rent_cash_factor</t>
  </si>
  <si>
    <t>companies[0].revenue</t>
  </si>
  <si>
    <t>companies[0].seasonality[0]</t>
  </si>
  <si>
    <t>companies[0].seasonality[1]</t>
  </si>
  <si>
    <t>companies[0].seasonality[2]</t>
  </si>
  <si>
    <t>companies[0].seasonality[3]</t>
  </si>
  <si>
    <t>companies[0].variable_opex</t>
  </si>
  <si>
    <t>companies[1].capex_ratio</t>
  </si>
  <si>
    <t>companies[1].cash</t>
  </si>
  <si>
    <t>companies[1].cash_bridge.buybacks</t>
  </si>
  <si>
    <t>companies[1].cash_bridge.capex</t>
  </si>
  <si>
    <t>companies[1].cash_bridge.dividends</t>
  </si>
  <si>
    <t>companies[1].cash_bridge.operating</t>
  </si>
  <si>
    <t>companies[1].da_ratio</t>
  </si>
  <si>
    <t>companies[1].debts[0].amortisation</t>
  </si>
  <si>
    <t>companies[1].debts[0].carrying_value</t>
  </si>
  <si>
    <t>companies[1].debts[0].id</t>
  </si>
  <si>
    <t>Beacon notes</t>
  </si>
  <si>
    <t>companies[1].debts[0].kind</t>
  </si>
  <si>
    <t>companies[1].debts[0].maturity</t>
  </si>
  <si>
    <t>companies[1].debts[0].optional</t>
  </si>
  <si>
    <t>companies[1].debts[0].preclose_repayment</t>
  </si>
  <si>
    <t>companies[1].debts[0].principal</t>
  </si>
  <si>
    <t>companies[1].debts[0].rate</t>
  </si>
  <si>
    <t>companies[1].debts[0].repay_at_close</t>
  </si>
  <si>
    <t>companies[1].debts[0].spread</t>
  </si>
  <si>
    <t>companies[1].debts[1].amortisation</t>
  </si>
  <si>
    <t>companies[1].debts[1].carrying_value</t>
  </si>
  <si>
    <t>companies[1].debts[1].id</t>
  </si>
  <si>
    <t>Beacon CoC loan</t>
  </si>
  <si>
    <t>companies[1].debts[1].kind</t>
  </si>
  <si>
    <t>floating</t>
  </si>
  <si>
    <t>companies[1].debts[1].maturity</t>
  </si>
  <si>
    <t>companies[1].debts[1].optional</t>
  </si>
  <si>
    <t>companies[1].debts[1].preclose_repayment</t>
  </si>
  <si>
    <t>companies[1].debts[1].principal</t>
  </si>
  <si>
    <t>companies[1].debts[1].rate</t>
  </si>
  <si>
    <t>companies[1].debts[1].repay_at_close</t>
  </si>
  <si>
    <t>companies[1].debts[1].spread</t>
  </si>
  <si>
    <t>companies[1].dio</t>
  </si>
  <si>
    <t>companies[1].dpo</t>
  </si>
  <si>
    <t>companies[1].dso</t>
  </si>
  <si>
    <t>companies[1].fixed_growth</t>
  </si>
  <si>
    <t>companies[1].fixed_opex</t>
  </si>
  <si>
    <t>companies[1].gross_margin</t>
  </si>
  <si>
    <t>companies[1].growth[0]</t>
  </si>
  <si>
    <t>companies[1].growth[1]</t>
  </si>
  <si>
    <t>companies[1].growth[2]</t>
  </si>
  <si>
    <t>companies[1].growth[3]</t>
  </si>
  <si>
    <t>companies[1].growth[4]</t>
  </si>
  <si>
    <t>companies[1].inventory_seasonality[0]</t>
  </si>
  <si>
    <t>companies[1].inventory_seasonality[1]</t>
  </si>
  <si>
    <t>companies[1].inventory_seasonality[2]</t>
  </si>
  <si>
    <t>companies[1].inventory_seasonality[3]</t>
  </si>
  <si>
    <t>companies[1].name</t>
  </si>
  <si>
    <t>Beacon</t>
  </si>
  <si>
    <t>companies[1].operating_lease_liability</t>
  </si>
  <si>
    <t>companies[1].rent</t>
  </si>
  <si>
    <t>companies[1].rent_cash_factor</t>
  </si>
  <si>
    <t>companies[1].revenue</t>
  </si>
  <si>
    <t>companies[1].seasonality[0]</t>
  </si>
  <si>
    <t>companies[1].seasonality[1]</t>
  </si>
  <si>
    <t>companies[1].seasonality[2]</t>
  </si>
  <si>
    <t>companies[1].seasonality[3]</t>
  </si>
  <si>
    <t>companies[1].variable_opex</t>
  </si>
  <si>
    <t>currency</t>
  </si>
  <si>
    <t>frequency</t>
  </si>
  <si>
    <t>label</t>
  </si>
  <si>
    <t>Fictional Atlas / Beacon - illustrative only</t>
  </si>
  <si>
    <t>mode</t>
  </si>
  <si>
    <t>synthetic</t>
  </si>
  <si>
    <t>new_debt.amortisation</t>
  </si>
  <si>
    <t>new_debt.benchmark[0]</t>
  </si>
  <si>
    <t>new_debt.benchmark[1]</t>
  </si>
  <si>
    <t>new_debt.benchmark[2]</t>
  </si>
  <si>
    <t>new_debt.benchmark[3]</t>
  </si>
  <si>
    <t>new_debt.benchmark[4]</t>
  </si>
  <si>
    <t>new_debt.fixed_benchmark</t>
  </si>
  <si>
    <t>new_debt.kind</t>
  </si>
  <si>
    <t>new_debt.maturity</t>
  </si>
  <si>
    <t>new_debt.spread</t>
  </si>
  <si>
    <t>policy.buybacks[0]</t>
  </si>
  <si>
    <t>policy.buybacks[1]</t>
  </si>
  <si>
    <t>policy.buybacks[2]</t>
  </si>
  <si>
    <t>policy.buybacks[3]</t>
  </si>
  <si>
    <t>policy.buybacks[4]</t>
  </si>
  <si>
    <t>policy.cash_floor</t>
  </si>
  <si>
    <t>policy.dividends[0]</t>
  </si>
  <si>
    <t>policy.dividends[1]</t>
  </si>
  <si>
    <t>policy.dividends[2]</t>
  </si>
  <si>
    <t>policy.dividends[3]</t>
  </si>
  <si>
    <t>policy.dividends[4]</t>
  </si>
  <si>
    <t>policy.interest_deduction_limit</t>
  </si>
  <si>
    <t>policy.max_leverage</t>
  </si>
  <si>
    <t>policy.min_coverage</t>
  </si>
  <si>
    <t>policy.refinance</t>
  </si>
  <si>
    <t>policy.refinance_fee</t>
  </si>
  <si>
    <t>policy.refinance_limit</t>
  </si>
  <si>
    <t>policy.refinance_tenor</t>
  </si>
  <si>
    <t>policy.sweep_fraction</t>
  </si>
  <si>
    <t>policy.tax_rate</t>
  </si>
  <si>
    <t>quarterly.enabled</t>
  </si>
  <si>
    <t>quarterly.label</t>
  </si>
  <si>
    <t>Illustrative seasonality and pre-close trailing quarters</t>
  </si>
  <si>
    <t>revolver.borrowing_base</t>
  </si>
  <si>
    <t>revolver.commitment</t>
  </si>
  <si>
    <t>revolver.letters_of_credit</t>
  </si>
  <si>
    <t>revolver.maturity</t>
  </si>
  <si>
    <t>revolver.max_gross_leverage</t>
  </si>
  <si>
    <t>revolver.spread</t>
  </si>
  <si>
    <t>schema_version</t>
  </si>
  <si>
    <t>synergies.integration[0]</t>
  </si>
  <si>
    <t>synergies.integration[1]</t>
  </si>
  <si>
    <t>synergies.integration[2]</t>
  </si>
  <si>
    <t>synergies.integration[3]</t>
  </si>
  <si>
    <t>synergies.integration[4]</t>
  </si>
  <si>
    <t>synergies.ramp[0]</t>
  </si>
  <si>
    <t>synergies.ramp[1]</t>
  </si>
  <si>
    <t>synergies.ramp[2]</t>
  </si>
  <si>
    <t>synergies.ramp[3]</t>
  </si>
  <si>
    <t>synergies.ramp[4]</t>
  </si>
  <si>
    <t>synergies.run_rate</t>
  </si>
  <si>
    <t>transaction.acquirer_reference_price</t>
  </si>
  <si>
    <t>transaction.acquirer_shares</t>
  </si>
  <si>
    <t>transaction.allow_target_cash</t>
  </si>
  <si>
    <t>transaction.award_shares</t>
  </si>
  <si>
    <t>transaction.cash_price</t>
  </si>
  <si>
    <t>transaction.ev_other</t>
  </si>
  <si>
    <t>transaction.exchange_ratio</t>
  </si>
  <si>
    <t>transaction.financing_fee_rate</t>
  </si>
  <si>
    <t>transaction.headline_equity</t>
  </si>
  <si>
    <t>transaction.headline_ev</t>
  </si>
  <si>
    <t>transaction.target_cash_rationale</t>
  </si>
  <si>
    <t>Unavailable in all demo structures</t>
  </si>
  <si>
    <t>transaction.target_shares</t>
  </si>
  <si>
    <t>transaction.transaction_fees</t>
  </si>
  <si>
    <t>Fictional Atlas / Beacon - illustrative only | Sources Uses</t>
  </si>
  <si>
    <t>Bridge item</t>
  </si>
  <si>
    <t>fee convention</t>
  </si>
  <si>
    <t>equity consideration</t>
  </si>
  <si>
    <t>enterprise value</t>
  </si>
  <si>
    <t>equity headline difference</t>
  </si>
  <si>
    <t>ev headline difference</t>
  </si>
  <si>
    <t>cash purchase</t>
  </si>
  <si>
    <t>noncash consideration</t>
  </si>
  <si>
    <t>stock issued</t>
  </si>
  <si>
    <t>ownership dilution</t>
  </si>
  <si>
    <t>required debt repayment</t>
  </si>
  <si>
    <t>transaction fees</t>
  </si>
  <si>
    <t>financing fees</t>
  </si>
  <si>
    <t>cash uses</t>
  </si>
  <si>
    <t>cash contribution</t>
  </si>
  <si>
    <t>acquisition borrowing</t>
  </si>
  <si>
    <t>borrowing for refinancing and fees</t>
  </si>
  <si>
    <t>total new borrowing</t>
  </si>
  <si>
    <t>retained debt</t>
  </si>
  <si>
    <t>opening cash</t>
  </si>
  <si>
    <t>unavailable target cash</t>
  </si>
  <si>
    <t>opening debt</t>
  </si>
  <si>
    <t>analytical equity</t>
  </si>
  <si>
    <t>sources uses difference</t>
  </si>
  <si>
    <t>Fictional Atlas / Beacon - illustrative only | Opening Bridge</t>
  </si>
  <si>
    <t>Company</t>
  </si>
  <si>
    <t>Latest cash</t>
  </si>
  <si>
    <t>Operating cash</t>
  </si>
  <si>
    <t>Capex</t>
  </si>
  <si>
    <t>Dividends</t>
  </si>
  <si>
    <t>Buybacks</t>
  </si>
  <si>
    <t>Debt repayment</t>
  </si>
  <si>
    <t>Closing cash</t>
  </si>
  <si>
    <t>Latest debt</t>
  </si>
  <si>
    <t>Closing debt</t>
  </si>
  <si>
    <t>Fictional Atlas / Beacon - illustrative only | Operations</t>
  </si>
  <si>
    <t>Year</t>
  </si>
  <si>
    <t>Revenue</t>
  </si>
  <si>
    <t>COGS</t>
  </si>
  <si>
    <t>Variable cost</t>
  </si>
  <si>
    <t>Fixed cost</t>
  </si>
  <si>
    <t>Rent expense</t>
  </si>
  <si>
    <t>EBITDA</t>
  </si>
  <si>
    <t>D&amp;A</t>
  </si>
  <si>
    <t>EBIT</t>
  </si>
  <si>
    <t>Inventory</t>
  </si>
  <si>
    <t>Receivables</t>
  </si>
  <si>
    <t>Payables</t>
  </si>
  <si>
    <t>Net working capital</t>
  </si>
  <si>
    <t>Fictional Atlas / Beacon - illustrative only | Liquidity</t>
  </si>
  <si>
    <t>Opening cash</t>
  </si>
  <si>
    <t>Tax</t>
  </si>
  <si>
    <t>Change NWC</t>
  </si>
  <si>
    <t>Integration</t>
  </si>
  <si>
    <t>Rent cash adjustment</t>
  </si>
  <si>
    <t>Interest</t>
  </si>
  <si>
    <t>Refinancing fees</t>
  </si>
  <si>
    <t>Revolver draw</t>
  </si>
  <si>
    <t>Mandatory paid</t>
  </si>
  <si>
    <t>Optional paid</t>
  </si>
  <si>
    <t>Opening debt</t>
  </si>
  <si>
    <t>Net leverage</t>
  </si>
  <si>
    <t>Interest coverage</t>
  </si>
  <si>
    <t>Rent coverage</t>
  </si>
  <si>
    <t>Funding gap</t>
  </si>
  <si>
    <t>Fictional Atlas / Beacon - illustrative only | Debt Schedule</t>
  </si>
  <si>
    <t>Scenario</t>
  </si>
  <si>
    <t>Instrument</t>
  </si>
  <si>
    <t>Period</t>
  </si>
  <si>
    <t>Opening principal</t>
  </si>
  <si>
    <t>Rate (fraction)</t>
  </si>
  <si>
    <t>Mandatory due</t>
  </si>
  <si>
    <t>New borrowing</t>
  </si>
  <si>
    <t>Refinanced old debt</t>
  </si>
  <si>
    <t>Closing principal</t>
  </si>
  <si>
    <t>Base</t>
  </si>
  <si>
    <t>Acquisition term</t>
  </si>
  <si>
    <t>Committed revolver</t>
  </si>
  <si>
    <t>Moderate revenue</t>
  </si>
  <si>
    <t>Moderate margin</t>
  </si>
  <si>
    <t>Moderate inventory</t>
  </si>
  <si>
    <t>Moderate benchmark</t>
  </si>
  <si>
    <t>Moderate spread</t>
  </si>
  <si>
    <t>Moderate synergies</t>
  </si>
  <si>
    <t>Moderate combined</t>
  </si>
  <si>
    <t>Severe revenue</t>
  </si>
  <si>
    <t>Severe margin</t>
  </si>
  <si>
    <t>Severe inventory</t>
  </si>
  <si>
    <t>Severe benchmark</t>
  </si>
  <si>
    <t>Severe spread</t>
  </si>
  <si>
    <t>Severe synergies</t>
  </si>
  <si>
    <t>Severe combined</t>
  </si>
  <si>
    <t>Assumed refinancing</t>
  </si>
  <si>
    <t>Refinance Beacon notes at 3</t>
  </si>
  <si>
    <t>Refinance Atlas notes at 4</t>
  </si>
  <si>
    <t>Fictional Atlas / Beacon - illustrative only | Scenarios</t>
  </si>
  <si>
    <t>Leverage</t>
  </si>
  <si>
    <t>Coverage</t>
  </si>
  <si>
    <t>Maturity gap</t>
  </si>
  <si>
    <t>Scenario feasible</t>
  </si>
  <si>
    <t>Fictional Atlas / Beacon - illustrative only | Quarterly</t>
  </si>
  <si>
    <t>Quarter</t>
  </si>
  <si>
    <t>Cash</t>
  </si>
  <si>
    <t>Debt</t>
  </si>
  <si>
    <t>TTM coverage</t>
  </si>
  <si>
    <t>Fictional Atlas / Beacon - illustrative only | Capacity</t>
  </si>
  <si>
    <t>Maximum acquisition debt</t>
  </si>
  <si>
    <t>Residual analytical equity</t>
  </si>
  <si>
    <t>Eligible uses</t>
  </si>
  <si>
    <t>Funding limited</t>
  </si>
  <si>
    <t>Limiting constraint/period</t>
  </si>
  <si>
    <t>Boundary resolution</t>
  </si>
  <si>
    <t>Feasible ranges</t>
  </si>
  <si>
    <t>[[0.0, 948.0]]</t>
  </si>
  <si>
    <t>[[0.0, 1764.0]]</t>
  </si>
  <si>
    <t>[[0.0, 150.0]]</t>
  </si>
  <si>
    <t>Fictional Atlas / Beacon - illustrative only | Capacity Grid</t>
  </si>
  <si>
    <t>Acquisition borrowing</t>
  </si>
  <si>
    <t>Feasible</t>
  </si>
  <si>
    <t>Fictional Atlas / Beacon - illustrative only | Sensitivity</t>
  </si>
  <si>
    <t>Cash-first case</t>
  </si>
  <si>
    <t>Limiting constraint</t>
  </si>
  <si>
    <t>Cash floor 500</t>
  </si>
  <si>
    <t>Cash floor 1000</t>
  </si>
  <si>
    <t>Leverage 2.5x</t>
  </si>
  <si>
    <t>Leverage 3.5x</t>
  </si>
  <si>
    <t>Coverage 5x</t>
  </si>
  <si>
    <t>Coverage 3x</t>
  </si>
  <si>
    <t>New spread +100bp</t>
  </si>
  <si>
    <t>New spread +200bp</t>
  </si>
  <si>
    <t>Fictional Atlas / Beacon - illustrative only | Reverse Stress</t>
  </si>
  <si>
    <t>Status</t>
  </si>
  <si>
    <t>Revenue decline (fraction)</t>
  </si>
  <si>
    <t>Resolution</t>
  </si>
  <si>
    <t>Failing constraint/period</t>
  </si>
  <si>
    <t>Already failing at starting point</t>
  </si>
  <si>
    <t>First breach found</t>
  </si>
  <si>
    <t>Fictional Atlas / Beacon - illustrative only | Checks</t>
  </si>
  <si>
    <t>Sources/uses difference</t>
  </si>
  <si>
    <t>Cash rollforward difference</t>
  </si>
  <si>
    <t>Debt rollforward difference</t>
  </si>
  <si>
    <t>Maximum debt ledger difference</t>
  </si>
  <si>
    <t>Fictional Atlas / Beacon - illustrative only | Evidence</t>
  </si>
  <si>
    <t>Input</t>
  </si>
  <si>
    <t>Classification</t>
  </si>
  <si>
    <t>Blocks recommendation</t>
  </si>
  <si>
    <t>Reason</t>
  </si>
  <si>
    <t>Affected calculations</t>
  </si>
  <si>
    <t>Materiality</t>
  </si>
  <si>
    <t>acquirer.FY2022.capex</t>
  </si>
  <si>
    <t>verified fact</t>
  </si>
  <si>
    <t>Exact observation supported by reviewed source: dks10k</t>
  </si>
  <si>
    <t>Operating forecast, EBITDA, working capital and debt-service cash flow</t>
  </si>
  <si>
    <t>Prior-year trend/reconciliation context. Blocks only when historical trend calibration is used; explicit forecast growth does not consume it.</t>
  </si>
  <si>
    <t>Review original pre-cutoff fiscal accounts; record exact fiscal dates, units and reconciliation.</t>
  </si>
  <si>
    <t>acquirer.FY2022.depreciation_amortisation</t>
  </si>
  <si>
    <t>acquirer.FY2022.dividends_buybacks_commitments</t>
  </si>
  <si>
    <t>missing evidence</t>
  </si>
  <si>
    <t>Required observation absent</t>
  </si>
  <si>
    <t>acquirer.FY2022.ebitda_reconciliation</t>
  </si>
  <si>
    <t>acquirer.FY2022.inventory</t>
  </si>
  <si>
    <t>acquirer.FY2022.lease_reconciliation</t>
  </si>
  <si>
    <t>acquirer.FY2022.operating_cash_flow</t>
  </si>
  <si>
    <t>acquirer.FY2022.operating_profit</t>
  </si>
  <si>
    <t>acquirer.FY2022.payables</t>
  </si>
  <si>
    <t>acquirer.FY2022.receivables</t>
  </si>
  <si>
    <t>acquirer.FY2022.revenue</t>
  </si>
  <si>
    <t>acquirer.FY2022.taxes</t>
  </si>
  <si>
    <t>acquirer.FY2023.capex</t>
  </si>
  <si>
    <t>acquirer.FY2023.depreciation_amortisation</t>
  </si>
  <si>
    <t>acquirer.FY2023.dividends_buybacks_commitments</t>
  </si>
  <si>
    <t>acquirer.FY2023.ebitda_reconciliation</t>
  </si>
  <si>
    <t>acquirer.FY2023.inventory</t>
  </si>
  <si>
    <t>acquirer.FY2023.lease_reconciliation</t>
  </si>
  <si>
    <t>acquirer.FY2023.operating_cash_flow</t>
  </si>
  <si>
    <t>acquirer.FY2023.operating_profit</t>
  </si>
  <si>
    <t>acquirer.FY2023.payables</t>
  </si>
  <si>
    <t>acquirer.FY2023.receivables</t>
  </si>
  <si>
    <t>acquirer.FY2023.revenue</t>
  </si>
  <si>
    <t>acquirer.FY2023.taxes</t>
  </si>
  <si>
    <t>acquirer.FY2024.capex</t>
  </si>
  <si>
    <t>Latest standalone operating base drives forecast EBITDA, cash taxes, working capital and cash available for debt service.</t>
  </si>
  <si>
    <t>acquirer.FY2024.depreciation_amortisation</t>
  </si>
  <si>
    <t>acquirer.FY2024.dividends_buybacks_commitments</t>
  </si>
  <si>
    <t>Contractual capital commitments can compete with debt service; discretionary future distributions are separate explicit assumptions.</t>
  </si>
  <si>
    <t>acquirer.FY2024.ebitda_reconciliation</t>
  </si>
  <si>
    <t>Derived from verified inputs: acquirer.FY2024.operating_profit + acquirer.FY2024.depreciation_amortisation. Simple operating EBITDA; not adjusted EBITDA or contractual EBITDAR.</t>
  </si>
  <si>
    <t>acquirer.FY2024.inventory</t>
  </si>
  <si>
    <t>acquirer.FY2024.lease_reconciliation</t>
  </si>
  <si>
    <t>acquirer.FY2024.operating_cash_flow</t>
  </si>
  <si>
    <t>acquirer.FY2024.operating_profit</t>
  </si>
  <si>
    <t>acquirer.FY2024.payables</t>
  </si>
  <si>
    <t>acquirer.FY2024.receivables</t>
  </si>
  <si>
    <t>acquirer.FY2024.revenue</t>
  </si>
  <si>
    <t>acquirer.FY2024.taxes</t>
  </si>
  <si>
    <t>acquirer.debt.borrowing_base_and_letters_of_credit</t>
  </si>
  <si>
    <t>{"borrowing_base": 1600.0, "letters_of_credit": 19.9, "basis": "Unsecured commitment ceiling, subject to covenants; not an inventory borrowing base"}</t>
  </si>
  <si>
    <t>Exact observation supported by reviewed source: review_dks</t>
  </si>
  <si>
    <t>Revolver draw limits</t>
  </si>
  <si>
    <t>Instrument rights determine mandatory repayments, coupon resets and legally available borrowing; numerical solvency cannot replace contract evidence.</t>
  </si>
  <si>
    <t>Review debt notes and executed agreements for every instrument; reconcile totals, cite sections and document any non-applicability.</t>
  </si>
  <si>
    <t>acquirer.debt.change_of_control</t>
  </si>
  <si>
    <t>Required repayment and retained debt</t>
  </si>
  <si>
    <t>acquirer.debt.coupons_and_resets</t>
  </si>
  <si>
    <t>Cash interest and rate stress</t>
  </si>
  <si>
    <t>acquirer.debt.covenants_and_restricted_payments</t>
  </si>
  <si>
    <t>Borrowing eligibility and capital allocation</t>
  </si>
  <si>
    <t>acquirer.debt.instrument_inventory</t>
  </si>
  <si>
    <t>Completeness of instrument debt schedule</t>
  </si>
  <si>
    <t>acquirer.debt.maturity_and_amortisation_schedule</t>
  </si>
  <si>
    <t>Mandatory repayments and maturity gaps</t>
  </si>
  <si>
    <t>acquirer.debt.refinancing_and_repricing</t>
  </si>
  <si>
    <t>Refinancing dependence and debt service</t>
  </si>
  <si>
    <t>acquirer.debt.revolver_commitments</t>
  </si>
  <si>
    <t>{"commitment": 1600.0, "drawn": 0.0, "maturity_date": "2027-01-14", "uncommitted_incremental_excluded": 500.0}</t>
  </si>
  <si>
    <t>Eligible committed liquidity</t>
  </si>
  <si>
    <t>acquirer.opening.cash_restrictions</t>
  </si>
  <si>
    <t>Opening liquidity, retained debt, cash deployment and leverage</t>
  </si>
  <si>
    <t>Opening liquidity and debt determine spendable cash, financing need and net leverage; a wrong balance can falsely imply funding.</t>
  </si>
  <si>
    <t>Reconcile latest pre-cutoff balance sheet and notes, with balance date and units.</t>
  </si>
  <si>
    <t>acquirer.opening.debt_carrying_value</t>
  </si>
  <si>
    <t>Accounting reconciliation only; cash debt service uses verified principal, not carrying value. Missing reconciliation remains disclosed.</t>
  </si>
  <si>
    <t>acquirer.opening.debt_principal</t>
  </si>
  <si>
    <t>acquirer.opening.unrestricted_cash</t>
  </si>
  <si>
    <t>assumption.analytical_thresholds</t>
  </si>
  <si>
    <t>{"cash_floor": 750.0, "max_leverage": 3.0, "min_coverage": 4.0, "tax_rate": 0.25, "interest_deduction_limit": 1.0}</t>
  </si>
  <si>
    <t>explicit modelling assumption</t>
  </si>
  <si>
    <t>Analyst screening limits, not lender covenants or verified tax deductibility; test cash floors 500/750/1000 and leverage 2/3/4.</t>
  </si>
  <si>
    <t>Forecast, liquidity and scenario comparisons</t>
  </si>
  <si>
    <t>Future choice controls forecast or funding mechanics; explicit rationale is required, but it is not a historical fact.</t>
  </si>
  <si>
    <t>Record explicit future scenario choice and rationale separately from historical facts.</t>
  </si>
  <si>
    <t>assumption.capital_allocation</t>
  </si>
  <si>
    <t>{"dividends": [0.0, 0.0, 0.0, 0.0, 0.0], "buybacks": [0.0, 0.0, 0.0, 0.0, 0.0], "sweep_fraction": 0.0}</t>
  </si>
  <si>
    <t>Prospective suspension of discretionary distributions and optional repayments. Existing declared obligations remain separate missing facts, not zeroed.</t>
  </si>
  <si>
    <t>assumption.closing_bridge</t>
  </si>
  <si>
    <t>{"closing_date": "2025-11-01", "companies": [{"operating": 788.7715500000004, "capex": 845.6421598250608, "dividends": 291.1673650125, "buybacks": 5.0, "projected_lease_principal": 0.0}, {"operating": -70.04999999999973, "capex": 231.25, "dividends": 0.0, "buybacks": 0.0, "projected_lease_principal": 3.6}]}</t>
  </si>
  <si>
    <t>Projected 39-week bridge removes separately disclosed prior-year trade-WC movements before applying explicit closing-WC forecasts once; capex uses verified FY2024 seasonal calibration; not actual FY2025 interim balances. Lease principal must also map to the debt inventory. Public case applies separate cash-access assumptions. Supersedes frozen-balance diagnostic.</t>
  </si>
  <si>
    <t>assumption.financing_terms_and_fees</t>
  </si>
  <si>
    <t>{"transaction": {"transaction_fees": 75.0, "financing_fee_rate": 0.02, "ev_other": 0.0, "allow_target_cash": false, "target_cash_rationale": "Conservative future scenario choice; no upstream availability assumed", "acquirer_reference_price": 200.0}, "new_debt": {"kind": "floating", "benchmark": [0.045, 0.045, 0.045, 0.045, 0.045], "spread": 0.025, "fixed_benchmark": 0.045, "maturity": 5.0, "amortisation": 0.02}, "policy": {"refinance": false, "refinance_limit": 0.0, "refinance_tenor": 5.0, "refinance_fee": 0.02}}</t>
  </si>
  <si>
    <t>Hypothetical future quote: 4.5% benchmark plus 250bp, 2% upfront, 75 transaction costs, stock reference 200. No claim these are committed financing or observed prices. Test rates +/-200bp, spreads +100/+200bp, fees 1/2/3%; historical redemption costs remain separate.</t>
  </si>
  <si>
    <t>assumption.operating_forecast</t>
  </si>
  <si>
    <t>{"companies": [{"gross_margin": 0.35, "variable_opex": 0.1, "capex_ratio": 0.06, "growth": [0.0, 0.0, 0.0, 0.0, 0.0], "fixed_growth": 0.02, "seasonality": [0.25, 0.25, 0.25, 0.25], "inventory_seasonality": [1.0, 1.0, 1.0, 1.0]}, {"gross_margin": 0.3, "variable_opex": 0.1, "capex_ratio": 0.04, "growth": [-0.05, 0.0, 0.02, 0.02, 0.02], "fixed_growth": 0.02, "seasonality": [0.25, 0.25, 0.25, 0.25], "inventory_seasonality": [1.0, 1.0, 1.0, 1.0]}], "quarterly": {"enabled": false, "label": "No assumed quarterly historical liquidity"}}</t>
  </si>
  <si>
    <t>Explicit future cost decomposition and growth paths, not reported margins. Calibrate fixed expenses to verified operating EBITDA. Stress revenue and EBITDA margin; preliminary target Q1 deterioration makes flat extrapolation unreliable.</t>
  </si>
  <si>
    <t>assumption.synergy_delivery_and_costs</t>
  </si>
  <si>
    <t>{"run_rate": 100.0, "ramp": [0.0, 0.5, 1.0, 1.0, 1.0], "integration": [100.0, 50.0, 25.0, 0.0, 0.0]}</t>
  </si>
  <si>
    <t>Future delivery/cost choices, not management cost guidance. Test run rates 0/100/125, one-year delay and doubled integration costs.</t>
  </si>
  <si>
    <t>detail.acquirer.cash</t>
  </si>
  <si>
    <t>Bounded historical calculation; not complete financing capacity</t>
  </si>
  <si>
    <t>Supplementary disclosure; each bounded calculation independently requires verified dependencies. Original financing requirements remain active.</t>
  </si>
  <si>
    <t>Review exact pre-cutoff document, units and period.</t>
  </si>
  <si>
    <t>detail.acquirer.cost_classification</t>
  </si>
  <si>
    <t>{"revenue": 13442.849, "cost_of_sales": 8617.153, "sga": 3294.272, "other_operating": 57.492, "operating_profit": 1473.932}</t>
  </si>
  <si>
    <t>Exact observation supported by reviewed source: cost_dks</t>
  </si>
  <si>
    <t>detail.acquirer.covenant</t>
  </si>
  <si>
    <t>{"maximum_lease_adjusted_leverage": 3.75, "acquisition_elected_limit": 4.25, "election_full_quarters": 4, "definition": "Borrowed debt plus operating lease liabilities / contractual EBITDAR; variable rental costs excluded from rental addback"}</t>
  </si>
  <si>
    <t>Exact observation supported by reviewed source: dks_credit</t>
  </si>
  <si>
    <t>detail.acquirer.distributions</t>
  </si>
  <si>
    <t>{"dividends": 361.727, "cash_buybacks": 263.021, "accrued_buybacks": 5.0}</t>
  </si>
  <si>
    <t>Exact observation supported by reviewed source: public_dks</t>
  </si>
  <si>
    <t>detail.acquirer.leases</t>
  </si>
  <si>
    <t>{"operating_cost": 636.744, "short_term": 26.186, "variable": 131.832, "sublease_income": 11.842, "fixed_cash": 708.988, "liability": 3003.543, "uncommenced_commitments": 352.1}</t>
  </si>
  <si>
    <t>detail.acquirer.notes</t>
  </si>
  <si>
    <t>{"principal_each": 750.0, "coupons": [0.0315, 0.041], "maturities": ["2032-01-15", "2052-01-15"], "day_count": "30/360", "payment_months": [1, 7], "makewhole_spreads_bps": [25, 30]}</t>
  </si>
  <si>
    <t>Exact observation supported by reviewed source: dks_indent</t>
  </si>
  <si>
    <t>detail.acquirer.notes_outstanding</t>
  </si>
  <si>
    <t>[750.0, 750.0]</t>
  </si>
  <si>
    <t>detail.acquirer.other_liabilities</t>
  </si>
  <si>
    <t>{"accrued_expenses": 653.324, "current_other": 82.696, "long_term_other": 42.137}</t>
  </si>
  <si>
    <t>detail.acquirer.planning_disclosures</t>
  </si>
  <si>
    <t>{"fy2025_net_capex_guidance": 1000.0, "declared_quarterly_dividend_per_share": 1.2125, "declaration_date": "2025-03-10", "payment_date": "2025-04-11"}</t>
  </si>
  <si>
    <t>detail.acquirer.preliminary_q1</t>
  </si>
  <si>
    <t>{"comparable_sales_growth": 0.045, "expected_eps": 3.24, "expected_non_gaap_eps": 3.37}</t>
  </si>
  <si>
    <t>Exact observation supported by reviewed source: dks_prelim</t>
  </si>
  <si>
    <t>detail.acquirer.purchase_commitments</t>
  </si>
  <si>
    <t>detail.acquirer.ytd_cash_flow</t>
  </si>
  <si>
    <t>{"cfo": 680.307, "capex": 565.569}</t>
  </si>
  <si>
    <t>Exact observation supported by reviewed source: dks_q3</t>
  </si>
  <si>
    <t>detail.acquirer.ytd_wc_cash</t>
  </si>
  <si>
    <t>{"inventory": -877.115, "receivables": -25.055, "payables": 404.685}</t>
  </si>
  <si>
    <t>Exact observation supported by reviewed source: wc_dks</t>
  </si>
  <si>
    <t>detail.target.abl</t>
  </si>
  <si>
    <t>{"loan_cap": "Minimum of commitment and borrowing base", "springing_fccr": 1.0, "coc_voting_threshold": 0.4, "restriction": "Covenant Compliance Period trigger; restricted payments and collateral eligibility require full contract compliance"}</t>
  </si>
  <si>
    <t>Exact observation supported by reviewed source: fl_credit</t>
  </si>
  <si>
    <t>detail.target.cash</t>
  </si>
  <si>
    <t>Exact observation supported by reviewed source: review_fl</t>
  </si>
  <si>
    <t>detail.target.cost_classification</t>
  </si>
  <si>
    <t>{"revenue": 7988.0, "cost_of_sales": 5666.0, "sga": 1920.0, "separate_da": 202.0, "other_operating": 97.0, "operating_profit": 103.0, "merchandise_cost": 4674.0, "occupancy_buyers": 992.0}</t>
  </si>
  <si>
    <t>Exact observation supported by reviewed source: cost_fl</t>
  </si>
  <si>
    <t>detail.target.finance_lease</t>
  </si>
  <si>
    <t>detail.target.finance_maturities</t>
  </si>
  <si>
    <t>{"annual_cash": [7.0, 6.0, 5.0, 4.0, 4.0], "thereafter_cash": 40.0, "total_cash": 66.0, "unearned_interest": 16.0, "liability": 50.0, "weighted_discount_rate": 0.044}</t>
  </si>
  <si>
    <t>Exact observation supported by reviewed source: public_fl</t>
  </si>
  <si>
    <t>detail.target.leases</t>
  </si>
  <si>
    <t>{"operating_cost": 643.0, "variable": 272.0, "short_term": 16.0, "fixed_cash": 723.0, "liability_ex_hfs": 2338.0, "hfs_liability": 5.0, "finance_cash": 8.0, "finance_interest": 2.0, "finance_opening": 52.0, "finance_additions": 4.0, "uncommenced_commitments": 41.0}</t>
  </si>
  <si>
    <t>detail.target.letters_of_credit</t>
  </si>
  <si>
    <t>detail.target.notes_principal</t>
  </si>
  <si>
    <t>detail.target.notes_terms</t>
  </si>
  <si>
    <t>{"coupon": 0.04, "maturity": "2029-10-01", "redemption_oct2024": 1.02, "redemption_oct2025": 1.01, "redemption_oct2026": 1.0, "coc_offer": 1.01, "trigger": "Change of control AND ratings event; not signing alone"}</t>
  </si>
  <si>
    <t>Exact observation supported by reviewed source: fl_indent</t>
  </si>
  <si>
    <t>detail.target.preliminary_q1</t>
  </si>
  <si>
    <t>{"comparable_sales_change": -0.026, "expected_net_loss": 363.0, "expected_non_gaap_net_loss": 6.0, "impairments": 276.0}</t>
  </si>
  <si>
    <t>Exact observation supported by reviewed source: fl_prelim</t>
  </si>
  <si>
    <t>detail.target.restricted_cash</t>
  </si>
  <si>
    <t>{"current": 4.0, "noncurrent": 25.0, "cash_flow_total": 430.0}</t>
  </si>
  <si>
    <t>detail.target.ytd_cash_flow</t>
  </si>
  <si>
    <t>{"cfo": 98.0, "capex": 185.0}</t>
  </si>
  <si>
    <t>Exact observation supported by reviewed source: fl_q3</t>
  </si>
  <si>
    <t>detail.target.ytd_wc_cash</t>
  </si>
  <si>
    <t>{"inventory": -243.0, "payables": 137.0}</t>
  </si>
  <si>
    <t>Exact observation supported by reviewed source: wc_fl</t>
  </si>
  <si>
    <t>detail.transaction.capitalization</t>
  </si>
  <si>
    <t>{"target_common": 95560582, "target_treasury_excluded": 312977, "options": 1731169, "weighted_option_strike": 48.12, "rsus": 2635903, "psus_target": 1443467, "psus_max": 2749910, "dsus": 177680.622, "acquirer_common": 56475378, "acquirer_class_b": 23570633}</t>
  </si>
  <si>
    <t>Exact observation supported by reviewed source: merger</t>
  </si>
  <si>
    <t>detail.transaction.debt_treatment</t>
  </si>
  <si>
    <t>{"target_abl": "Terminate commitments, repay obligations and release liens at effective time; parent funds required", "notes": "Offers, consent solicitations, redemption or assumption routes; future outcome not established", "award_rule": "ITM options and DSUs cash; employee RSUs/PSUs adjusted parent awards; director RSUs cash"}</t>
  </si>
  <si>
    <t>target.FY2022.capex</t>
  </si>
  <si>
    <t>Exact observation supported by reviewed source: fl10k</t>
  </si>
  <si>
    <t>target.FY2022.depreciation_amortisation</t>
  </si>
  <si>
    <t>target.FY2022.dividends_buybacks_commitments</t>
  </si>
  <si>
    <t>target.FY2022.ebitda_reconciliation</t>
  </si>
  <si>
    <t>target.FY2022.inventory</t>
  </si>
  <si>
    <t>target.FY2022.lease_reconciliation</t>
  </si>
  <si>
    <t>target.FY2022.operating_cash_flow</t>
  </si>
  <si>
    <t>target.FY2022.operating_profit</t>
  </si>
  <si>
    <t>target.FY2022.payables</t>
  </si>
  <si>
    <t>target.FY2022.receivables</t>
  </si>
  <si>
    <t>target.FY2022.revenue</t>
  </si>
  <si>
    <t>target.FY2022.taxes</t>
  </si>
  <si>
    <t>target.FY2023.capex</t>
  </si>
  <si>
    <t>target.FY2023.depreciation_amortisation</t>
  </si>
  <si>
    <t>target.FY2023.dividends_buybacks_commitments</t>
  </si>
  <si>
    <t>target.FY2023.ebitda_reconciliation</t>
  </si>
  <si>
    <t>target.FY2023.inventory</t>
  </si>
  <si>
    <t>target.FY2023.lease_reconciliation</t>
  </si>
  <si>
    <t>target.FY2023.operating_cash_flow</t>
  </si>
  <si>
    <t>target.FY2023.operating_profit</t>
  </si>
  <si>
    <t>target.FY2023.payables</t>
  </si>
  <si>
    <t>target.FY2023.receivables</t>
  </si>
  <si>
    <t>target.FY2023.revenue</t>
  </si>
  <si>
    <t>target.FY2023.taxes</t>
  </si>
  <si>
    <t>target.FY2024.capex</t>
  </si>
  <si>
    <t>target.FY2024.depreciation_amortisation</t>
  </si>
  <si>
    <t>target.FY2024.dividends_buybacks_commitments</t>
  </si>
  <si>
    <t>target.FY2024.ebitda_reconciliation</t>
  </si>
  <si>
    <t>Derived from verified inputs: target.FY2024.operating_profit + target.FY2024.depreciation_amortisation. Simple operating EBITDA; not adjusted EBITDA or contractual EBITDAR.</t>
  </si>
  <si>
    <t>target.FY2024.inventory</t>
  </si>
  <si>
    <t>target.FY2024.lease_reconciliation</t>
  </si>
  <si>
    <t>target.FY2024.operating_cash_flow</t>
  </si>
  <si>
    <t>target.FY2024.operating_profit</t>
  </si>
  <si>
    <t>target.FY2024.payables</t>
  </si>
  <si>
    <t>target.FY2024.receivables</t>
  </si>
  <si>
    <t>target.FY2024.revenue</t>
  </si>
  <si>
    <t>target.FY2024.taxes</t>
  </si>
  <si>
    <t>target.debt.borrowing_base_and_letters_of_credit</t>
  </si>
  <si>
    <t>target.debt.change_of_control</t>
  </si>
  <si>
    <t>target.debt.coupons_and_resets</t>
  </si>
  <si>
    <t>target.debt.covenants_and_restricted_payments</t>
  </si>
  <si>
    <t>target.debt.instrument_inventory</t>
  </si>
  <si>
    <t>target.debt.maturity_and_amortisation_schedule</t>
  </si>
  <si>
    <t>target.debt.refinancing_and_repricing</t>
  </si>
  <si>
    <t>target.debt.revolver_commitments</t>
  </si>
  <si>
    <t>{"commitment": 600.0, "drawn": 0.0, "maturity_date": "2029-06-20", "uncommitted_total_ceiling_excluded": 750.0}</t>
  </si>
  <si>
    <t>target.opening.cash_restrictions</t>
  </si>
  <si>
    <t>target.opening.debt_carrying_value</t>
  </si>
  <si>
    <t>target.opening.debt_principal</t>
  </si>
  <si>
    <t>Derived from verified inputs: detail.target.notes_principal + detail.target.finance_lease. Includes finance-lease liability; excludes operating leases.</t>
  </si>
  <si>
    <t>target.opening.unrestricted_cash</t>
  </si>
  <si>
    <t>Exact observation supported by reviewed source: announcement</t>
  </si>
  <si>
    <t>Consideration bridge, cash uses, stock issuance and synergy scenarios</t>
  </si>
  <si>
    <t>Material transaction or unregistered model dependency: unsupported consideration or scope can change financing needs.</t>
  </si>
  <si>
    <t>Review pre-cutoff announcement/merger agreement; record exact term and section.</t>
  </si>
  <si>
    <t>transaction.election_restrictions</t>
  </si>
  <si>
    <t>No minimum or maximum cash/stock election amount</t>
  </si>
  <si>
    <t>transaction.enterprise_value</t>
  </si>
  <si>
    <t>Headline comparison only. Consideration is calculated from verified price, shares and award treatment; discrepancies remain disclosed.</t>
  </si>
  <si>
    <t>transaction.equity_value</t>
  </si>
  <si>
    <t>transaction.share_and_award_treatment</t>
  </si>
  <si>
    <t>transaction.synergy_guidance</t>
  </si>
  <si>
    <t>[100.0, 125.0]</t>
  </si>
  <si>
    <t>Fictional Atlas / Beacon - illustrative only | Sources</t>
  </si>
  <si>
    <t>Source ID</t>
  </si>
  <si>
    <t>Document</t>
  </si>
  <si>
    <t>Published</t>
  </si>
  <si>
    <t>Retrieved</t>
  </si>
  <si>
    <t>URL</t>
  </si>
  <si>
    <t>Archive type</t>
  </si>
  <si>
    <t>Section</t>
  </si>
  <si>
    <t>announcement</t>
  </si>
  <si>
    <t>0001193125-25-120243 Exhibit 99.2</t>
  </si>
  <si>
    <t>2026-09-14</t>
  </si>
  <si>
    <t>https://www.sec.gov/Archives/edgar/data/1089063/000119312525120243/d830209dex992.htm</t>
  </si>
  <si>
    <t>reviewed factual extraction, not original document bytes</t>
  </si>
  <si>
    <t>Additional Transaction Details; operating efficiencies</t>
  </si>
  <si>
    <t>dks10k</t>
  </si>
  <si>
    <t>0001089063-25-000012</t>
  </si>
  <si>
    <t>2025-03-27</t>
  </si>
  <si>
    <t>https://www.sec.gov/Archives/edgar/data/1089063/000108906325000012/dks-20250201.htm</t>
  </si>
  <si>
    <t>Statements pp.46,48,50; Note 9</t>
  </si>
  <si>
    <t>fl10k</t>
  </si>
  <si>
    <t>0001437749-25-009620</t>
  </si>
  <si>
    <t>https://www.sec.gov/Archives/edgar/data/850209/000143774925009620/floc20241213_10k.htm</t>
  </si>
  <si>
    <t>Statements pp.36,38,40; Notes 13,14</t>
  </si>
  <si>
    <t>review_dks</t>
  </si>
  <si>
    <t>DKS FY2024 10-K</t>
  </si>
  <si>
    <t>Balance sheet p48, Note 1: cash and equivalents, NOT verified spendable acquisition cash; MD&amp;A p36 Contractual Obligations: approximate non-cancellable purchase commitments; Note 7 pp60-61; fixed liability cash excludes other rent categories; Note 9, p62; Note 9, p62; commitment is not unconditional borrowing availability; Note 9: principal of 2032 and 2052 series at fiscal year-end</t>
  </si>
  <si>
    <t>review_fl</t>
  </si>
  <si>
    <t>FL FY2024 10-K</t>
  </si>
  <si>
    <t>Balance sheet p36; excludes separately classified restricted cash; Note 1 pp43-44; primarily lease escrow and insurance cash trust; Note 13 p57: 4% notes; carrying 396 plus unamortized discount/costs 4; Note 13, p57; availability subject to borrowing base; Note 16 pp58-60; liabilities held for sale separately reported; Note 8, p54: comparative net receivables; Note 8, p54: net receivables; Notes 13 and 16: finance lease liability current 5 plus long-term 45; exclude operating leases</t>
  </si>
  <si>
    <t>merger</t>
  </si>
  <si>
    <t>May 15 merger agreement, Exhibit 2.1; SEC acceptance 17:16:25</t>
  </si>
  <si>
    <t>https://www.sec.gov/Archives/edgar/data/850209/000110465925049592/tm2515123d3_ex2-1.htm</t>
  </si>
  <si>
    <t>Sections 3.4 and 7.16(a)-(b); payoff letter due at least one business day before closing; Sections 4.2 and 5.2, capitalization date May 12; section 3.4 distinguishes award settlement</t>
  </si>
  <si>
    <t>dks_indent</t>
  </si>
  <si>
    <t>DKS first supplemental indenture</t>
  </si>
  <si>
    <t>2022-01-14</t>
  </si>
  <si>
    <t>https://www.sec.gov/Archives/edgar/data/1089063/000119312522009887/d285529dex42.htm</t>
  </si>
  <si>
    <t>Sections 2.2-2.3; principal issuance corroborated by FY2024 Note 9</t>
  </si>
  <si>
    <t>fl_indent</t>
  </si>
  <si>
    <t>FL 2029 notes indenture</t>
  </si>
  <si>
    <t>2021-10-05</t>
  </si>
  <si>
    <t>https://www.sec.gov/Archives/edgar/data/850209/000153949721001514/exh4-1_indenture.htm</t>
  </si>
  <si>
    <t>Definitions, Sections 3.07 and 4.10; note form</t>
  </si>
  <si>
    <t>dks_credit</t>
  </si>
  <si>
    <t>DKS credit agreement</t>
  </si>
  <si>
    <t>https://www.sec.gov/Archives/edgar/data/1089063/000119312522009887/d285529dex101.htm</t>
  </si>
  <si>
    <t>Definitions and Section 6.12; election is conditional, not automatic</t>
  </si>
  <si>
    <t>fl_credit</t>
  </si>
  <si>
    <t>FL amendment 4, executed June 20, 2024</t>
  </si>
  <si>
    <t>2024-06-25</t>
  </si>
  <si>
    <t>https://www.sec.gov/Archives/edgar/data/850209/000143774924021177/ex_691205.htm</t>
  </si>
  <si>
    <t>Definitions; Sections 7.06, financial covenant and 8.01(k); amendment annex</t>
  </si>
  <si>
    <t>dks_q3</t>
  </si>
  <si>
    <t>DKS Q3 2024 10-Q</t>
  </si>
  <si>
    <t>2024-11-27</t>
  </si>
  <si>
    <t>https://www.sec.gov/Archives/edgar/data/1089063/000108906324000121/dks-20241102.htm</t>
  </si>
  <si>
    <t>Consolidated cash flows p7; thousands converted to millions</t>
  </si>
  <si>
    <t>fl_q3</t>
  </si>
  <si>
    <t>FL Q3 2024 10-Q</t>
  </si>
  <si>
    <t>2024-12-11</t>
  </si>
  <si>
    <t>https://www.sec.gov/Archives/edgar/data/850209/000143774924037241/floc20241102_10q.htm</t>
  </si>
  <si>
    <t>Cash flows and liquidity free-cash-flow reconciliation</t>
  </si>
  <si>
    <t>fl_prelim</t>
  </si>
  <si>
    <t>FL preliminary Q1 2025 release</t>
  </si>
  <si>
    <t>https://www.sec.gov/Archives/edgar/data/850209/000110465925048852/tm2515123d1_ex99-1.htm</t>
  </si>
  <si>
    <t>Preliminary First Quarter Results; NOT full financial statements or EBITDA</t>
  </si>
  <si>
    <t>dks_prelim</t>
  </si>
  <si>
    <t>DKS preliminary Q1 2025 release</t>
  </si>
  <si>
    <t>https://www.sec.gov/Archives/edgar/data/1089063/000119312525120243/d830209dex991.htm</t>
  </si>
  <si>
    <t>Preliminary First Quarter Results; full results scheduled May 28, after cutoff</t>
  </si>
  <si>
    <t>cost_dks</t>
  </si>
  <si>
    <t>2026-09-19</t>
  </si>
  <si>
    <t>FY2024 income statement p46; MD&amp;A p32 and Note 1 p55: cost of sales includes occupancy and depreciation; not all variable.</t>
  </si>
  <si>
    <t>cost_fl</t>
  </si>
  <si>
    <t>FY2024 operations p36; MD&amp;A p26; Note 16: store lease costs in cost of sales, non-store in SG&amp;A. No impairment add-back.</t>
  </si>
  <si>
    <t>wc_dks</t>
  </si>
  <si>
    <t>39-week cash flow statement p8: signed CFO contributions; thousands converted to USD millions.</t>
  </si>
  <si>
    <t>wc_fl</t>
  </si>
  <si>
    <t>39-week cash flow statement p5: signed CFO contributions. Receivables are not separately disclosed; retain other cash-flow proxy and hold closing AR constant.</t>
  </si>
  <si>
    <t>public_fl</t>
  </si>
  <si>
    <t>2026-09-15</t>
  </si>
  <si>
    <t>Note 16 pp59-60; FY2025-2029 and thereafter, not calendar years; discount rate is aggregate; Note 13 p57: outstanding letters of credit at February 1, 2025</t>
  </si>
  <si>
    <t>public_dks</t>
  </si>
  <si>
    <t>FY2024 cash flows p50 and supplemental noncash information; Balance sheet p48 and Deferred revenue and other liabilities table; excludes gift cards, loyalty and deferred compensation; MD&amp;A pp34-35 Capital Expenditures and Dividends; net capex is management guidance, dividend is a declaration</t>
  </si>
  <si>
    <t>Fictional Atlas / Beacon - illustrative only | Historical calculations</t>
  </si>
  <si>
    <t>Calculation</t>
  </si>
  <si>
    <t>Units</t>
  </si>
  <si>
    <t>Formula</t>
  </si>
  <si>
    <t>Dependencies</t>
  </si>
  <si>
    <t>Limitation</t>
  </si>
  <si>
    <t>acquirer FY2024 simple operating EBITDA</t>
  </si>
  <si>
    <t>Supported</t>
  </si>
  <si>
    <t>Operating profit + cash-flow D&amp;A</t>
  </si>
  <si>
    <t>["acquirer.FY2024.operating_profit", "acquirer.FY2024.depreciation_amortisation"]</t>
  </si>
  <si>
    <t>Not adjusted EBITDA or covenant EBITDAR; no addbacks.</t>
  </si>
  <si>
    <t>acquirer FY2024 CFO less gross capex</t>
  </si>
  <si>
    <t>CFO - gross cash capital expenditures</t>
  </si>
  <si>
    <t>["acquirer.FY2024.operating_cash_flow", "acquirer.FY2024.capex"]</t>
  </si>
  <si>
    <t>Historical residual, not forecast cash available for debt service; CFO includes interest/taxes and lease payments.</t>
  </si>
  <si>
    <t>acquirer FY2024 selected operating NWC</t>
  </si>
  <si>
    <t>Inventory + receivables - payables</t>
  </si>
  <si>
    <t>["acquirer.FY2024.inventory", "acquirer.FY2024.receivables", "acquirer.FY2024.payables"]</t>
  </si>
  <si>
    <t>Selected working capital only, not total current assets minus liabilities.</t>
  </si>
  <si>
    <t>acquirer Q4 CFO less gross capex</t>
  </si>
  <si>
    <t>(FY CFO - 39wk CFO) - (FY capex - 39wk capex)</t>
  </si>
  <si>
    <t>["acquirer.FY2024.operating_cash_flow", "acquirer.FY2024.capex", "detail.acquirer.ytd_cash_flow"]</t>
  </si>
  <si>
    <t>Derived 13 weeks Nov 3 2024-Feb 1 2025; demonstrates seasonality, not a forecast seed.</t>
  </si>
  <si>
    <t>target FY2024 simple operating EBITDA</t>
  </si>
  <si>
    <t>["target.FY2024.operating_profit", "target.FY2024.depreciation_amortisation"]</t>
  </si>
  <si>
    <t>target FY2024 CFO less gross capex</t>
  </si>
  <si>
    <t>["target.FY2024.operating_cash_flow", "target.FY2024.capex"]</t>
  </si>
  <si>
    <t>target FY2024 selected operating NWC</t>
  </si>
  <si>
    <t>["target.FY2024.inventory", "target.FY2024.receivables", "target.FY2024.payables"]</t>
  </si>
  <si>
    <t>target Q4 CFO less gross capex</t>
  </si>
  <si>
    <t>["target.FY2024.operating_cash_flow", "target.FY2024.capex", "detail.target.ytd_cash_flow"]</t>
  </si>
  <si>
    <t>FL cash reconciliation</t>
  </si>
  <si>
    <t>401 + 4 + 25 - 430 = 0</t>
  </si>
  <si>
    <t>["detail.target.cash", "detail.target.restricted_cash"]</t>
  </si>
  <si>
    <t>Accounting reconciliation; no legal cash-release conclusion.</t>
  </si>
  <si>
    <t>FL financial debt principal</t>
  </si>
  <si>
    <t>Notes principal + finance-lease liability</t>
  </si>
  <si>
    <t>["detail.target.notes_principal", "detail.target.finance_lease"]</t>
  </si>
  <si>
    <t>Operating lease liabilities excluded; not complete instrument-level payment schedule.</t>
  </si>
  <si>
    <t>FL finance-lease rollforward check</t>
  </si>
  <si>
    <t>Opening + additions - (cash paid - interest) - closing</t>
  </si>
  <si>
    <t>["detail.target.leases", "detail.target.finance_lease"]</t>
  </si>
  <si>
    <t>Aggregate liability check; cannot infer each future instrument principal payment.</t>
  </si>
  <si>
    <t>Common shares all-cash consideration</t>
  </si>
  <si>
    <t>May 12 outstanding common shares x $24 / 1e6</t>
  </si>
  <si>
    <t>["detail.transaction.capitalization", "transaction.cash_price"]</t>
  </si>
  <si>
    <t>Common shares only: excludes awards, fees, debt, closing share changes and fractional-share payments.</t>
  </si>
  <si>
    <t>Common shares all-stock issuance</t>
  </si>
  <si>
    <t>million DKS shares</t>
  </si>
  <si>
    <t>May 12 outstanding common shares x 0.1168 / 1e6</t>
  </si>
  <si>
    <t>["detail.transaction.capitalization", "transaction.exchange_ratio"]</t>
  </si>
  <si>
    <t>Election endpoint only, not predicted elections; excludes awards and fractional-share cash.</t>
  </si>
  <si>
    <t>DKS note annual coupon obligation</t>
  </si>
  <si>
    <t>750 x 3.15% + 750 x 4.10%</t>
  </si>
  <si>
    <t>["detail.acquirer.notes", "detail.acquirer.notes_outstanding"]</t>
  </si>
  <si>
    <t>Original fixed notes only; no revolver, lease interest or refinancing.</t>
  </si>
  <si>
    <t>FL note annual coupon obligation</t>
  </si>
  <si>
    <t>400 x 4%</t>
  </si>
  <si>
    <t>["detail.target.notes_principal", "detail.target.notes_terms"]</t>
  </si>
  <si>
    <t>Retained-note contractual coupon only; not total cash interest.</t>
  </si>
  <si>
    <t>Fictional Atlas / Beacon - illustrative only | Historical gap review</t>
  </si>
  <si>
    <t>Type</t>
  </si>
  <si>
    <t>Current evidence</t>
  </si>
  <si>
    <t>Exact missing information</t>
  </si>
  <si>
    <t>Applicability</t>
  </si>
  <si>
    <t>Primary source</t>
  </si>
  <si>
    <t>Remaining</t>
  </si>
  <si>
    <t>historical fact</t>
  </si>
  <si>
    <t>May 12 common shares 95,560,582; options/RSUs/PSUs/DSUs counts and different settlement rules archived.</t>
  </si>
  <si>
    <t>Individual option strikes, director versus employee RSU split, PSU performance/award agreement settlement and award tax/withholding cash. Weighted-average strike cannot prove all options out of money.</t>
  </si>
  <si>
    <t>Required for all complete funding structures.</t>
  </si>
  <si>
    <t>Merger Sections 3.4/4.2; omitted Company Disclosure Letter 4.2 and equity-administration ledger. April 10 proxy is an earlier, incomplete employee population; later merger proxy excluded.</t>
  </si>
  <si>
    <t>Feb 1 cash and equivalents: DKS 1689.940; FL 401, with separately restricted 29. Accounting balances are verified separately.</t>
  </si>
  <si>
    <t>Entity-level encumbrances, trapped/repatriable cash, minimum operating balances, and legally available cash at the selected closing date.</t>
  </si>
  <si>
    <t>Cash-first consumes availability. A zero contribution removes acquisition use, but group liquidity still cannot count restricted or inaccessible balances. No waiver applied.</t>
  </si>
  <si>
    <t>Treasury cash-by-entity/restriction schedule, credit security documents and counsel review; prospective cash bridge must remain a forecast.</t>
  </si>
  <si>
    <t>DKS notes 750+750; FL notes 400 and finance-lease liability 50. Carrying amounts are separate.</t>
  </si>
  <si>
    <t>DKS complete principal-to-balance-sheet reconciliation including any finance leases; no zero inferred from zero annual finance-lease payment.</t>
  </si>
  <si>
    <t>Debt Note 9 / Note 13 and lease liability ledger; exclude operating leases from financial-debt principal.</t>
  </si>
  <si>
    <t>Resolved</t>
  </si>
  <si>
    <t>Computed from verified FY2024 operating profit plus disclosed cash-flow D&amp;A. No exceptional-item addbacks.</t>
  </si>
  <si>
    <t>None for this narrowly defined input; related financing dependencies remain separate.</t>
  </si>
  <si>
    <t>Code-owned sum with dependency checks. This resolves simple operating EBITDA, not covenant EBITDAR.</t>
  </si>
  <si>
    <t>Rent cost components, fixed lease cash, operating liabilities, uncommenced commitments and FL finance cash are separately archived.</t>
  </si>
  <si>
    <t>Cash timing for variable/short-term rent, subleases and complete instrument finance-lease interest/principal schedules; reconcile held-for-sale treatment.</t>
  </si>
  <si>
    <t>Lease Note 7 (DKS) / 16 (FL), lease payment ledger and explicit future rent assumptions. FL liability includes 5 held for sale outside main table.</t>
  </si>
  <si>
    <t>Cash-flow historical distributions and lease commitments disclosed; future discretionary distributions set to zero only as a scenario assumption. MD&amp;A p36 discloses approximately 180 of non-cancellable purchase commitments, but not their annual cash timing.</t>
  </si>
  <si>
    <t>Reconciliation of declared/unpaid distributions and binding capex, purchase and lease commitments affecting the closing bridge and forecast.</t>
  </si>
  <si>
    <t>Annual cash-flow statement, commitments notes, pre-cutoff dividend declarations, treasury payable and capital-commitment schedules.</t>
  </si>
  <si>
    <t>conditionally applicable requirement</t>
  </si>
  <si>
    <t>Bond series and aggregate lease liabilities disclosed; supplemental disclosures are not a complete executable instrument inventory.</t>
  </si>
  <si>
    <t>Complete lease/other borrowing register with principal, maturity, coupon, repayment and close treatment reconciled to debt notes.</t>
  </si>
  <si>
    <t>Annual debt and lease notes, treasury debt ledger and all material financing leases.</t>
  </si>
  <si>
    <t>DKS bullets Jan 15 2032/2052; FL note Oct 1 2029; annual aggregate lease payments disclosed.</t>
  </si>
  <si>
    <t>Finance-lease principal versus interest allocation and instrument-level remaining payment dates; relative model maturity must use assumed closing date.</t>
  </si>
  <si>
    <t>Original indentures plus lease amortisation ledger. Aggregate future minimum payments are not all principal.</t>
  </si>
  <si>
    <t>Fixed note coupons 3.15%/4.10% DKS and 4% FL; DKS SOFR margin 112.5bp at year-end, FL term-SOFR grid 150-200bp.</t>
  </si>
  <si>
    <t>Instrument lease effective interest schedules, applicable future facility pricing-grid/rating assumptions and resets.</t>
  </si>
  <si>
    <t>Indentures and credit agreements plus lease ledger. Weighted-average lease discount rate is not each instrument coupon.</t>
  </si>
  <si>
    <t>FL ABL termination required at closing. FL note offer 101% requires control AND ratings event. DKS purchase of target does not itself establish DKS control change.</t>
  </si>
  <si>
    <t>Facility and lease consent/default application, notes ratings-event assessment and exact retained versus redeemed treatment.</t>
  </si>
  <si>
    <t>Merger 7.16, indenture definitions/4.10, ABL 8.01 and lease contracts; scenario-specific legal review.</t>
  </si>
  <si>
    <t>DKS pre-par make-whole; FL redemption 102% before Oct 1 2025, 101% until Oct 1 2026, then par, plus accrued interest.</t>
  </si>
  <si>
    <t>Scenario treatment for each instrument, accrued interest, notice timing and any lease termination/consent costs; actual future refinancing is not guaranteed.</t>
  </si>
  <si>
    <t>Retain versus redeem changes required calculations. Refinancing coupon/fees are future assumptions; existing call premium/consent rights remain historical facts. No waiver applied.</t>
  </si>
  <si>
    <t>Original indenture redemption sections and prospective quote sensitivities. Retained DKS notes with no optional redemption do not require a make-whole quote.</t>
  </si>
  <si>
    <t>DKS unsecured 1600, Jan 14 2027; FL secured 600, June 20 2029. Both zero drawn at fiscal year-end. Uncommitted accordions excluded.</t>
  </si>
  <si>
    <t>Annual debt notes verify contractual size and dates; does not resolve borrowing eligibility.</t>
  </si>
  <si>
    <t>DKS LC 19.9 against unsecured 1600; FL LC 7 against 600 commitment, subject to eligible inventory/reserves.</t>
  </si>
  <si>
    <t>Target ABL is terminated under merger 7.16(a); no post-close availability counted. Certificate matters for interim liquidity; funded payoff and LC replacement still matter for closing uses. No blanket waiver.</t>
  </si>
  <si>
    <t>DKS Note 9; FL ABL borrowing-base certificate under agreement reporting provisions, held by Wells Fargo/borrower treasury.</t>
  </si>
  <si>
    <t>DKS lease-adjusted maximum 3.75x; conditional acquisition election 4.25x. FL springing FCCR 1.00x plus restricted-payment conditions.</t>
  </si>
  <si>
    <t>Contractual numerator/denominator reconciliation, permitted debt and lien baskets, payment-condition capacity and post-acquisition eligibility.</t>
  </si>
  <si>
    <t>Executed agreements and latest compliance certificates; counsel interpretation. Generic net-debt/EBITDA engine thresholds do not implement these covenants.</t>
  </si>
  <si>
    <t>FL Note 8 p54: net receivables 156 at Feb 1, 2025; 160 comparative.</t>
  </si>
  <si>
    <t>Exact units/date reviewed; feeds selected operating NWC, not all current assets.</t>
  </si>
  <si>
    <t>Cash-flow historical distributions and lease commitments disclosed; future discretionary distributions set to zero only as a scenario assumption.</t>
  </si>
  <si>
    <t>Latest certified eligible collateral, reserves and LC replacement/cash-collateral terms.</t>
  </si>
  <si>
    <t>future modelling assumption</t>
  </si>
  <si>
    <t>Required when running the full prospective model. Partial studies disclose only the assumptions they consume.</t>
  </si>
  <si>
    <t>Analyst assumption register</t>
  </si>
  <si>
    <t>Explicit prospective choice; test uncertainty. Does not replace missing historical balance, rights or obligations.</t>
  </si>
  <si>
    <t>Fictional Atlas / Beacon - illustrative only | Historical sensitivities</t>
  </si>
  <si>
    <t>Study</t>
  </si>
  <si>
    <t>Annual growth</t>
  </si>
  <si>
    <t>Margin shift</t>
  </si>
  <si>
    <t>Hypothetical operating sensitivity; not actual company forecast or capacity</t>
  </si>
  <si>
    <t>acquirer</t>
  </si>
  <si>
    <t>Constant stressed EBITDA margin; excludes synergies, integration, capex, taxes, rent cash and financing. No preferred structure.</t>
  </si>
  <si>
    <t>target</t>
  </si>
  <si>
    <t>Fictional Atlas / Beacon - illustrative only | Historical assumptions</t>
  </si>
  <si>
    <t>Future choice</t>
  </si>
  <si>
    <t>Rationale</t>
  </si>
  <si>
    <t>Fictional Atlas / Beacon - illustrative only | Funding unit sensitivities</t>
  </si>
  <si>
    <t>Annual coupon per hypothetical 1000 new debt</t>
  </si>
  <si>
    <t>Benchmark shift -2.00%; spread shift +0.00%</t>
  </si>
  <si>
    <t>USD millions/year</t>
  </si>
  <si>
    <t>Unit sensitivity, not actual debt size, quote, debt capacity or fixed legacy-note repricing.</t>
  </si>
  <si>
    <t>Benchmark shift -2.00%; spread shift +1.00%</t>
  </si>
  <si>
    <t>Benchmark shift -2.00%; spread shift +2.00%</t>
  </si>
  <si>
    <t>Benchmark shift +0.00%; spread shift +0.00%</t>
  </si>
  <si>
    <t>Benchmark shift +0.00%; spread shift +1.00%</t>
  </si>
  <si>
    <t>Benchmark shift +0.00%; spread shift +2.00%</t>
  </si>
  <si>
    <t>Benchmark shift +2.00%; spread shift +0.00%</t>
  </si>
  <si>
    <t>Benchmark shift +2.00%; spread shift +1.00%</t>
  </si>
  <si>
    <t>Benchmark shift +2.00%; spread shift +2.00%</t>
  </si>
  <si>
    <t>Gross borrowing to net hypothetical 1000 proceeds</t>
  </si>
  <si>
    <t>Upfront fee 1%</t>
  </si>
  <si>
    <t>1000 is a unit scenario, not historical acquisition funding.</t>
  </si>
  <si>
    <t>Upfront fee 2%</t>
  </si>
  <si>
    <t>Upfront fee 3%</t>
  </si>
  <si>
    <t>Five-year cumulative synergy less integration costs</t>
  </si>
  <si>
    <t>Run rate 0.0; delay 0yr; cost multiplier 1.0</t>
  </si>
  <si>
    <t>USD millions, pre-tax</t>
  </si>
  <si>
    <t>Hypothetical delivery and costs; no discounting/tax, financing or working-capital effects.</t>
  </si>
  <si>
    <t>Run rate 0.0; delay 0yr; cost multiplier 2.0</t>
  </si>
  <si>
    <t>Run rate 0.0; delay 1yr; cost multiplier 1.0</t>
  </si>
  <si>
    <t>Run rate 0.0; delay 1yr; cost multiplier 2.0</t>
  </si>
  <si>
    <t>Run rate 100.0; delay 0yr; cost multiplier 1.0</t>
  </si>
  <si>
    <t>Run rate 100.0; delay 0yr; cost multiplier 2.0</t>
  </si>
  <si>
    <t>Run rate 100.0; delay 1yr; cost multiplier 1.0</t>
  </si>
  <si>
    <t>Run rate 100.0; delay 1yr; cost multiplier 2.0</t>
  </si>
  <si>
    <t>Run rate 125.0; delay 0yr; cost multiplier 1.0</t>
  </si>
  <si>
    <t>Run rate 125.0; delay 0yr; cost multiplier 2.0</t>
  </si>
  <si>
    <t>Run rate 125.0; delay 1yr; cost multiplier 1.0</t>
  </si>
  <si>
    <t>Run rate 125.0; delay 1yr; cost multiplier 2.0</t>
  </si>
</sst>
</file>

<file path=xl/styles.xml><?xml version="1.0" encoding="utf-8"?>
<styleSheet xmlns="http://schemas.openxmlformats.org/spreadsheetml/2006/main">
  <numFmts count="5">
    <numFmt numFmtId="164" formatCode="#,##0.0;(#,##0.0);&quot;-&quot;"/>
    <numFmt numFmtId="165" formatCode="0.0000"/>
    <numFmt numFmtId="166" formatCode="#,##0.0000"/>
    <numFmt numFmtId="167" formatCode="0.00%"/>
    <numFmt numFmtId="168" formatCode="#,##0.000000"/>
  </numFmts>
  <fonts count="6">
    <font>
      <sz val="11"/>
      <color theme="1"/>
      <name val="Calibri"/>
      <family val="2"/>
      <scheme val="minor"/>
    </font>
    <font>
      <sz val="22"/>
      <color rgb="FFF15A29"/>
      <name val="Georgia"/>
      <family val="2"/>
    </font>
    <font>
      <i/>
      <sz val="10"/>
      <color rgb="FF536567"/>
      <name val="Arial"/>
      <family val="2"/>
    </font>
    <font>
      <sz val="11"/>
      <color rgb="FF25282D"/>
      <name val="Arial"/>
      <family val="2"/>
    </font>
    <font>
      <b/>
      <i/>
      <sz val="11"/>
      <color rgb="FFFFFFFF"/>
      <name val="Arial"/>
      <family val="2"/>
    </font>
    <font>
      <b/>
      <sz val="11"/>
      <color rgb="FF25282D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3F6F5"/>
        <bgColor indexed="64"/>
      </patternFill>
    </fill>
    <fill>
      <patternFill patternType="solid">
        <fgColor rgb="FF3C5658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15A29"/>
      </bottom>
      <diagonal/>
    </border>
    <border>
      <left style="medium">
        <color rgb="FFF15A29"/>
      </left>
      <right style="thin">
        <color rgb="FFD5DEDD"/>
      </right>
      <top style="thin">
        <color rgb="FFD5DEDD"/>
      </top>
      <bottom style="thin">
        <color rgb="FFD5DEDD"/>
      </bottom>
      <diagonal/>
    </border>
    <border>
      <left style="thin">
        <color rgb="FFD5DEDD"/>
      </left>
      <right style="thin">
        <color rgb="FFD5DEDD"/>
      </right>
      <top style="thin">
        <color rgb="FFD5DEDD"/>
      </top>
      <bottom style="thin">
        <color rgb="FFD5DEDD"/>
      </bottom>
      <diagonal/>
    </border>
    <border>
      <left style="thin">
        <color rgb="FFC4CECE"/>
      </left>
      <right style="thin">
        <color rgb="FFC4CECE"/>
      </right>
      <top style="thin">
        <color rgb="FFC4CECE"/>
      </top>
      <bottom style="thin">
        <color rgb="FFC4CECE"/>
      </bottom>
      <diagonal/>
    </border>
    <border>
      <left style="medium">
        <color rgb="FFF15A29"/>
      </left>
      <right style="thin">
        <color rgb="FFD5DEDD"/>
      </right>
      <top style="medium">
        <color rgb="FF3C5658"/>
      </top>
      <bottom style="thin">
        <color rgb="FFD5DEDD"/>
      </bottom>
      <diagonal/>
    </border>
    <border>
      <left style="thin">
        <color rgb="FFD5DEDD"/>
      </left>
      <right style="thin">
        <color rgb="FFD5DEDD"/>
      </right>
      <top style="medium">
        <color rgb="FF3C5658"/>
      </top>
      <bottom style="thin">
        <color rgb="FFD5DED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164" fontId="3" fillId="4" borderId="3" xfId="0" applyNumberFormat="1" applyFont="1" applyFill="1" applyBorder="1" applyAlignment="1">
      <alignment horizontal="right" vertical="center" wrapText="1"/>
    </xf>
    <xf numFmtId="164" fontId="3" fillId="2" borderId="3" xfId="0" applyNumberFormat="1" applyFont="1" applyFill="1" applyBorder="1" applyAlignment="1">
      <alignment horizontal="right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164" fontId="5" fillId="2" borderId="6" xfId="0" applyNumberFormat="1" applyFont="1" applyFill="1" applyBorder="1" applyAlignment="1">
      <alignment horizontal="right" vertical="center" wrapText="1"/>
    </xf>
    <xf numFmtId="0" fontId="5" fillId="4" borderId="5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164" fontId="5" fillId="4" borderId="6" xfId="0" applyNumberFormat="1" applyFont="1" applyFill="1" applyBorder="1" applyAlignment="1">
      <alignment horizontal="right" vertical="center" wrapText="1"/>
    </xf>
    <xf numFmtId="165" fontId="3" fillId="2" borderId="3" xfId="0" applyNumberFormat="1" applyFont="1" applyFill="1" applyBorder="1" applyAlignment="1">
      <alignment horizontal="right" vertical="center" wrapText="1"/>
    </xf>
    <xf numFmtId="165" fontId="3" fillId="4" borderId="3" xfId="0" applyNumberFormat="1" applyFont="1" applyFill="1" applyBorder="1" applyAlignment="1">
      <alignment horizontal="right" vertical="center" wrapText="1"/>
    </xf>
    <xf numFmtId="166" fontId="3" fillId="2" borderId="3" xfId="0" applyNumberFormat="1" applyFont="1" applyFill="1" applyBorder="1" applyAlignment="1">
      <alignment horizontal="right" vertical="center" wrapText="1"/>
    </xf>
    <xf numFmtId="166" fontId="3" fillId="4" borderId="3" xfId="0" applyNumberFormat="1" applyFont="1" applyFill="1" applyBorder="1" applyAlignment="1">
      <alignment horizontal="right" vertical="center" wrapText="1"/>
    </xf>
    <xf numFmtId="166" fontId="5" fillId="4" borderId="6" xfId="0" applyNumberFormat="1" applyFont="1" applyFill="1" applyBorder="1" applyAlignment="1">
      <alignment horizontal="right" vertical="center" wrapText="1"/>
    </xf>
    <xf numFmtId="166" fontId="5" fillId="2" borderId="6" xfId="0" applyNumberFormat="1" applyFont="1" applyFill="1" applyBorder="1" applyAlignment="1">
      <alignment horizontal="right" vertical="center" wrapText="1"/>
    </xf>
    <xf numFmtId="1" fontId="3" fillId="4" borderId="3" xfId="0" applyNumberFormat="1" applyFont="1" applyFill="1" applyBorder="1" applyAlignment="1">
      <alignment horizontal="right" vertical="center" wrapText="1"/>
    </xf>
    <xf numFmtId="1" fontId="3" fillId="2" borderId="3" xfId="0" applyNumberFormat="1" applyFont="1" applyFill="1" applyBorder="1" applyAlignment="1">
      <alignment horizontal="right" vertical="center" wrapText="1"/>
    </xf>
    <xf numFmtId="167" fontId="3" fillId="4" borderId="3" xfId="0" applyNumberFormat="1" applyFont="1" applyFill="1" applyBorder="1" applyAlignment="1">
      <alignment horizontal="right" vertical="center" wrapText="1"/>
    </xf>
    <xf numFmtId="167" fontId="3" fillId="2" borderId="3" xfId="0" applyNumberFormat="1" applyFont="1" applyFill="1" applyBorder="1" applyAlignment="1">
      <alignment horizontal="right" vertical="center" wrapText="1"/>
    </xf>
    <xf numFmtId="168" fontId="3" fillId="4" borderId="3" xfId="0" applyNumberFormat="1" applyFont="1" applyFill="1" applyBorder="1" applyAlignment="1">
      <alignment horizontal="right" vertical="center" wrapText="1"/>
    </xf>
    <xf numFmtId="168" fontId="3" fillId="2" borderId="3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4">
    <dxf>
      <font>
        <b/>
        <color rgb="FF9D3028"/>
      </font>
      <fill>
        <patternFill>
          <bgColor rgb="FFFBE1DC"/>
        </patternFill>
      </fill>
    </dxf>
    <dxf>
      <font>
        <color rgb="FF285232"/>
      </font>
      <fill>
        <patternFill>
          <bgColor rgb="FFDFECD9"/>
        </patternFill>
      </fill>
    </dxf>
    <dxf>
      <font>
        <color rgb="FF9D3028"/>
      </font>
      <fill>
        <patternFill>
          <bgColor rgb="FFFBE1DC"/>
        </patternFill>
      </fill>
    </dxf>
    <dxf>
      <font>
        <color rgb="FF765408"/>
      </font>
      <fill>
        <patternFill>
          <bgColor rgb="FFFFF0C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theme" Target="theme/theme1.xml"/><Relationship Id="rId29" Type="http://schemas.openxmlformats.org/officeDocument/2006/relationships/styles" Target="styles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15A29"/>
  </sheetPr>
  <dimension ref="A1:B31"/>
  <sheetViews>
    <sheetView showGridLines="0" tabSelected="1" zoomScale="90" zoomScaleNormal="9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38.7109375" customWidth="1"/>
    <col min="2" max="2" width="105.7109375" customWidth="1"/>
  </cols>
  <sheetData>
    <row r="1" spans="1:2" ht="9" customHeight="1"/>
    <row r="2" spans="1:2" ht="42" customHeight="1">
      <c r="A2" s="1" t="s">
        <v>0</v>
      </c>
      <c r="B2" s="1"/>
    </row>
    <row r="3" spans="1:2" ht="30" customHeight="1">
      <c r="A3" s="2" t="s">
        <v>1</v>
      </c>
      <c r="B3" s="2"/>
    </row>
    <row r="4" spans="1:2" ht="25" customHeight="1">
      <c r="A4" s="3" t="s">
        <v>2</v>
      </c>
      <c r="B4" s="4" t="s">
        <v>3</v>
      </c>
    </row>
    <row r="5" spans="1:2" ht="34" customHeight="1">
      <c r="A5" s="5" t="s">
        <v>4</v>
      </c>
      <c r="B5" s="5" t="s">
        <v>5</v>
      </c>
    </row>
    <row r="6" spans="1:2" ht="25" customHeight="1">
      <c r="A6" s="3" t="s">
        <v>6</v>
      </c>
      <c r="B6" s="4" t="s">
        <v>7</v>
      </c>
    </row>
    <row r="7" spans="1:2" ht="25" customHeight="1">
      <c r="A7" s="6" t="s">
        <v>8</v>
      </c>
      <c r="B7" s="7" t="s">
        <v>9</v>
      </c>
    </row>
    <row r="8" spans="1:2" ht="25" customHeight="1">
      <c r="A8" s="3" t="s">
        <v>10</v>
      </c>
      <c r="B8" s="4" t="s">
        <v>9</v>
      </c>
    </row>
    <row r="9" spans="1:2" ht="25" customHeight="1">
      <c r="A9" s="6" t="s">
        <v>11</v>
      </c>
      <c r="B9" s="7" t="s">
        <v>9</v>
      </c>
    </row>
    <row r="10" spans="1:2" ht="25" customHeight="1">
      <c r="A10" s="3" t="s">
        <v>12</v>
      </c>
      <c r="B10" s="4" t="s">
        <v>9</v>
      </c>
    </row>
    <row r="11" spans="1:2" ht="25" customHeight="1">
      <c r="A11" s="6" t="s">
        <v>13</v>
      </c>
      <c r="B11" s="7" t="s">
        <v>9</v>
      </c>
    </row>
    <row r="12" spans="1:2" ht="25" customHeight="1">
      <c r="A12" s="3" t="s">
        <v>14</v>
      </c>
      <c r="B12" s="4" t="s">
        <v>9</v>
      </c>
    </row>
    <row r="13" spans="1:2" ht="25" customHeight="1">
      <c r="A13" s="6" t="s">
        <v>15</v>
      </c>
      <c r="B13" s="7" t="s">
        <v>9</v>
      </c>
    </row>
    <row r="14" spans="1:2" ht="25" customHeight="1">
      <c r="A14" s="3" t="s">
        <v>16</v>
      </c>
      <c r="B14" s="4" t="s">
        <v>9</v>
      </c>
    </row>
    <row r="15" spans="1:2" ht="25" customHeight="1">
      <c r="A15" s="6" t="s">
        <v>17</v>
      </c>
      <c r="B15" s="7" t="s">
        <v>9</v>
      </c>
    </row>
    <row r="16" spans="1:2" ht="25" customHeight="1">
      <c r="A16" s="3" t="s">
        <v>18</v>
      </c>
      <c r="B16" s="4" t="s">
        <v>9</v>
      </c>
    </row>
    <row r="17" spans="1:2" ht="25" customHeight="1">
      <c r="A17" s="6" t="s">
        <v>19</v>
      </c>
      <c r="B17" s="7" t="s">
        <v>9</v>
      </c>
    </row>
    <row r="18" spans="1:2" ht="25" customHeight="1">
      <c r="A18" s="3" t="s">
        <v>20</v>
      </c>
      <c r="B18" s="4" t="s">
        <v>9</v>
      </c>
    </row>
    <row r="19" spans="1:2" ht="25" customHeight="1">
      <c r="A19" s="6" t="s">
        <v>21</v>
      </c>
      <c r="B19" s="7" t="s">
        <v>9</v>
      </c>
    </row>
    <row r="20" spans="1:2" ht="25" customHeight="1">
      <c r="A20" s="3" t="s">
        <v>22</v>
      </c>
      <c r="B20" s="4" t="s">
        <v>9</v>
      </c>
    </row>
    <row r="21" spans="1:2" ht="25" customHeight="1">
      <c r="A21" s="6" t="s">
        <v>23</v>
      </c>
      <c r="B21" s="7" t="s">
        <v>9</v>
      </c>
    </row>
    <row r="22" spans="1:2" ht="25" customHeight="1">
      <c r="A22" s="3" t="s">
        <v>24</v>
      </c>
      <c r="B22" s="4" t="s">
        <v>9</v>
      </c>
    </row>
    <row r="23" spans="1:2" ht="25" customHeight="1">
      <c r="A23" s="6" t="s">
        <v>25</v>
      </c>
      <c r="B23" s="7" t="s">
        <v>9</v>
      </c>
    </row>
    <row r="24" spans="1:2" ht="25" customHeight="1">
      <c r="A24" s="3" t="s">
        <v>26</v>
      </c>
      <c r="B24" s="4" t="s">
        <v>9</v>
      </c>
    </row>
    <row r="25" spans="1:2" ht="25" customHeight="1">
      <c r="A25" s="6" t="s">
        <v>27</v>
      </c>
      <c r="B25" s="7" t="s">
        <v>9</v>
      </c>
    </row>
    <row r="26" spans="1:2" ht="25" customHeight="1">
      <c r="A26" s="3" t="s">
        <v>28</v>
      </c>
      <c r="B26" s="4" t="s">
        <v>9</v>
      </c>
    </row>
    <row r="27" spans="1:2" ht="25" customHeight="1">
      <c r="A27" s="6" t="s">
        <v>29</v>
      </c>
      <c r="B27" s="7" t="s">
        <v>9</v>
      </c>
    </row>
    <row r="28" spans="1:2" ht="25" customHeight="1">
      <c r="A28" s="3" t="s">
        <v>30</v>
      </c>
      <c r="B28" s="4" t="s">
        <v>9</v>
      </c>
    </row>
    <row r="29" spans="1:2" ht="25" customHeight="1">
      <c r="A29" s="6" t="s">
        <v>31</v>
      </c>
      <c r="B29" s="7" t="s">
        <v>9</v>
      </c>
    </row>
    <row r="30" spans="1:2" ht="25" customHeight="1">
      <c r="A30" s="3" t="s">
        <v>32</v>
      </c>
      <c r="B30" s="4" t="s">
        <v>9</v>
      </c>
    </row>
    <row r="31" spans="1:2" ht="25" customHeight="1">
      <c r="A31" s="6" t="s">
        <v>33</v>
      </c>
      <c r="B31" s="7" t="s">
        <v>9</v>
      </c>
    </row>
  </sheetData>
  <autoFilter ref="A5:B31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&amp;LContents&amp;RPage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15A29"/>
  </sheetPr>
  <dimension ref="A1:B17"/>
  <sheetViews>
    <sheetView showGridLines="0" zoomScale="90" zoomScaleNormal="90" workbookViewId="0"/>
  </sheetViews>
  <sheetFormatPr defaultRowHeight="15"/>
  <cols>
    <col min="1" max="1" width="44.7109375" customWidth="1"/>
    <col min="2" max="2" width="100.7109375" customWidth="1"/>
  </cols>
  <sheetData>
    <row r="1" spans="1:2" ht="9" customHeight="1"/>
    <row r="2" spans="1:2" ht="62" customHeight="1">
      <c r="A2" s="1" t="s">
        <v>34</v>
      </c>
      <c r="B2" s="8"/>
    </row>
    <row r="3" spans="1:2" ht="25" customHeight="1">
      <c r="A3" s="6" t="s">
        <v>35</v>
      </c>
      <c r="B3" s="7" t="s">
        <v>36</v>
      </c>
    </row>
    <row r="4" spans="1:2" ht="25" customHeight="1">
      <c r="A4" s="3" t="s">
        <v>37</v>
      </c>
      <c r="B4" s="4" t="s">
        <v>38</v>
      </c>
    </row>
    <row r="5" spans="1:2" ht="25" customHeight="1">
      <c r="A5" s="6" t="s">
        <v>39</v>
      </c>
      <c r="B5" s="7" t="s">
        <v>40</v>
      </c>
    </row>
    <row r="6" spans="1:2" ht="25" customHeight="1">
      <c r="A6" s="3" t="s">
        <v>41</v>
      </c>
      <c r="B6" s="4" t="s">
        <v>42</v>
      </c>
    </row>
    <row r="7" spans="1:2" ht="40" customHeight="1">
      <c r="A7" s="6" t="s">
        <v>2</v>
      </c>
      <c r="B7" s="7" t="s">
        <v>43</v>
      </c>
    </row>
    <row r="8" spans="1:2" ht="40" customHeight="1">
      <c r="A8" s="3" t="s">
        <v>44</v>
      </c>
      <c r="B8" s="4" t="s">
        <v>45</v>
      </c>
    </row>
    <row r="9" spans="1:2" ht="25" customHeight="1">
      <c r="A9" s="6" t="s">
        <v>46</v>
      </c>
      <c r="B9" s="7" t="s">
        <v>47</v>
      </c>
    </row>
    <row r="10" spans="1:2" ht="25" customHeight="1">
      <c r="A10" s="3" t="s">
        <v>48</v>
      </c>
      <c r="B10" s="4" t="s">
        <v>49</v>
      </c>
    </row>
    <row r="11" spans="1:2" ht="25" customHeight="1">
      <c r="A11" s="6" t="s">
        <v>50</v>
      </c>
      <c r="B11" s="7" t="s">
        <v>51</v>
      </c>
    </row>
    <row r="12" spans="1:2" ht="25" customHeight="1">
      <c r="A12" s="3" t="s">
        <v>52</v>
      </c>
      <c r="B12" s="4" t="s">
        <v>53</v>
      </c>
    </row>
    <row r="13" spans="1:2" ht="40" customHeight="1">
      <c r="A13" s="6" t="s">
        <v>54</v>
      </c>
      <c r="B13" s="7" t="s">
        <v>55</v>
      </c>
    </row>
    <row r="14" spans="1:2" ht="25" customHeight="1">
      <c r="A14" s="3" t="s">
        <v>56</v>
      </c>
      <c r="B14" s="4" t="s">
        <v>57</v>
      </c>
    </row>
    <row r="15" spans="1:2" ht="25" customHeight="1">
      <c r="A15" s="6" t="s">
        <v>58</v>
      </c>
      <c r="B15" s="7" t="s">
        <v>59</v>
      </c>
    </row>
    <row r="16" spans="1:2" ht="25" customHeight="1">
      <c r="A16" s="3" t="s">
        <v>60</v>
      </c>
      <c r="B16" s="4" t="s">
        <v>61</v>
      </c>
    </row>
    <row r="17" spans="1:2" ht="25" customHeight="1">
      <c r="A17" s="6" t="s">
        <v>62</v>
      </c>
      <c r="B17" s="7" t="s">
        <v>63</v>
      </c>
    </row>
  </sheetData>
  <conditionalFormatting sqref="B3">
    <cfRule type="containsText" dxfId="0" priority="1" operator="containsText" text="Blocked">
      <formula>NOT(ISERROR(SEARCH("Blocked",B3)))</formula>
    </cfRule>
  </conditionalFormatting>
  <pageMargins left="0.3" right="0.3" top="0.4" bottom="0.4" header="0.3" footer="0.3"/>
  <pageSetup paperSize="9" scale="85" orientation="landscape"/>
  <headerFooter>
    <oddFooter>&amp;LSummary&amp;RPage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C5658"/>
  </sheetPr>
  <dimension ref="A1:C4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52.7109375" customWidth="1"/>
    <col min="3" max="3" width="25.7109375" customWidth="1"/>
  </cols>
  <sheetData>
    <row r="1" spans="1:3" ht="9" customHeight="1"/>
    <row r="2" spans="1:3" ht="42" customHeight="1">
      <c r="A2" s="1" t="s">
        <v>8</v>
      </c>
      <c r="B2" s="1"/>
      <c r="C2" s="1"/>
    </row>
    <row r="3" spans="1:3" ht="30" customHeight="1">
      <c r="A3" s="2" t="s">
        <v>64</v>
      </c>
      <c r="B3" s="2"/>
      <c r="C3" s="2"/>
    </row>
    <row r="4" spans="1:3" ht="34" customHeight="1">
      <c r="A4" s="5" t="s">
        <v>65</v>
      </c>
      <c r="B4" s="5" t="s">
        <v>66</v>
      </c>
      <c r="C4" s="5" t="s">
        <v>67</v>
      </c>
    </row>
    <row r="5" spans="1:3" ht="25" customHeight="1">
      <c r="A5" s="6" t="s">
        <v>68</v>
      </c>
      <c r="B5" s="7" t="s">
        <v>69</v>
      </c>
      <c r="C5" s="9">
        <v>2040</v>
      </c>
    </row>
    <row r="6" spans="1:3" ht="25" customHeight="1">
      <c r="A6" s="3" t="s">
        <v>68</v>
      </c>
      <c r="B6" s="4" t="s">
        <v>70</v>
      </c>
      <c r="C6" s="10">
        <v>100</v>
      </c>
    </row>
    <row r="7" spans="1:3" ht="25" customHeight="1">
      <c r="A7" s="6" t="s">
        <v>68</v>
      </c>
      <c r="B7" s="7" t="s">
        <v>71</v>
      </c>
      <c r="C7" s="9">
        <v>50</v>
      </c>
    </row>
    <row r="8" spans="1:3" ht="25" customHeight="1">
      <c r="A8" s="3" t="s">
        <v>68</v>
      </c>
      <c r="B8" s="4" t="s">
        <v>72</v>
      </c>
      <c r="C8" s="10">
        <v>0</v>
      </c>
    </row>
    <row r="9" spans="1:3" ht="25" customHeight="1">
      <c r="A9" s="6" t="s">
        <v>68</v>
      </c>
      <c r="B9" s="7" t="s">
        <v>73</v>
      </c>
      <c r="C9" s="9">
        <v>0</v>
      </c>
    </row>
    <row r="10" spans="1:3" ht="25" customHeight="1">
      <c r="A10" s="3" t="s">
        <v>68</v>
      </c>
      <c r="B10" s="4" t="s">
        <v>74</v>
      </c>
      <c r="C10" s="10">
        <v>0</v>
      </c>
    </row>
    <row r="11" spans="1:3" ht="25" customHeight="1">
      <c r="A11" s="6" t="s">
        <v>68</v>
      </c>
      <c r="B11" s="7" t="s">
        <v>75</v>
      </c>
      <c r="C11" s="9">
        <v>0</v>
      </c>
    </row>
    <row r="12" spans="1:3" ht="25" customHeight="1">
      <c r="A12" s="3" t="s">
        <v>68</v>
      </c>
      <c r="B12" s="4" t="s">
        <v>76</v>
      </c>
      <c r="C12" s="10">
        <v>0</v>
      </c>
    </row>
    <row r="13" spans="1:3" ht="25" customHeight="1">
      <c r="A13" s="6" t="s">
        <v>68</v>
      </c>
      <c r="B13" s="7" t="s">
        <v>77</v>
      </c>
      <c r="C13" s="9">
        <v>20.1015228426396</v>
      </c>
    </row>
    <row r="14" spans="1:3" ht="25" customHeight="1">
      <c r="A14" s="3" t="s">
        <v>78</v>
      </c>
      <c r="B14" s="4" t="s">
        <v>69</v>
      </c>
      <c r="C14" s="10">
        <v>2040</v>
      </c>
    </row>
    <row r="15" spans="1:3" ht="25" customHeight="1">
      <c r="A15" s="6" t="s">
        <v>78</v>
      </c>
      <c r="B15" s="7" t="s">
        <v>70</v>
      </c>
      <c r="C15" s="9">
        <v>100</v>
      </c>
    </row>
    <row r="16" spans="1:3" ht="25" customHeight="1">
      <c r="A16" s="3" t="s">
        <v>78</v>
      </c>
      <c r="B16" s="4" t="s">
        <v>71</v>
      </c>
      <c r="C16" s="10">
        <v>50</v>
      </c>
    </row>
    <row r="17" spans="1:3" ht="25" customHeight="1">
      <c r="A17" s="6" t="s">
        <v>78</v>
      </c>
      <c r="B17" s="7" t="s">
        <v>72</v>
      </c>
      <c r="C17" s="9">
        <v>0</v>
      </c>
    </row>
    <row r="18" spans="1:3" ht="25" customHeight="1">
      <c r="A18" s="3" t="s">
        <v>78</v>
      </c>
      <c r="B18" s="4" t="s">
        <v>73</v>
      </c>
      <c r="C18" s="10">
        <v>0</v>
      </c>
    </row>
    <row r="19" spans="1:3" ht="25" customHeight="1">
      <c r="A19" s="6" t="s">
        <v>78</v>
      </c>
      <c r="B19" s="7" t="s">
        <v>74</v>
      </c>
      <c r="C19" s="9">
        <v>0</v>
      </c>
    </row>
    <row r="20" spans="1:3" ht="25" customHeight="1">
      <c r="A20" s="3" t="s">
        <v>78</v>
      </c>
      <c r="B20" s="4" t="s">
        <v>75</v>
      </c>
      <c r="C20" s="10">
        <v>0</v>
      </c>
    </row>
    <row r="21" spans="1:3" ht="25" customHeight="1">
      <c r="A21" s="6" t="s">
        <v>78</v>
      </c>
      <c r="B21" s="7" t="s">
        <v>76</v>
      </c>
      <c r="C21" s="9">
        <v>0</v>
      </c>
    </row>
    <row r="22" spans="1:3" ht="25" customHeight="1">
      <c r="A22" s="3" t="s">
        <v>78</v>
      </c>
      <c r="B22" s="4" t="s">
        <v>77</v>
      </c>
      <c r="C22" s="10">
        <v>33.3502538071066</v>
      </c>
    </row>
    <row r="23" spans="1:3" ht="25" customHeight="1">
      <c r="A23" s="6" t="s">
        <v>79</v>
      </c>
      <c r="B23" s="7" t="s">
        <v>69</v>
      </c>
      <c r="C23" s="9">
        <v>1020</v>
      </c>
    </row>
    <row r="24" spans="1:3" ht="25" customHeight="1">
      <c r="A24" s="3" t="s">
        <v>79</v>
      </c>
      <c r="B24" s="4" t="s">
        <v>70</v>
      </c>
      <c r="C24" s="10">
        <v>100</v>
      </c>
    </row>
    <row r="25" spans="1:3" ht="25" customHeight="1">
      <c r="A25" s="6" t="s">
        <v>79</v>
      </c>
      <c r="B25" s="7" t="s">
        <v>71</v>
      </c>
      <c r="C25" s="9">
        <v>50</v>
      </c>
    </row>
    <row r="26" spans="1:3" ht="25" customHeight="1">
      <c r="A26" s="3" t="s">
        <v>79</v>
      </c>
      <c r="B26" s="4" t="s">
        <v>72</v>
      </c>
      <c r="C26" s="10">
        <v>0</v>
      </c>
    </row>
    <row r="27" spans="1:3" ht="25" customHeight="1">
      <c r="A27" s="6" t="s">
        <v>79</v>
      </c>
      <c r="B27" s="7" t="s">
        <v>73</v>
      </c>
      <c r="C27" s="9">
        <v>0</v>
      </c>
    </row>
    <row r="28" spans="1:3" ht="25" customHeight="1">
      <c r="A28" s="3" t="s">
        <v>79</v>
      </c>
      <c r="B28" s="4" t="s">
        <v>74</v>
      </c>
      <c r="C28" s="10">
        <v>0</v>
      </c>
    </row>
    <row r="29" spans="1:3" ht="25" customHeight="1">
      <c r="A29" s="6" t="s">
        <v>79</v>
      </c>
      <c r="B29" s="7" t="s">
        <v>75</v>
      </c>
      <c r="C29" s="9">
        <v>0</v>
      </c>
    </row>
    <row r="30" spans="1:3" ht="25" customHeight="1">
      <c r="A30" s="3" t="s">
        <v>79</v>
      </c>
      <c r="B30" s="4" t="s">
        <v>76</v>
      </c>
      <c r="C30" s="10">
        <v>0</v>
      </c>
    </row>
    <row r="31" spans="1:3" ht="25" customHeight="1">
      <c r="A31" s="6" t="s">
        <v>79</v>
      </c>
      <c r="B31" s="7" t="s">
        <v>77</v>
      </c>
      <c r="C31" s="9">
        <v>4.568527918781726</v>
      </c>
    </row>
    <row r="32" spans="1:3" ht="25" customHeight="1">
      <c r="A32" s="11" t="s">
        <v>68</v>
      </c>
      <c r="B32" s="12" t="s">
        <v>80</v>
      </c>
      <c r="C32" s="13">
        <v>2210.101522842639</v>
      </c>
    </row>
    <row r="33" spans="1:3" ht="25" customHeight="1">
      <c r="A33" s="6" t="s">
        <v>68</v>
      </c>
      <c r="B33" s="7" t="s">
        <v>81</v>
      </c>
      <c r="C33" s="9">
        <v>870</v>
      </c>
    </row>
    <row r="34" spans="1:3" ht="25" customHeight="1">
      <c r="A34" s="3" t="s">
        <v>68</v>
      </c>
      <c r="B34" s="4" t="s">
        <v>82</v>
      </c>
      <c r="C34" s="10">
        <v>1340.10152284264</v>
      </c>
    </row>
    <row r="35" spans="1:3" ht="25" customHeight="1">
      <c r="A35" s="6" t="s">
        <v>68</v>
      </c>
      <c r="B35" s="7" t="s">
        <v>83</v>
      </c>
      <c r="C35" s="9">
        <v>0</v>
      </c>
    </row>
    <row r="36" spans="1:3" ht="25" customHeight="1">
      <c r="A36" s="3" t="s">
        <v>68</v>
      </c>
      <c r="B36" s="4" t="s">
        <v>84</v>
      </c>
      <c r="C36" s="10">
        <v>0</v>
      </c>
    </row>
    <row r="37" spans="1:3" ht="25" customHeight="1">
      <c r="A37" s="14" t="s">
        <v>78</v>
      </c>
      <c r="B37" s="15" t="s">
        <v>80</v>
      </c>
      <c r="C37" s="16">
        <v>2223.350253807107</v>
      </c>
    </row>
    <row r="38" spans="1:3" ht="25" customHeight="1">
      <c r="A38" s="3" t="s">
        <v>78</v>
      </c>
      <c r="B38" s="4" t="s">
        <v>81</v>
      </c>
      <c r="C38" s="10">
        <v>0</v>
      </c>
    </row>
    <row r="39" spans="1:3" ht="25" customHeight="1">
      <c r="A39" s="6" t="s">
        <v>78</v>
      </c>
      <c r="B39" s="7" t="s">
        <v>82</v>
      </c>
      <c r="C39" s="9">
        <v>2223.350253807107</v>
      </c>
    </row>
    <row r="40" spans="1:3" ht="25" customHeight="1">
      <c r="A40" s="3" t="s">
        <v>78</v>
      </c>
      <c r="B40" s="4" t="s">
        <v>83</v>
      </c>
      <c r="C40" s="10">
        <v>0</v>
      </c>
    </row>
    <row r="41" spans="1:3" ht="25" customHeight="1">
      <c r="A41" s="6" t="s">
        <v>78</v>
      </c>
      <c r="B41" s="7" t="s">
        <v>84</v>
      </c>
      <c r="C41" s="9">
        <v>0</v>
      </c>
    </row>
    <row r="42" spans="1:3" ht="25" customHeight="1">
      <c r="A42" s="11" t="s">
        <v>79</v>
      </c>
      <c r="B42" s="12" t="s">
        <v>80</v>
      </c>
      <c r="C42" s="13">
        <v>1174.568527918782</v>
      </c>
    </row>
    <row r="43" spans="1:3" ht="25" customHeight="1">
      <c r="A43" s="6" t="s">
        <v>79</v>
      </c>
      <c r="B43" s="7" t="s">
        <v>81</v>
      </c>
      <c r="C43" s="9">
        <v>870</v>
      </c>
    </row>
    <row r="44" spans="1:3" ht="25" customHeight="1">
      <c r="A44" s="3" t="s">
        <v>79</v>
      </c>
      <c r="B44" s="4" t="s">
        <v>82</v>
      </c>
      <c r="C44" s="10">
        <v>304.5685279187817</v>
      </c>
    </row>
    <row r="45" spans="1:3" ht="25" customHeight="1">
      <c r="A45" s="6" t="s">
        <v>79</v>
      </c>
      <c r="B45" s="7" t="s">
        <v>83</v>
      </c>
      <c r="C45" s="9">
        <v>0</v>
      </c>
    </row>
    <row r="46" spans="1:3" ht="25" customHeight="1">
      <c r="A46" s="3" t="s">
        <v>79</v>
      </c>
      <c r="B46" s="4" t="s">
        <v>84</v>
      </c>
      <c r="C46" s="10">
        <v>0</v>
      </c>
    </row>
  </sheetData>
  <autoFilter ref="A4:C46"/>
  <mergeCells count="2">
    <mergeCell ref="A2:C2"/>
    <mergeCell ref="A3:C3"/>
  </mergeCells>
  <pageMargins left="0.3" right="0.3" top="0.4" bottom="0.4" header="0.3" footer="0.3"/>
  <pageSetup paperSize="9" scale="85" orientation="landscape"/>
  <headerFooter>
    <oddFooter>&amp;LItemised funding&amp;RPage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C5658"/>
  </sheetPr>
  <dimension ref="A1:F1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2.7109375" customWidth="1"/>
    <col min="2" max="2" width="30.7109375" customWidth="1"/>
    <col min="3" max="3" width="28.7109375" customWidth="1"/>
    <col min="4" max="4" width="24.7109375" customWidth="1"/>
    <col min="5" max="5" width="25.7109375" customWidth="1"/>
    <col min="6" max="6" width="65.7109375" customWidth="1"/>
  </cols>
  <sheetData>
    <row r="1" spans="1:6" ht="9" customHeight="1"/>
    <row r="2" spans="1:6" ht="42" customHeight="1">
      <c r="A2" s="1" t="s">
        <v>10</v>
      </c>
      <c r="B2" s="1"/>
      <c r="C2" s="1"/>
      <c r="D2" s="1"/>
      <c r="E2" s="1"/>
      <c r="F2" s="1"/>
    </row>
    <row r="3" spans="1:6" ht="30" customHeight="1">
      <c r="A3" s="2" t="s">
        <v>64</v>
      </c>
      <c r="B3" s="2"/>
      <c r="C3" s="2"/>
      <c r="D3" s="2"/>
      <c r="E3" s="2"/>
      <c r="F3" s="2"/>
    </row>
    <row r="4" spans="1:6" ht="34" customHeight="1">
      <c r="A4" s="5" t="s">
        <v>85</v>
      </c>
      <c r="B4" s="5" t="s">
        <v>65</v>
      </c>
      <c r="C4" s="5" t="s">
        <v>86</v>
      </c>
      <c r="D4" s="5" t="s">
        <v>87</v>
      </c>
      <c r="E4" s="5" t="s">
        <v>88</v>
      </c>
      <c r="F4" s="5" t="s">
        <v>89</v>
      </c>
    </row>
    <row r="5" spans="1:6" ht="25" customHeight="1">
      <c r="A5" s="6" t="s">
        <v>63</v>
      </c>
      <c r="B5" s="7" t="s">
        <v>68</v>
      </c>
      <c r="C5" s="9">
        <v>948</v>
      </c>
      <c r="D5" s="9">
        <v>222</v>
      </c>
      <c r="E5" s="7" t="s">
        <v>90</v>
      </c>
      <c r="F5" s="7" t="s">
        <v>91</v>
      </c>
    </row>
    <row r="6" spans="1:6" ht="25" customHeight="1">
      <c r="A6" s="3" t="s">
        <v>63</v>
      </c>
      <c r="B6" s="4" t="s">
        <v>78</v>
      </c>
      <c r="C6" s="10">
        <v>1764</v>
      </c>
      <c r="D6" s="10">
        <v>276</v>
      </c>
      <c r="E6" s="4" t="s">
        <v>90</v>
      </c>
      <c r="F6" s="4" t="s">
        <v>91</v>
      </c>
    </row>
    <row r="7" spans="1:6" ht="25" customHeight="1">
      <c r="A7" s="6" t="s">
        <v>63</v>
      </c>
      <c r="B7" s="7" t="s">
        <v>79</v>
      </c>
      <c r="C7" s="9">
        <v>150</v>
      </c>
      <c r="D7" s="9">
        <v>0</v>
      </c>
      <c r="E7" s="7" t="s">
        <v>90</v>
      </c>
      <c r="F7" s="7" t="s">
        <v>92</v>
      </c>
    </row>
    <row r="8" spans="1:6" ht="25" customHeight="1">
      <c r="A8" s="3" t="s">
        <v>21</v>
      </c>
      <c r="B8" s="4" t="s">
        <v>68</v>
      </c>
      <c r="C8" s="10">
        <v>928</v>
      </c>
      <c r="D8" s="10">
        <v>242</v>
      </c>
      <c r="E8" s="4" t="s">
        <v>90</v>
      </c>
      <c r="F8" s="4" t="s">
        <v>93</v>
      </c>
    </row>
    <row r="9" spans="1:6" ht="25" customHeight="1">
      <c r="A9" s="6" t="s">
        <v>21</v>
      </c>
      <c r="B9" s="7" t="s">
        <v>78</v>
      </c>
      <c r="C9" s="9">
        <v>1774</v>
      </c>
      <c r="D9" s="9">
        <v>266</v>
      </c>
      <c r="E9" s="7" t="s">
        <v>90</v>
      </c>
      <c r="F9" s="7" t="s">
        <v>93</v>
      </c>
    </row>
    <row r="10" spans="1:6" ht="25" customHeight="1">
      <c r="A10" s="3" t="s">
        <v>21</v>
      </c>
      <c r="B10" s="4" t="s">
        <v>79</v>
      </c>
      <c r="C10" s="10">
        <v>150</v>
      </c>
      <c r="D10" s="10">
        <v>0</v>
      </c>
      <c r="E10" s="4" t="s">
        <v>90</v>
      </c>
      <c r="F10" s="4" t="s">
        <v>92</v>
      </c>
    </row>
  </sheetData>
  <autoFilter ref="A4:F10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&amp;LTiming and capacity&amp;RPage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C5658"/>
  </sheetPr>
  <dimension ref="A1:F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1" spans="1:6" ht="9" customHeight="1"/>
    <row r="2" spans="1:6" ht="42" customHeight="1">
      <c r="A2" s="1" t="s">
        <v>11</v>
      </c>
      <c r="B2" s="1"/>
      <c r="C2" s="1"/>
      <c r="D2" s="1"/>
      <c r="E2" s="1"/>
      <c r="F2" s="1"/>
    </row>
    <row r="3" spans="1:6" ht="30" customHeight="1">
      <c r="A3" s="2" t="s">
        <v>64</v>
      </c>
      <c r="B3" s="2"/>
      <c r="C3" s="2"/>
      <c r="D3" s="2"/>
      <c r="E3" s="2"/>
      <c r="F3" s="2"/>
    </row>
    <row r="4" spans="1:6" ht="34" customHeight="1">
      <c r="A4" s="5" t="s">
        <v>65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85</v>
      </c>
    </row>
    <row r="5" spans="1:6" ht="25" customHeight="1">
      <c r="A5" s="6" t="s">
        <v>68</v>
      </c>
      <c r="B5" s="7" t="s">
        <v>98</v>
      </c>
      <c r="C5" s="9">
        <v>0</v>
      </c>
      <c r="D5" s="9">
        <v>2.273736754432321E-13</v>
      </c>
      <c r="E5" s="9">
        <v>0</v>
      </c>
      <c r="F5" s="7" t="s">
        <v>63</v>
      </c>
    </row>
    <row r="6" spans="1:6" ht="25" customHeight="1">
      <c r="A6" s="3" t="s">
        <v>68</v>
      </c>
      <c r="B6" s="4" t="s">
        <v>99</v>
      </c>
      <c r="C6" s="10">
        <v>0</v>
      </c>
      <c r="D6" s="10">
        <v>2.273736754432321E-13</v>
      </c>
      <c r="E6" s="10">
        <v>-2.273736754432321E-13</v>
      </c>
      <c r="F6" s="4" t="s">
        <v>63</v>
      </c>
    </row>
    <row r="7" spans="1:6" ht="25" customHeight="1">
      <c r="A7" s="6" t="s">
        <v>68</v>
      </c>
      <c r="B7" s="7" t="s">
        <v>100</v>
      </c>
      <c r="C7" s="9">
        <v>0</v>
      </c>
      <c r="D7" s="9">
        <v>-4.547473508864641E-13</v>
      </c>
      <c r="E7" s="9">
        <v>0</v>
      </c>
      <c r="F7" s="7" t="s">
        <v>63</v>
      </c>
    </row>
    <row r="8" spans="1:6" ht="25" customHeight="1">
      <c r="A8" s="3" t="s">
        <v>68</v>
      </c>
      <c r="B8" s="4" t="s">
        <v>101</v>
      </c>
      <c r="C8" s="10">
        <v>0</v>
      </c>
      <c r="D8" s="10">
        <v>2.273736754432321E-13</v>
      </c>
      <c r="E8" s="10">
        <v>0</v>
      </c>
      <c r="F8" s="4" t="s">
        <v>63</v>
      </c>
    </row>
    <row r="9" spans="1:6" ht="25" customHeight="1">
      <c r="A9" s="6" t="s">
        <v>68</v>
      </c>
      <c r="B9" s="7" t="s">
        <v>102</v>
      </c>
      <c r="C9" s="9">
        <v>0</v>
      </c>
      <c r="D9" s="9">
        <v>0</v>
      </c>
      <c r="E9" s="9">
        <v>0</v>
      </c>
      <c r="F9" s="7" t="s">
        <v>63</v>
      </c>
    </row>
    <row r="10" spans="1:6" ht="25" customHeight="1">
      <c r="A10" s="3" t="s">
        <v>78</v>
      </c>
      <c r="B10" s="4" t="s">
        <v>98</v>
      </c>
      <c r="C10" s="10">
        <v>0</v>
      </c>
      <c r="D10" s="10">
        <v>0</v>
      </c>
      <c r="E10" s="10">
        <v>0</v>
      </c>
      <c r="F10" s="4" t="s">
        <v>63</v>
      </c>
    </row>
    <row r="11" spans="1:6" ht="25" customHeight="1">
      <c r="A11" s="6" t="s">
        <v>78</v>
      </c>
      <c r="B11" s="7" t="s">
        <v>99</v>
      </c>
      <c r="C11" s="9">
        <v>0</v>
      </c>
      <c r="D11" s="9">
        <v>0</v>
      </c>
      <c r="E11" s="9">
        <v>-4.547473508864641E-13</v>
      </c>
      <c r="F11" s="7" t="s">
        <v>63</v>
      </c>
    </row>
    <row r="12" spans="1:6" ht="25" customHeight="1">
      <c r="A12" s="3" t="s">
        <v>78</v>
      </c>
      <c r="B12" s="4" t="s">
        <v>100</v>
      </c>
      <c r="C12" s="10">
        <v>0</v>
      </c>
      <c r="D12" s="10">
        <v>2.273736754432321E-13</v>
      </c>
      <c r="E12" s="10">
        <v>0</v>
      </c>
      <c r="F12" s="4" t="s">
        <v>63</v>
      </c>
    </row>
    <row r="13" spans="1:6" ht="25" customHeight="1">
      <c r="A13" s="6" t="s">
        <v>78</v>
      </c>
      <c r="B13" s="7" t="s">
        <v>101</v>
      </c>
      <c r="C13" s="9">
        <v>0</v>
      </c>
      <c r="D13" s="9">
        <v>-4.547473508864641E-13</v>
      </c>
      <c r="E13" s="9">
        <v>0</v>
      </c>
      <c r="F13" s="7" t="s">
        <v>63</v>
      </c>
    </row>
    <row r="14" spans="1:6" ht="25" customHeight="1">
      <c r="A14" s="3" t="s">
        <v>78</v>
      </c>
      <c r="B14" s="4" t="s">
        <v>102</v>
      </c>
      <c r="C14" s="10">
        <v>0</v>
      </c>
      <c r="D14" s="10">
        <v>0</v>
      </c>
      <c r="E14" s="10">
        <v>0</v>
      </c>
      <c r="F14" s="4" t="s">
        <v>63</v>
      </c>
    </row>
    <row r="15" spans="1:6" ht="25" customHeight="1">
      <c r="A15" s="6" t="s">
        <v>79</v>
      </c>
      <c r="B15" s="7" t="s">
        <v>98</v>
      </c>
      <c r="C15" s="9">
        <v>0</v>
      </c>
      <c r="D15" s="9">
        <v>0</v>
      </c>
      <c r="E15" s="9">
        <v>2.273736754432321E-13</v>
      </c>
      <c r="F15" s="7" t="s">
        <v>63</v>
      </c>
    </row>
    <row r="16" spans="1:6" ht="25" customHeight="1">
      <c r="A16" s="3" t="s">
        <v>79</v>
      </c>
      <c r="B16" s="4" t="s">
        <v>99</v>
      </c>
      <c r="C16" s="10">
        <v>0</v>
      </c>
      <c r="D16" s="10">
        <v>0</v>
      </c>
      <c r="E16" s="10">
        <v>0</v>
      </c>
      <c r="F16" s="4" t="s">
        <v>63</v>
      </c>
    </row>
    <row r="17" spans="1:6" ht="25" customHeight="1">
      <c r="A17" s="6" t="s">
        <v>79</v>
      </c>
      <c r="B17" s="7" t="s">
        <v>100</v>
      </c>
      <c r="C17" s="9">
        <v>0</v>
      </c>
      <c r="D17" s="9">
        <v>-2.273736754432321E-13</v>
      </c>
      <c r="E17" s="9">
        <v>0</v>
      </c>
      <c r="F17" s="7" t="s">
        <v>63</v>
      </c>
    </row>
    <row r="18" spans="1:6" ht="25" customHeight="1">
      <c r="A18" s="3" t="s">
        <v>79</v>
      </c>
      <c r="B18" s="4" t="s">
        <v>101</v>
      </c>
      <c r="C18" s="10">
        <v>0</v>
      </c>
      <c r="D18" s="10">
        <v>-2.273736754432321E-13</v>
      </c>
      <c r="E18" s="10">
        <v>0</v>
      </c>
      <c r="F18" s="4" t="s">
        <v>63</v>
      </c>
    </row>
    <row r="19" spans="1:6" ht="25" customHeight="1">
      <c r="A19" s="6" t="s">
        <v>79</v>
      </c>
      <c r="B19" s="7" t="s">
        <v>102</v>
      </c>
      <c r="C19" s="9">
        <v>0</v>
      </c>
      <c r="D19" s="9">
        <v>2.273736754432321E-13</v>
      </c>
      <c r="E19" s="9">
        <v>0</v>
      </c>
      <c r="F19" s="7" t="s">
        <v>63</v>
      </c>
    </row>
  </sheetData>
  <autoFilter ref="A4:F19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&amp;LModel checks&amp;RPage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C5658"/>
  </sheetPr>
  <dimension ref="A1:F3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6" width="23.7109375" customWidth="1"/>
  </cols>
  <sheetData>
    <row r="1" spans="1:6" ht="9" customHeight="1"/>
    <row r="2" spans="1:6" ht="42" customHeight="1">
      <c r="A2" s="1" t="s">
        <v>12</v>
      </c>
      <c r="B2" s="1"/>
      <c r="C2" s="1"/>
      <c r="D2" s="1"/>
      <c r="E2" s="1"/>
      <c r="F2" s="1"/>
    </row>
    <row r="3" spans="1:6" ht="30" customHeight="1">
      <c r="A3" s="2" t="s">
        <v>64</v>
      </c>
      <c r="B3" s="2"/>
      <c r="C3" s="2"/>
      <c r="D3" s="2"/>
      <c r="E3" s="2"/>
      <c r="F3" s="2"/>
    </row>
    <row r="4" spans="1:6" ht="34" customHeight="1">
      <c r="A4" s="5" t="s">
        <v>65</v>
      </c>
      <c r="B4" s="5" t="s">
        <v>103</v>
      </c>
      <c r="C4" s="5" t="s">
        <v>104</v>
      </c>
      <c r="D4" s="5" t="s">
        <v>105</v>
      </c>
      <c r="E4" s="5" t="s">
        <v>106</v>
      </c>
      <c r="F4" s="5" t="s">
        <v>107</v>
      </c>
    </row>
    <row r="5" spans="1:6" ht="40" customHeight="1">
      <c r="A5" s="6" t="s">
        <v>68</v>
      </c>
      <c r="B5" s="9">
        <v>0</v>
      </c>
      <c r="C5" s="9">
        <v>0</v>
      </c>
      <c r="D5" s="9">
        <v>-277.6974293343554</v>
      </c>
      <c r="E5" s="7" t="b">
        <v>0</v>
      </c>
      <c r="F5" s="7" t="s">
        <v>91</v>
      </c>
    </row>
    <row r="6" spans="1:6" ht="40" customHeight="1">
      <c r="A6" s="3" t="s">
        <v>68</v>
      </c>
      <c r="B6" s="10">
        <v>0</v>
      </c>
      <c r="C6" s="10">
        <v>100</v>
      </c>
      <c r="D6" s="10">
        <v>-315.687288901673</v>
      </c>
      <c r="E6" s="4" t="b">
        <v>0</v>
      </c>
      <c r="F6" s="4" t="s">
        <v>91</v>
      </c>
    </row>
    <row r="7" spans="1:6" ht="40" customHeight="1">
      <c r="A7" s="6" t="s">
        <v>68</v>
      </c>
      <c r="B7" s="9">
        <v>0</v>
      </c>
      <c r="C7" s="9">
        <v>200</v>
      </c>
      <c r="D7" s="9">
        <v>-355.0063459413758</v>
      </c>
      <c r="E7" s="7" t="b">
        <v>0</v>
      </c>
      <c r="F7" s="7" t="s">
        <v>91</v>
      </c>
    </row>
    <row r="8" spans="1:6" ht="40" customHeight="1">
      <c r="A8" s="3" t="s">
        <v>68</v>
      </c>
      <c r="B8" s="10">
        <v>-100</v>
      </c>
      <c r="C8" s="10">
        <v>0</v>
      </c>
      <c r="D8" s="10">
        <v>-750</v>
      </c>
      <c r="E8" s="4" t="b">
        <v>0</v>
      </c>
      <c r="F8" s="4" t="s">
        <v>91</v>
      </c>
    </row>
    <row r="9" spans="1:6" ht="40" customHeight="1">
      <c r="A9" s="6" t="s">
        <v>68</v>
      </c>
      <c r="B9" s="9">
        <v>-100</v>
      </c>
      <c r="C9" s="9">
        <v>100</v>
      </c>
      <c r="D9" s="9">
        <v>-750</v>
      </c>
      <c r="E9" s="7" t="b">
        <v>0</v>
      </c>
      <c r="F9" s="7" t="s">
        <v>91</v>
      </c>
    </row>
    <row r="10" spans="1:6" ht="40" customHeight="1">
      <c r="A10" s="3" t="s">
        <v>68</v>
      </c>
      <c r="B10" s="10">
        <v>-100</v>
      </c>
      <c r="C10" s="10">
        <v>200</v>
      </c>
      <c r="D10" s="10">
        <v>-750</v>
      </c>
      <c r="E10" s="4" t="b">
        <v>0</v>
      </c>
      <c r="F10" s="4" t="s">
        <v>91</v>
      </c>
    </row>
    <row r="11" spans="1:6" ht="40" customHeight="1">
      <c r="A11" s="6" t="s">
        <v>68</v>
      </c>
      <c r="B11" s="9">
        <v>-200</v>
      </c>
      <c r="C11" s="9">
        <v>0</v>
      </c>
      <c r="D11" s="9">
        <v>-750</v>
      </c>
      <c r="E11" s="7" t="b">
        <v>0</v>
      </c>
      <c r="F11" s="7" t="s">
        <v>108</v>
      </c>
    </row>
    <row r="12" spans="1:6" ht="40" customHeight="1">
      <c r="A12" s="3" t="s">
        <v>68</v>
      </c>
      <c r="B12" s="10">
        <v>-200</v>
      </c>
      <c r="C12" s="10">
        <v>100</v>
      </c>
      <c r="D12" s="10">
        <v>-750</v>
      </c>
      <c r="E12" s="4" t="b">
        <v>0</v>
      </c>
      <c r="F12" s="4" t="s">
        <v>108</v>
      </c>
    </row>
    <row r="13" spans="1:6" ht="40" customHeight="1">
      <c r="A13" s="6" t="s">
        <v>68</v>
      </c>
      <c r="B13" s="9">
        <v>-200</v>
      </c>
      <c r="C13" s="9">
        <v>200</v>
      </c>
      <c r="D13" s="9">
        <v>-750</v>
      </c>
      <c r="E13" s="7" t="b">
        <v>0</v>
      </c>
      <c r="F13" s="7" t="s">
        <v>108</v>
      </c>
    </row>
    <row r="14" spans="1:6" ht="40" customHeight="1">
      <c r="A14" s="3" t="s">
        <v>78</v>
      </c>
      <c r="B14" s="10">
        <v>0</v>
      </c>
      <c r="C14" s="10">
        <v>0</v>
      </c>
      <c r="D14" s="10">
        <v>-344.9268616049471</v>
      </c>
      <c r="E14" s="4" t="b">
        <v>0</v>
      </c>
      <c r="F14" s="4" t="s">
        <v>91</v>
      </c>
    </row>
    <row r="15" spans="1:6" ht="40" customHeight="1">
      <c r="A15" s="6" t="s">
        <v>78</v>
      </c>
      <c r="B15" s="9">
        <v>0</v>
      </c>
      <c r="C15" s="9">
        <v>100</v>
      </c>
      <c r="D15" s="9">
        <v>-393.009580266264</v>
      </c>
      <c r="E15" s="7" t="b">
        <v>0</v>
      </c>
      <c r="F15" s="7" t="s">
        <v>91</v>
      </c>
    </row>
    <row r="16" spans="1:6" ht="40" customHeight="1">
      <c r="A16" s="3" t="s">
        <v>78</v>
      </c>
      <c r="B16" s="10">
        <v>0</v>
      </c>
      <c r="C16" s="10">
        <v>200</v>
      </c>
      <c r="D16" s="10">
        <v>-442.9323876798612</v>
      </c>
      <c r="E16" s="4" t="b">
        <v>0</v>
      </c>
      <c r="F16" s="4" t="s">
        <v>91</v>
      </c>
    </row>
    <row r="17" spans="1:6" ht="40" customHeight="1">
      <c r="A17" s="6" t="s">
        <v>78</v>
      </c>
      <c r="B17" s="9">
        <v>-100</v>
      </c>
      <c r="C17" s="9">
        <v>0</v>
      </c>
      <c r="D17" s="9">
        <v>-750</v>
      </c>
      <c r="E17" s="7" t="b">
        <v>0</v>
      </c>
      <c r="F17" s="7" t="s">
        <v>91</v>
      </c>
    </row>
    <row r="18" spans="1:6" ht="40" customHeight="1">
      <c r="A18" s="3" t="s">
        <v>78</v>
      </c>
      <c r="B18" s="10">
        <v>-100</v>
      </c>
      <c r="C18" s="10">
        <v>100</v>
      </c>
      <c r="D18" s="10">
        <v>-750</v>
      </c>
      <c r="E18" s="4" t="b">
        <v>0</v>
      </c>
      <c r="F18" s="4" t="s">
        <v>91</v>
      </c>
    </row>
    <row r="19" spans="1:6" ht="40" customHeight="1">
      <c r="A19" s="6" t="s">
        <v>78</v>
      </c>
      <c r="B19" s="9">
        <v>-100</v>
      </c>
      <c r="C19" s="9">
        <v>200</v>
      </c>
      <c r="D19" s="9">
        <v>-750</v>
      </c>
      <c r="E19" s="7" t="b">
        <v>0</v>
      </c>
      <c r="F19" s="7" t="s">
        <v>108</v>
      </c>
    </row>
    <row r="20" spans="1:6" ht="40" customHeight="1">
      <c r="A20" s="3" t="s">
        <v>78</v>
      </c>
      <c r="B20" s="10">
        <v>-200</v>
      </c>
      <c r="C20" s="10">
        <v>0</v>
      </c>
      <c r="D20" s="10">
        <v>-750</v>
      </c>
      <c r="E20" s="4" t="b">
        <v>0</v>
      </c>
      <c r="F20" s="4" t="s">
        <v>108</v>
      </c>
    </row>
    <row r="21" spans="1:6" ht="40" customHeight="1">
      <c r="A21" s="6" t="s">
        <v>78</v>
      </c>
      <c r="B21" s="9">
        <v>-200</v>
      </c>
      <c r="C21" s="9">
        <v>100</v>
      </c>
      <c r="D21" s="9">
        <v>-750</v>
      </c>
      <c r="E21" s="7" t="b">
        <v>0</v>
      </c>
      <c r="F21" s="7" t="s">
        <v>108</v>
      </c>
    </row>
    <row r="22" spans="1:6" ht="40" customHeight="1">
      <c r="A22" s="3" t="s">
        <v>78</v>
      </c>
      <c r="B22" s="10">
        <v>-200</v>
      </c>
      <c r="C22" s="10">
        <v>200</v>
      </c>
      <c r="D22" s="10">
        <v>-750</v>
      </c>
      <c r="E22" s="4" t="b">
        <v>0</v>
      </c>
      <c r="F22" s="4" t="s">
        <v>108</v>
      </c>
    </row>
    <row r="23" spans="1:6" ht="40" customHeight="1">
      <c r="A23" s="6" t="s">
        <v>79</v>
      </c>
      <c r="B23" s="9">
        <v>0</v>
      </c>
      <c r="C23" s="9">
        <v>0</v>
      </c>
      <c r="D23" s="9">
        <v>0</v>
      </c>
      <c r="E23" s="7" t="b">
        <v>1</v>
      </c>
      <c r="F23" s="7" t="s">
        <v>92</v>
      </c>
    </row>
    <row r="24" spans="1:6" ht="40" customHeight="1">
      <c r="A24" s="3" t="s">
        <v>79</v>
      </c>
      <c r="B24" s="10">
        <v>0</v>
      </c>
      <c r="C24" s="10">
        <v>100</v>
      </c>
      <c r="D24" s="10">
        <v>0</v>
      </c>
      <c r="E24" s="4" t="b">
        <v>1</v>
      </c>
      <c r="F24" s="4" t="s">
        <v>92</v>
      </c>
    </row>
    <row r="25" spans="1:6" ht="40" customHeight="1">
      <c r="A25" s="6" t="s">
        <v>79</v>
      </c>
      <c r="B25" s="9">
        <v>0</v>
      </c>
      <c r="C25" s="9">
        <v>200</v>
      </c>
      <c r="D25" s="9">
        <v>0</v>
      </c>
      <c r="E25" s="7" t="b">
        <v>1</v>
      </c>
      <c r="F25" s="7" t="s">
        <v>92</v>
      </c>
    </row>
    <row r="26" spans="1:6" ht="40" customHeight="1">
      <c r="A26" s="3" t="s">
        <v>79</v>
      </c>
      <c r="B26" s="10">
        <v>-100</v>
      </c>
      <c r="C26" s="10">
        <v>0</v>
      </c>
      <c r="D26" s="10">
        <v>0</v>
      </c>
      <c r="E26" s="4" t="b">
        <v>1</v>
      </c>
      <c r="F26" s="4" t="s">
        <v>92</v>
      </c>
    </row>
    <row r="27" spans="1:6" ht="40" customHeight="1">
      <c r="A27" s="6" t="s">
        <v>79</v>
      </c>
      <c r="B27" s="9">
        <v>-100</v>
      </c>
      <c r="C27" s="9">
        <v>100</v>
      </c>
      <c r="D27" s="9">
        <v>0</v>
      </c>
      <c r="E27" s="7" t="b">
        <v>1</v>
      </c>
      <c r="F27" s="7" t="s">
        <v>92</v>
      </c>
    </row>
    <row r="28" spans="1:6" ht="40" customHeight="1">
      <c r="A28" s="3" t="s">
        <v>79</v>
      </c>
      <c r="B28" s="10">
        <v>-100</v>
      </c>
      <c r="C28" s="10">
        <v>200</v>
      </c>
      <c r="D28" s="10">
        <v>0</v>
      </c>
      <c r="E28" s="4" t="b">
        <v>1</v>
      </c>
      <c r="F28" s="4" t="s">
        <v>92</v>
      </c>
    </row>
    <row r="29" spans="1:6" ht="40" customHeight="1">
      <c r="A29" s="6" t="s">
        <v>79</v>
      </c>
      <c r="B29" s="9">
        <v>-200</v>
      </c>
      <c r="C29" s="9">
        <v>0</v>
      </c>
      <c r="D29" s="9">
        <v>-465.7560696484679</v>
      </c>
      <c r="E29" s="7" t="b">
        <v>0</v>
      </c>
      <c r="F29" s="7" t="s">
        <v>108</v>
      </c>
    </row>
    <row r="30" spans="1:6" ht="40" customHeight="1">
      <c r="A30" s="3" t="s">
        <v>79</v>
      </c>
      <c r="B30" s="10">
        <v>-200</v>
      </c>
      <c r="C30" s="10">
        <v>100</v>
      </c>
      <c r="D30" s="10">
        <v>-478.3472224889421</v>
      </c>
      <c r="E30" s="4" t="b">
        <v>0</v>
      </c>
      <c r="F30" s="4" t="s">
        <v>108</v>
      </c>
    </row>
    <row r="31" spans="1:6" ht="40" customHeight="1">
      <c r="A31" s="6" t="s">
        <v>79</v>
      </c>
      <c r="B31" s="9">
        <v>-200</v>
      </c>
      <c r="C31" s="9">
        <v>200</v>
      </c>
      <c r="D31" s="9">
        <v>-491.190845390464</v>
      </c>
      <c r="E31" s="7" t="b">
        <v>0</v>
      </c>
      <c r="F31" s="7" t="s">
        <v>108</v>
      </c>
    </row>
  </sheetData>
  <autoFilter ref="A4:F31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&amp;LJoint credit stress&amp;RPage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3C5658"/>
  </sheetPr>
  <dimension ref="A1:B1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23.7109375" customWidth="1"/>
  </cols>
  <sheetData>
    <row r="1" spans="1:2" ht="9" customHeight="1"/>
    <row r="2" spans="1:2" ht="42" customHeight="1">
      <c r="A2" s="1" t="s">
        <v>13</v>
      </c>
      <c r="B2" s="1"/>
    </row>
    <row r="3" spans="1:2" ht="38" customHeight="1">
      <c r="A3" s="2" t="s">
        <v>109</v>
      </c>
      <c r="B3" s="2"/>
    </row>
    <row r="4" spans="1:2" ht="34" customHeight="1">
      <c r="A4" s="5" t="s">
        <v>110</v>
      </c>
      <c r="B4" s="5" t="s">
        <v>111</v>
      </c>
    </row>
    <row r="5" spans="1:2" ht="85" customHeight="1">
      <c r="A5" s="6" t="s">
        <v>112</v>
      </c>
      <c r="B5" s="7" t="s">
        <v>113</v>
      </c>
    </row>
    <row r="6" spans="1:2" ht="25" customHeight="1">
      <c r="A6" s="3" t="s">
        <v>114</v>
      </c>
      <c r="B6" s="10">
        <v>100000000</v>
      </c>
    </row>
    <row r="7" spans="1:2" ht="25" customHeight="1">
      <c r="A7" s="6" t="s">
        <v>115</v>
      </c>
      <c r="B7" s="9">
        <v>99.99999999999999</v>
      </c>
    </row>
    <row r="8" spans="1:2" ht="25" customHeight="1">
      <c r="A8" s="3" t="s">
        <v>116</v>
      </c>
      <c r="B8" s="10">
        <v>4.265101418387915</v>
      </c>
    </row>
    <row r="9" spans="1:2" ht="25" customHeight="1">
      <c r="A9" s="6" t="s">
        <v>117</v>
      </c>
      <c r="B9" s="9">
        <v>21.76650117980345</v>
      </c>
    </row>
    <row r="10" spans="1:2" ht="25" customHeight="1">
      <c r="A10" s="3" t="s">
        <v>118</v>
      </c>
      <c r="B10" s="10">
        <v>42651.01418387914</v>
      </c>
    </row>
    <row r="11" spans="1:2" ht="25" customHeight="1">
      <c r="A11" s="6" t="s">
        <v>119</v>
      </c>
      <c r="B11" s="9">
        <v>42651.01418387914</v>
      </c>
    </row>
    <row r="12" spans="1:2" ht="25" customHeight="1">
      <c r="A12" s="3" t="s">
        <v>120</v>
      </c>
      <c r="B12" s="10">
        <v>533</v>
      </c>
    </row>
    <row r="13" spans="1:2" ht="25" customHeight="1">
      <c r="A13" s="6" t="s">
        <v>121</v>
      </c>
      <c r="B13" s="9">
        <v>11.01418387913873</v>
      </c>
    </row>
    <row r="14" spans="1:2" ht="235" customHeight="1">
      <c r="A14" s="3" t="s">
        <v>122</v>
      </c>
      <c r="B14" s="4" t="s">
        <v>123</v>
      </c>
    </row>
  </sheetData>
  <autoFilter ref="A4:B14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&amp;LIllustrative bond risk&amp;RPage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3C5658"/>
  </sheetPr>
  <dimension ref="A1:B18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75.7109375" customWidth="1"/>
  </cols>
  <sheetData>
    <row r="1" spans="1:2" ht="9" customHeight="1"/>
    <row r="2" spans="1:2" ht="42" customHeight="1">
      <c r="A2" s="1" t="s">
        <v>124</v>
      </c>
      <c r="B2" s="1"/>
    </row>
    <row r="3" spans="1:2" ht="30" customHeight="1">
      <c r="A3" s="2" t="s">
        <v>125</v>
      </c>
      <c r="B3" s="2"/>
    </row>
    <row r="4" spans="1:2" ht="34" customHeight="1">
      <c r="A4" s="5" t="s">
        <v>126</v>
      </c>
      <c r="B4" s="5" t="s">
        <v>111</v>
      </c>
    </row>
    <row r="5" spans="1:2" ht="25" customHeight="1">
      <c r="A5" s="6" t="s">
        <v>127</v>
      </c>
      <c r="B5" s="7" t="s">
        <v>128</v>
      </c>
    </row>
    <row r="6" spans="1:2" ht="25" customHeight="1">
      <c r="A6" s="3" t="s">
        <v>129</v>
      </c>
      <c r="B6" s="17">
        <v>0.035</v>
      </c>
    </row>
    <row r="7" spans="1:2" ht="25" customHeight="1">
      <c r="A7" s="6" t="s">
        <v>130</v>
      </c>
      <c r="B7" s="18">
        <v>1600</v>
      </c>
    </row>
    <row r="8" spans="1:2" ht="25" customHeight="1">
      <c r="A8" s="3" t="s">
        <v>131</v>
      </c>
      <c r="B8" s="17">
        <v>0</v>
      </c>
    </row>
    <row r="9" spans="1:2" ht="25" customHeight="1">
      <c r="A9" s="6" t="s">
        <v>132</v>
      </c>
      <c r="B9" s="18">
        <v>80</v>
      </c>
    </row>
    <row r="10" spans="1:2" ht="25" customHeight="1">
      <c r="A10" s="3" t="s">
        <v>133</v>
      </c>
      <c r="B10" s="17">
        <v>20</v>
      </c>
    </row>
    <row r="11" spans="1:2" ht="25" customHeight="1">
      <c r="A11" s="6" t="s">
        <v>134</v>
      </c>
      <c r="B11" s="18">
        <v>120</v>
      </c>
    </row>
    <row r="12" spans="1:2" ht="25" customHeight="1">
      <c r="A12" s="3" t="s">
        <v>135</v>
      </c>
      <c r="B12" s="17">
        <v>0.025</v>
      </c>
    </row>
    <row r="13" spans="1:2" ht="25" customHeight="1">
      <c r="A13" s="6" t="s">
        <v>136</v>
      </c>
      <c r="B13" s="18">
        <v>0</v>
      </c>
    </row>
    <row r="14" spans="1:2" ht="25" customHeight="1">
      <c r="A14" s="3" t="s">
        <v>137</v>
      </c>
      <c r="B14" s="17">
        <v>898</v>
      </c>
    </row>
    <row r="15" spans="1:2" ht="25" customHeight="1">
      <c r="A15" s="6" t="s">
        <v>138</v>
      </c>
      <c r="B15" s="7" t="s">
        <v>139</v>
      </c>
    </row>
    <row r="16" spans="1:2" ht="25" customHeight="1">
      <c r="A16" s="3" t="s">
        <v>140</v>
      </c>
      <c r="B16" s="4" t="s">
        <v>141</v>
      </c>
    </row>
    <row r="17" spans="1:2" ht="25" customHeight="1">
      <c r="A17" s="6" t="s">
        <v>142</v>
      </c>
      <c r="B17" s="18">
        <v>4</v>
      </c>
    </row>
    <row r="18" spans="1:2" ht="25" customHeight="1">
      <c r="A18" s="3" t="s">
        <v>143</v>
      </c>
      <c r="B18" s="4" t="b">
        <v>1</v>
      </c>
    </row>
    <row r="19" spans="1:2" ht="25" customHeight="1">
      <c r="A19" s="6" t="s">
        <v>144</v>
      </c>
      <c r="B19" s="18">
        <v>0</v>
      </c>
    </row>
    <row r="20" spans="1:2" ht="25" customHeight="1">
      <c r="A20" s="3" t="s">
        <v>145</v>
      </c>
      <c r="B20" s="17">
        <v>900</v>
      </c>
    </row>
    <row r="21" spans="1:2" ht="25" customHeight="1">
      <c r="A21" s="6" t="s">
        <v>146</v>
      </c>
      <c r="B21" s="18">
        <v>0.038</v>
      </c>
    </row>
    <row r="22" spans="1:2" ht="25" customHeight="1">
      <c r="A22" s="3" t="s">
        <v>147</v>
      </c>
      <c r="B22" s="4" t="b">
        <v>0</v>
      </c>
    </row>
    <row r="23" spans="1:2" ht="25" customHeight="1">
      <c r="A23" s="6" t="s">
        <v>148</v>
      </c>
      <c r="B23" s="18">
        <v>0.018</v>
      </c>
    </row>
    <row r="24" spans="1:2" ht="25" customHeight="1">
      <c r="A24" s="3" t="s">
        <v>149</v>
      </c>
      <c r="B24" s="17">
        <v>0.2</v>
      </c>
    </row>
    <row r="25" spans="1:2" ht="25" customHeight="1">
      <c r="A25" s="6" t="s">
        <v>150</v>
      </c>
      <c r="B25" s="18">
        <v>78</v>
      </c>
    </row>
    <row r="26" spans="1:2" ht="25" customHeight="1">
      <c r="A26" s="3" t="s">
        <v>151</v>
      </c>
      <c r="B26" s="4" t="b">
        <v>1</v>
      </c>
    </row>
    <row r="27" spans="1:2" ht="25" customHeight="1">
      <c r="A27" s="6" t="s">
        <v>152</v>
      </c>
      <c r="B27" s="7" t="s">
        <v>153</v>
      </c>
    </row>
    <row r="28" spans="1:2" ht="25" customHeight="1">
      <c r="A28" s="3" t="s">
        <v>154</v>
      </c>
      <c r="B28" s="4" t="s">
        <v>141</v>
      </c>
    </row>
    <row r="29" spans="1:2" ht="25" customHeight="1">
      <c r="A29" s="6" t="s">
        <v>155</v>
      </c>
      <c r="B29" s="18">
        <v>5</v>
      </c>
    </row>
    <row r="30" spans="1:2" ht="25" customHeight="1">
      <c r="A30" s="3" t="s">
        <v>156</v>
      </c>
      <c r="B30" s="4" t="b">
        <v>1</v>
      </c>
    </row>
    <row r="31" spans="1:2" ht="25" customHeight="1">
      <c r="A31" s="6" t="s">
        <v>157</v>
      </c>
      <c r="B31" s="18">
        <v>0</v>
      </c>
    </row>
    <row r="32" spans="1:2" ht="25" customHeight="1">
      <c r="A32" s="3" t="s">
        <v>158</v>
      </c>
      <c r="B32" s="17">
        <v>80</v>
      </c>
    </row>
    <row r="33" spans="1:2" ht="25" customHeight="1">
      <c r="A33" s="6" t="s">
        <v>159</v>
      </c>
      <c r="B33" s="18">
        <v>0.05</v>
      </c>
    </row>
    <row r="34" spans="1:2" ht="25" customHeight="1">
      <c r="A34" s="3" t="s">
        <v>160</v>
      </c>
      <c r="B34" s="4" t="b">
        <v>0</v>
      </c>
    </row>
    <row r="35" spans="1:2" ht="25" customHeight="1">
      <c r="A35" s="6" t="s">
        <v>161</v>
      </c>
      <c r="B35" s="18">
        <v>0.018</v>
      </c>
    </row>
    <row r="36" spans="1:2" ht="25" customHeight="1">
      <c r="A36" s="3" t="s">
        <v>162</v>
      </c>
      <c r="B36" s="17">
        <v>75</v>
      </c>
    </row>
    <row r="37" spans="1:2" ht="25" customHeight="1">
      <c r="A37" s="6" t="s">
        <v>163</v>
      </c>
      <c r="B37" s="18">
        <v>40</v>
      </c>
    </row>
    <row r="38" spans="1:2" ht="25" customHeight="1">
      <c r="A38" s="3" t="s">
        <v>164</v>
      </c>
      <c r="B38" s="17">
        <v>5</v>
      </c>
    </row>
    <row r="39" spans="1:2" ht="25" customHeight="1">
      <c r="A39" s="6" t="s">
        <v>165</v>
      </c>
      <c r="B39" s="18">
        <v>0.02</v>
      </c>
    </row>
    <row r="40" spans="1:2" ht="25" customHeight="1">
      <c r="A40" s="3" t="s">
        <v>166</v>
      </c>
      <c r="B40" s="17">
        <v>1150</v>
      </c>
    </row>
    <row r="41" spans="1:2" ht="25" customHeight="1">
      <c r="A41" s="6" t="s">
        <v>167</v>
      </c>
      <c r="B41" s="18">
        <v>0.34</v>
      </c>
    </row>
    <row r="42" spans="1:2" ht="25" customHeight="1">
      <c r="A42" s="3" t="s">
        <v>168</v>
      </c>
      <c r="B42" s="17">
        <v>0.025</v>
      </c>
    </row>
    <row r="43" spans="1:2" ht="25" customHeight="1">
      <c r="A43" s="6" t="s">
        <v>169</v>
      </c>
      <c r="B43" s="18">
        <v>0.025</v>
      </c>
    </row>
    <row r="44" spans="1:2" ht="25" customHeight="1">
      <c r="A44" s="3" t="s">
        <v>170</v>
      </c>
      <c r="B44" s="17">
        <v>0.025</v>
      </c>
    </row>
    <row r="45" spans="1:2" ht="25" customHeight="1">
      <c r="A45" s="6" t="s">
        <v>171</v>
      </c>
      <c r="B45" s="18">
        <v>0.025</v>
      </c>
    </row>
    <row r="46" spans="1:2" ht="25" customHeight="1">
      <c r="A46" s="3" t="s">
        <v>172</v>
      </c>
      <c r="B46" s="17">
        <v>0.025</v>
      </c>
    </row>
    <row r="47" spans="1:2" ht="25" customHeight="1">
      <c r="A47" s="6" t="s">
        <v>173</v>
      </c>
      <c r="B47" s="18">
        <v>1.04</v>
      </c>
    </row>
    <row r="48" spans="1:2" ht="25" customHeight="1">
      <c r="A48" s="3" t="s">
        <v>174</v>
      </c>
      <c r="B48" s="17">
        <v>1.08</v>
      </c>
    </row>
    <row r="49" spans="1:2" ht="25" customHeight="1">
      <c r="A49" s="6" t="s">
        <v>175</v>
      </c>
      <c r="B49" s="18">
        <v>1.18</v>
      </c>
    </row>
    <row r="50" spans="1:2" ht="25" customHeight="1">
      <c r="A50" s="3" t="s">
        <v>176</v>
      </c>
      <c r="B50" s="17">
        <v>1</v>
      </c>
    </row>
    <row r="51" spans="1:2" ht="25" customHeight="1">
      <c r="A51" s="6" t="s">
        <v>177</v>
      </c>
      <c r="B51" s="7" t="s">
        <v>178</v>
      </c>
    </row>
    <row r="52" spans="1:2" ht="25" customHeight="1">
      <c r="A52" s="3" t="s">
        <v>179</v>
      </c>
      <c r="B52" s="17">
        <v>1120</v>
      </c>
    </row>
    <row r="53" spans="1:2" ht="25" customHeight="1">
      <c r="A53" s="6" t="s">
        <v>180</v>
      </c>
      <c r="B53" s="18">
        <v>280</v>
      </c>
    </row>
    <row r="54" spans="1:2" ht="25" customHeight="1">
      <c r="A54" s="3" t="s">
        <v>181</v>
      </c>
      <c r="B54" s="17">
        <v>1</v>
      </c>
    </row>
    <row r="55" spans="1:2" ht="25" customHeight="1">
      <c r="A55" s="6" t="s">
        <v>182</v>
      </c>
      <c r="B55" s="18">
        <v>11000</v>
      </c>
    </row>
    <row r="56" spans="1:2" ht="25" customHeight="1">
      <c r="A56" s="3" t="s">
        <v>183</v>
      </c>
      <c r="B56" s="17">
        <v>0.22</v>
      </c>
    </row>
    <row r="57" spans="1:2" ht="25" customHeight="1">
      <c r="A57" s="6" t="s">
        <v>184</v>
      </c>
      <c r="B57" s="18">
        <v>0.23</v>
      </c>
    </row>
    <row r="58" spans="1:2" ht="25" customHeight="1">
      <c r="A58" s="3" t="s">
        <v>185</v>
      </c>
      <c r="B58" s="17">
        <v>0.24</v>
      </c>
    </row>
    <row r="59" spans="1:2" ht="25" customHeight="1">
      <c r="A59" s="6" t="s">
        <v>186</v>
      </c>
      <c r="B59" s="18">
        <v>0.31</v>
      </c>
    </row>
    <row r="60" spans="1:2" ht="25" customHeight="1">
      <c r="A60" s="3" t="s">
        <v>187</v>
      </c>
      <c r="B60" s="17">
        <v>0.1</v>
      </c>
    </row>
    <row r="61" spans="1:2" ht="25" customHeight="1">
      <c r="A61" s="6" t="s">
        <v>188</v>
      </c>
      <c r="B61" s="18">
        <v>0.035</v>
      </c>
    </row>
    <row r="62" spans="1:2" ht="25" customHeight="1">
      <c r="A62" s="3" t="s">
        <v>189</v>
      </c>
      <c r="B62" s="17">
        <v>320</v>
      </c>
    </row>
    <row r="63" spans="1:2" ht="25" customHeight="1">
      <c r="A63" s="6" t="s">
        <v>190</v>
      </c>
      <c r="B63" s="18">
        <v>0</v>
      </c>
    </row>
    <row r="64" spans="1:2" ht="25" customHeight="1">
      <c r="A64" s="3" t="s">
        <v>191</v>
      </c>
      <c r="B64" s="17">
        <v>80</v>
      </c>
    </row>
    <row r="65" spans="1:2" ht="25" customHeight="1">
      <c r="A65" s="6" t="s">
        <v>192</v>
      </c>
      <c r="B65" s="18">
        <v>20</v>
      </c>
    </row>
    <row r="66" spans="1:2" ht="25" customHeight="1">
      <c r="A66" s="3" t="s">
        <v>193</v>
      </c>
      <c r="B66" s="17">
        <v>120</v>
      </c>
    </row>
    <row r="67" spans="1:2" ht="25" customHeight="1">
      <c r="A67" s="6" t="s">
        <v>194</v>
      </c>
      <c r="B67" s="18">
        <v>0.025</v>
      </c>
    </row>
    <row r="68" spans="1:2" ht="25" customHeight="1">
      <c r="A68" s="3" t="s">
        <v>195</v>
      </c>
      <c r="B68" s="17">
        <v>0</v>
      </c>
    </row>
    <row r="69" spans="1:2" ht="25" customHeight="1">
      <c r="A69" s="6" t="s">
        <v>196</v>
      </c>
      <c r="B69" s="18">
        <v>348</v>
      </c>
    </row>
    <row r="70" spans="1:2" ht="25" customHeight="1">
      <c r="A70" s="3" t="s">
        <v>197</v>
      </c>
      <c r="B70" s="4" t="s">
        <v>198</v>
      </c>
    </row>
    <row r="71" spans="1:2" ht="25" customHeight="1">
      <c r="A71" s="6" t="s">
        <v>199</v>
      </c>
      <c r="B71" s="7" t="s">
        <v>141</v>
      </c>
    </row>
    <row r="72" spans="1:2" ht="25" customHeight="1">
      <c r="A72" s="3" t="s">
        <v>200</v>
      </c>
      <c r="B72" s="17">
        <v>3</v>
      </c>
    </row>
    <row r="73" spans="1:2" ht="25" customHeight="1">
      <c r="A73" s="6" t="s">
        <v>201</v>
      </c>
      <c r="B73" s="7" t="b">
        <v>1</v>
      </c>
    </row>
    <row r="74" spans="1:2" ht="25" customHeight="1">
      <c r="A74" s="3" t="s">
        <v>202</v>
      </c>
      <c r="B74" s="17">
        <v>0</v>
      </c>
    </row>
    <row r="75" spans="1:2" ht="25" customHeight="1">
      <c r="A75" s="6" t="s">
        <v>203</v>
      </c>
      <c r="B75" s="18">
        <v>350</v>
      </c>
    </row>
    <row r="76" spans="1:2" ht="25" customHeight="1">
      <c r="A76" s="3" t="s">
        <v>204</v>
      </c>
      <c r="B76" s="17">
        <v>0.0475</v>
      </c>
    </row>
    <row r="77" spans="1:2" ht="25" customHeight="1">
      <c r="A77" s="6" t="s">
        <v>205</v>
      </c>
      <c r="B77" s="7" t="b">
        <v>0</v>
      </c>
    </row>
    <row r="78" spans="1:2" ht="25" customHeight="1">
      <c r="A78" s="3" t="s">
        <v>206</v>
      </c>
      <c r="B78" s="17">
        <v>0.018</v>
      </c>
    </row>
    <row r="79" spans="1:2" ht="25" customHeight="1">
      <c r="A79" s="6" t="s">
        <v>207</v>
      </c>
      <c r="B79" s="18">
        <v>0</v>
      </c>
    </row>
    <row r="80" spans="1:2" ht="25" customHeight="1">
      <c r="A80" s="3" t="s">
        <v>208</v>
      </c>
      <c r="B80" s="17">
        <v>98</v>
      </c>
    </row>
    <row r="81" spans="1:2" ht="25" customHeight="1">
      <c r="A81" s="6" t="s">
        <v>209</v>
      </c>
      <c r="B81" s="7" t="s">
        <v>210</v>
      </c>
    </row>
    <row r="82" spans="1:2" ht="25" customHeight="1">
      <c r="A82" s="3" t="s">
        <v>211</v>
      </c>
      <c r="B82" s="4" t="s">
        <v>212</v>
      </c>
    </row>
    <row r="83" spans="1:2" ht="25" customHeight="1">
      <c r="A83" s="6" t="s">
        <v>213</v>
      </c>
      <c r="B83" s="18">
        <v>2</v>
      </c>
    </row>
    <row r="84" spans="1:2" ht="25" customHeight="1">
      <c r="A84" s="3" t="s">
        <v>214</v>
      </c>
      <c r="B84" s="4" t="b">
        <v>1</v>
      </c>
    </row>
    <row r="85" spans="1:2" ht="25" customHeight="1">
      <c r="A85" s="6" t="s">
        <v>215</v>
      </c>
      <c r="B85" s="18">
        <v>0</v>
      </c>
    </row>
    <row r="86" spans="1:2" ht="25" customHeight="1">
      <c r="A86" s="3" t="s">
        <v>216</v>
      </c>
      <c r="B86" s="17">
        <v>100</v>
      </c>
    </row>
    <row r="87" spans="1:2" ht="25" customHeight="1">
      <c r="A87" s="6" t="s">
        <v>217</v>
      </c>
      <c r="B87" s="18">
        <v>0</v>
      </c>
    </row>
    <row r="88" spans="1:2" ht="25" customHeight="1">
      <c r="A88" s="3" t="s">
        <v>218</v>
      </c>
      <c r="B88" s="4" t="b">
        <v>1</v>
      </c>
    </row>
    <row r="89" spans="1:2" ht="25" customHeight="1">
      <c r="A89" s="6" t="s">
        <v>219</v>
      </c>
      <c r="B89" s="18">
        <v>0.018</v>
      </c>
    </row>
    <row r="90" spans="1:2" ht="25" customHeight="1">
      <c r="A90" s="3" t="s">
        <v>220</v>
      </c>
      <c r="B90" s="17">
        <v>75</v>
      </c>
    </row>
    <row r="91" spans="1:2" ht="25" customHeight="1">
      <c r="A91" s="6" t="s">
        <v>221</v>
      </c>
      <c r="B91" s="18">
        <v>40</v>
      </c>
    </row>
    <row r="92" spans="1:2" ht="25" customHeight="1">
      <c r="A92" s="3" t="s">
        <v>222</v>
      </c>
      <c r="B92" s="17">
        <v>5</v>
      </c>
    </row>
    <row r="93" spans="1:2" ht="25" customHeight="1">
      <c r="A93" s="6" t="s">
        <v>223</v>
      </c>
      <c r="B93" s="18">
        <v>0.02</v>
      </c>
    </row>
    <row r="94" spans="1:2" ht="25" customHeight="1">
      <c r="A94" s="3" t="s">
        <v>224</v>
      </c>
      <c r="B94" s="17">
        <v>670</v>
      </c>
    </row>
    <row r="95" spans="1:2" ht="25" customHeight="1">
      <c r="A95" s="6" t="s">
        <v>225</v>
      </c>
      <c r="B95" s="18">
        <v>0.32</v>
      </c>
    </row>
    <row r="96" spans="1:2" ht="25" customHeight="1">
      <c r="A96" s="3" t="s">
        <v>226</v>
      </c>
      <c r="B96" s="17">
        <v>0.025</v>
      </c>
    </row>
    <row r="97" spans="1:2" ht="25" customHeight="1">
      <c r="A97" s="6" t="s">
        <v>227</v>
      </c>
      <c r="B97" s="18">
        <v>0.025</v>
      </c>
    </row>
    <row r="98" spans="1:2" ht="25" customHeight="1">
      <c r="A98" s="3" t="s">
        <v>228</v>
      </c>
      <c r="B98" s="17">
        <v>0.025</v>
      </c>
    </row>
    <row r="99" spans="1:2" ht="25" customHeight="1">
      <c r="A99" s="6" t="s">
        <v>229</v>
      </c>
      <c r="B99" s="18">
        <v>0.025</v>
      </c>
    </row>
    <row r="100" spans="1:2" ht="25" customHeight="1">
      <c r="A100" s="3" t="s">
        <v>230</v>
      </c>
      <c r="B100" s="17">
        <v>0.025</v>
      </c>
    </row>
    <row r="101" spans="1:2" ht="25" customHeight="1">
      <c r="A101" s="6" t="s">
        <v>231</v>
      </c>
      <c r="B101" s="18">
        <v>1.04</v>
      </c>
    </row>
    <row r="102" spans="1:2" ht="25" customHeight="1">
      <c r="A102" s="3" t="s">
        <v>232</v>
      </c>
      <c r="B102" s="17">
        <v>1.08</v>
      </c>
    </row>
    <row r="103" spans="1:2" ht="25" customHeight="1">
      <c r="A103" s="6" t="s">
        <v>233</v>
      </c>
      <c r="B103" s="18">
        <v>1.18</v>
      </c>
    </row>
    <row r="104" spans="1:2" ht="25" customHeight="1">
      <c r="A104" s="3" t="s">
        <v>234</v>
      </c>
      <c r="B104" s="17">
        <v>1</v>
      </c>
    </row>
    <row r="105" spans="1:2" ht="25" customHeight="1">
      <c r="A105" s="6" t="s">
        <v>235</v>
      </c>
      <c r="B105" s="7" t="s">
        <v>236</v>
      </c>
    </row>
    <row r="106" spans="1:2" ht="25" customHeight="1">
      <c r="A106" s="3" t="s">
        <v>237</v>
      </c>
      <c r="B106" s="17">
        <v>880</v>
      </c>
    </row>
    <row r="107" spans="1:2" ht="25" customHeight="1">
      <c r="A107" s="6" t="s">
        <v>238</v>
      </c>
      <c r="B107" s="18">
        <v>220</v>
      </c>
    </row>
    <row r="108" spans="1:2" ht="25" customHeight="1">
      <c r="A108" s="3" t="s">
        <v>239</v>
      </c>
      <c r="B108" s="17">
        <v>1</v>
      </c>
    </row>
    <row r="109" spans="1:2" ht="25" customHeight="1">
      <c r="A109" s="6" t="s">
        <v>240</v>
      </c>
      <c r="B109" s="18">
        <v>5400</v>
      </c>
    </row>
    <row r="110" spans="1:2" ht="25" customHeight="1">
      <c r="A110" s="3" t="s">
        <v>241</v>
      </c>
      <c r="B110" s="17">
        <v>0.22</v>
      </c>
    </row>
    <row r="111" spans="1:2" ht="25" customHeight="1">
      <c r="A111" s="6" t="s">
        <v>242</v>
      </c>
      <c r="B111" s="18">
        <v>0.23</v>
      </c>
    </row>
    <row r="112" spans="1:2" ht="25" customHeight="1">
      <c r="A112" s="3" t="s">
        <v>243</v>
      </c>
      <c r="B112" s="17">
        <v>0.24</v>
      </c>
    </row>
    <row r="113" spans="1:2" ht="25" customHeight="1">
      <c r="A113" s="6" t="s">
        <v>244</v>
      </c>
      <c r="B113" s="18">
        <v>0.31</v>
      </c>
    </row>
    <row r="114" spans="1:2" ht="25" customHeight="1">
      <c r="A114" s="3" t="s">
        <v>245</v>
      </c>
      <c r="B114" s="17">
        <v>0.1</v>
      </c>
    </row>
    <row r="115" spans="1:2" ht="25" customHeight="1">
      <c r="A115" s="6" t="s">
        <v>246</v>
      </c>
      <c r="B115" s="7" t="s">
        <v>67</v>
      </c>
    </row>
    <row r="116" spans="1:2" ht="25" customHeight="1">
      <c r="A116" s="3" t="s">
        <v>247</v>
      </c>
      <c r="B116" s="17">
        <v>1</v>
      </c>
    </row>
    <row r="117" spans="1:2" ht="25" customHeight="1">
      <c r="A117" s="6" t="s">
        <v>248</v>
      </c>
      <c r="B117" s="7" t="s">
        <v>249</v>
      </c>
    </row>
    <row r="118" spans="1:2" ht="25" customHeight="1">
      <c r="A118" s="3" t="s">
        <v>250</v>
      </c>
      <c r="B118" s="4" t="s">
        <v>251</v>
      </c>
    </row>
    <row r="119" spans="1:2" ht="25" customHeight="1">
      <c r="A119" s="6" t="s">
        <v>252</v>
      </c>
      <c r="B119" s="18">
        <v>0.02</v>
      </c>
    </row>
    <row r="120" spans="1:2" ht="25" customHeight="1">
      <c r="A120" s="3" t="s">
        <v>253</v>
      </c>
      <c r="B120" s="17">
        <v>0.04</v>
      </c>
    </row>
    <row r="121" spans="1:2" ht="25" customHeight="1">
      <c r="A121" s="6" t="s">
        <v>254</v>
      </c>
      <c r="B121" s="18">
        <v>0.0375</v>
      </c>
    </row>
    <row r="122" spans="1:2" ht="25" customHeight="1">
      <c r="A122" s="3" t="s">
        <v>255</v>
      </c>
      <c r="B122" s="17">
        <v>0.035</v>
      </c>
    </row>
    <row r="123" spans="1:2" ht="25" customHeight="1">
      <c r="A123" s="6" t="s">
        <v>256</v>
      </c>
      <c r="B123" s="18">
        <v>0.035</v>
      </c>
    </row>
    <row r="124" spans="1:2" ht="25" customHeight="1">
      <c r="A124" s="3" t="s">
        <v>257</v>
      </c>
      <c r="B124" s="17">
        <v>0.035</v>
      </c>
    </row>
    <row r="125" spans="1:2" ht="25" customHeight="1">
      <c r="A125" s="6" t="s">
        <v>258</v>
      </c>
      <c r="B125" s="18">
        <v>0.04</v>
      </c>
    </row>
    <row r="126" spans="1:2" ht="25" customHeight="1">
      <c r="A126" s="3" t="s">
        <v>259</v>
      </c>
      <c r="B126" s="4" t="s">
        <v>212</v>
      </c>
    </row>
    <row r="127" spans="1:2" ht="25" customHeight="1">
      <c r="A127" s="6" t="s">
        <v>260</v>
      </c>
      <c r="B127" s="18">
        <v>5</v>
      </c>
    </row>
    <row r="128" spans="1:2" ht="25" customHeight="1">
      <c r="A128" s="3" t="s">
        <v>261</v>
      </c>
      <c r="B128" s="17">
        <v>0.025</v>
      </c>
    </row>
    <row r="129" spans="1:2" ht="25" customHeight="1">
      <c r="A129" s="6" t="s">
        <v>262</v>
      </c>
      <c r="B129" s="18">
        <v>0</v>
      </c>
    </row>
    <row r="130" spans="1:2" ht="25" customHeight="1">
      <c r="A130" s="3" t="s">
        <v>263</v>
      </c>
      <c r="B130" s="17">
        <v>0</v>
      </c>
    </row>
    <row r="131" spans="1:2" ht="25" customHeight="1">
      <c r="A131" s="6" t="s">
        <v>264</v>
      </c>
      <c r="B131" s="18">
        <v>0</v>
      </c>
    </row>
    <row r="132" spans="1:2" ht="25" customHeight="1">
      <c r="A132" s="3" t="s">
        <v>265</v>
      </c>
      <c r="B132" s="17">
        <v>0</v>
      </c>
    </row>
    <row r="133" spans="1:2" ht="25" customHeight="1">
      <c r="A133" s="6" t="s">
        <v>266</v>
      </c>
      <c r="B133" s="18">
        <v>0</v>
      </c>
    </row>
    <row r="134" spans="1:2" ht="25" customHeight="1">
      <c r="A134" s="3" t="s">
        <v>267</v>
      </c>
      <c r="B134" s="17">
        <v>750</v>
      </c>
    </row>
    <row r="135" spans="1:2" ht="25" customHeight="1">
      <c r="A135" s="6" t="s">
        <v>268</v>
      </c>
      <c r="B135" s="18">
        <v>180</v>
      </c>
    </row>
    <row r="136" spans="1:2" ht="25" customHeight="1">
      <c r="A136" s="3" t="s">
        <v>269</v>
      </c>
      <c r="B136" s="17">
        <v>180</v>
      </c>
    </row>
    <row r="137" spans="1:2" ht="25" customHeight="1">
      <c r="A137" s="6" t="s">
        <v>270</v>
      </c>
      <c r="B137" s="18">
        <v>180</v>
      </c>
    </row>
    <row r="138" spans="1:2" ht="25" customHeight="1">
      <c r="A138" s="3" t="s">
        <v>271</v>
      </c>
      <c r="B138" s="17">
        <v>180</v>
      </c>
    </row>
    <row r="139" spans="1:2" ht="25" customHeight="1">
      <c r="A139" s="6" t="s">
        <v>272</v>
      </c>
      <c r="B139" s="18">
        <v>180</v>
      </c>
    </row>
    <row r="140" spans="1:2" ht="25" customHeight="1">
      <c r="A140" s="3" t="s">
        <v>273</v>
      </c>
      <c r="B140" s="17">
        <v>1</v>
      </c>
    </row>
    <row r="141" spans="1:2" ht="25" customHeight="1">
      <c r="A141" s="6" t="s">
        <v>274</v>
      </c>
      <c r="B141" s="18">
        <v>3</v>
      </c>
    </row>
    <row r="142" spans="1:2" ht="25" customHeight="1">
      <c r="A142" s="3" t="s">
        <v>275</v>
      </c>
      <c r="B142" s="17">
        <v>4</v>
      </c>
    </row>
    <row r="143" spans="1:2" ht="25" customHeight="1">
      <c r="A143" s="6" t="s">
        <v>276</v>
      </c>
      <c r="B143" s="7" t="b">
        <v>0</v>
      </c>
    </row>
    <row r="144" spans="1:2" ht="25" customHeight="1">
      <c r="A144" s="3" t="s">
        <v>277</v>
      </c>
      <c r="B144" s="17">
        <v>0.015</v>
      </c>
    </row>
    <row r="145" spans="1:2" ht="25" customHeight="1">
      <c r="A145" s="6" t="s">
        <v>278</v>
      </c>
      <c r="B145" s="18">
        <v>2000</v>
      </c>
    </row>
    <row r="146" spans="1:2" ht="25" customHeight="1">
      <c r="A146" s="3" t="s">
        <v>279</v>
      </c>
      <c r="B146" s="17">
        <v>5</v>
      </c>
    </row>
    <row r="147" spans="1:2" ht="25" customHeight="1">
      <c r="A147" s="6" t="s">
        <v>280</v>
      </c>
      <c r="B147" s="18">
        <v>1</v>
      </c>
    </row>
    <row r="148" spans="1:2" ht="25" customHeight="1">
      <c r="A148" s="3" t="s">
        <v>281</v>
      </c>
      <c r="B148" s="17">
        <v>0.25</v>
      </c>
    </row>
    <row r="149" spans="1:2" ht="25" customHeight="1">
      <c r="A149" s="6" t="s">
        <v>282</v>
      </c>
      <c r="B149" s="7" t="b">
        <v>1</v>
      </c>
    </row>
    <row r="150" spans="1:2" ht="25" customHeight="1">
      <c r="A150" s="3" t="s">
        <v>283</v>
      </c>
      <c r="B150" s="4" t="s">
        <v>284</v>
      </c>
    </row>
    <row r="151" spans="1:2" ht="25" customHeight="1">
      <c r="A151" s="6" t="s">
        <v>285</v>
      </c>
      <c r="B151" s="18">
        <v>700</v>
      </c>
    </row>
    <row r="152" spans="1:2" ht="25" customHeight="1">
      <c r="A152" s="3" t="s">
        <v>286</v>
      </c>
      <c r="B152" s="17">
        <v>800</v>
      </c>
    </row>
    <row r="153" spans="1:2" ht="25" customHeight="1">
      <c r="A153" s="6" t="s">
        <v>287</v>
      </c>
      <c r="B153" s="18">
        <v>70</v>
      </c>
    </row>
    <row r="154" spans="1:2" ht="25" customHeight="1">
      <c r="A154" s="3" t="s">
        <v>288</v>
      </c>
      <c r="B154" s="17">
        <v>5</v>
      </c>
    </row>
    <row r="155" spans="1:2" ht="25" customHeight="1">
      <c r="A155" s="6" t="s">
        <v>289</v>
      </c>
      <c r="B155" s="18">
        <v>4.5</v>
      </c>
    </row>
    <row r="156" spans="1:2" ht="25" customHeight="1">
      <c r="A156" s="3" t="s">
        <v>290</v>
      </c>
      <c r="B156" s="17">
        <v>0.0225</v>
      </c>
    </row>
    <row r="157" spans="1:2" ht="25" customHeight="1">
      <c r="A157" s="6" t="s">
        <v>291</v>
      </c>
      <c r="B157" s="18">
        <v>2</v>
      </c>
    </row>
    <row r="158" spans="1:2" ht="25" customHeight="1">
      <c r="A158" s="3" t="s">
        <v>292</v>
      </c>
      <c r="B158" s="17">
        <v>80</v>
      </c>
    </row>
    <row r="159" spans="1:2" ht="25" customHeight="1">
      <c r="A159" s="6" t="s">
        <v>293</v>
      </c>
      <c r="B159" s="18">
        <v>60</v>
      </c>
    </row>
    <row r="160" spans="1:2" ht="25" customHeight="1">
      <c r="A160" s="3" t="s">
        <v>294</v>
      </c>
      <c r="B160" s="17">
        <v>20</v>
      </c>
    </row>
    <row r="161" spans="1:2" ht="25" customHeight="1">
      <c r="A161" s="6" t="s">
        <v>295</v>
      </c>
      <c r="B161" s="18">
        <v>0</v>
      </c>
    </row>
    <row r="162" spans="1:2" ht="25" customHeight="1">
      <c r="A162" s="3" t="s">
        <v>296</v>
      </c>
      <c r="B162" s="17">
        <v>0</v>
      </c>
    </row>
    <row r="163" spans="1:2" ht="25" customHeight="1">
      <c r="A163" s="6" t="s">
        <v>297</v>
      </c>
      <c r="B163" s="18">
        <v>0.2</v>
      </c>
    </row>
    <row r="164" spans="1:2" ht="25" customHeight="1">
      <c r="A164" s="3" t="s">
        <v>298</v>
      </c>
      <c r="B164" s="17">
        <v>0.6</v>
      </c>
    </row>
    <row r="165" spans="1:2" ht="25" customHeight="1">
      <c r="A165" s="6" t="s">
        <v>299</v>
      </c>
      <c r="B165" s="18">
        <v>1</v>
      </c>
    </row>
    <row r="166" spans="1:2" ht="25" customHeight="1">
      <c r="A166" s="3" t="s">
        <v>300</v>
      </c>
      <c r="B166" s="17">
        <v>1</v>
      </c>
    </row>
    <row r="167" spans="1:2" ht="25" customHeight="1">
      <c r="A167" s="6" t="s">
        <v>301</v>
      </c>
      <c r="B167" s="18">
        <v>1</v>
      </c>
    </row>
    <row r="168" spans="1:2" ht="25" customHeight="1">
      <c r="A168" s="3" t="s">
        <v>302</v>
      </c>
      <c r="B168" s="17">
        <v>100</v>
      </c>
    </row>
    <row r="169" spans="1:2" ht="25" customHeight="1">
      <c r="A169" s="6" t="s">
        <v>303</v>
      </c>
      <c r="B169" s="18">
        <v>200</v>
      </c>
    </row>
    <row r="170" spans="1:2" ht="25" customHeight="1">
      <c r="A170" s="3" t="s">
        <v>304</v>
      </c>
      <c r="B170" s="17">
        <v>80</v>
      </c>
    </row>
    <row r="171" spans="1:2" ht="25" customHeight="1">
      <c r="A171" s="6" t="s">
        <v>305</v>
      </c>
      <c r="B171" s="7" t="b">
        <v>0</v>
      </c>
    </row>
    <row r="172" spans="1:2" ht="25" customHeight="1">
      <c r="A172" s="3" t="s">
        <v>306</v>
      </c>
      <c r="B172" s="17">
        <v>2</v>
      </c>
    </row>
    <row r="173" spans="1:2" ht="25" customHeight="1">
      <c r="A173" s="6" t="s">
        <v>307</v>
      </c>
      <c r="B173" s="18">
        <v>20</v>
      </c>
    </row>
    <row r="174" spans="1:2" ht="25" customHeight="1">
      <c r="A174" s="3" t="s">
        <v>308</v>
      </c>
      <c r="B174" s="17">
        <v>0</v>
      </c>
    </row>
    <row r="175" spans="1:2" ht="25" customHeight="1">
      <c r="A175" s="6" t="s">
        <v>309</v>
      </c>
      <c r="B175" s="18">
        <v>0.1</v>
      </c>
    </row>
    <row r="176" spans="1:2" ht="25" customHeight="1">
      <c r="A176" s="3" t="s">
        <v>310</v>
      </c>
      <c r="B176" s="17">
        <v>0.015</v>
      </c>
    </row>
    <row r="177" spans="1:2" ht="25" customHeight="1">
      <c r="A177" s="6" t="s">
        <v>311</v>
      </c>
      <c r="B177" s="18">
        <v>2040</v>
      </c>
    </row>
    <row r="178" spans="1:2" ht="25" customHeight="1">
      <c r="A178" s="3" t="s">
        <v>312</v>
      </c>
      <c r="B178" s="17">
        <v>2170</v>
      </c>
    </row>
    <row r="179" spans="1:2" ht="25" customHeight="1">
      <c r="A179" s="6" t="s">
        <v>313</v>
      </c>
      <c r="B179" s="7" t="s">
        <v>314</v>
      </c>
    </row>
    <row r="180" spans="1:2" ht="25" customHeight="1">
      <c r="A180" s="3" t="s">
        <v>315</v>
      </c>
      <c r="B180" s="17">
        <v>100</v>
      </c>
    </row>
    <row r="181" spans="1:2" ht="25" customHeight="1">
      <c r="A181" s="6" t="s">
        <v>316</v>
      </c>
      <c r="B181" s="18">
        <v>50</v>
      </c>
    </row>
  </sheetData>
  <autoFilter ref="A4:B181"/>
  <mergeCells count="2">
    <mergeCell ref="A2:B2"/>
    <mergeCell ref="A3:B3"/>
  </mergeCells>
  <pageMargins left="0.3" right="0.3" top="0.4" bottom="0.4" header="0.3" footer="0.3"/>
  <pageSetup paperSize="9" scale="85" orientation="landscape"/>
  <headerFooter>
    <oddFooter>&amp;LAssumptions&amp;RPage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3C5658"/>
  </sheetPr>
  <dimension ref="A1:C73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2" width="48.7109375" customWidth="1"/>
    <col min="3" max="3" width="25.7109375" customWidth="1"/>
  </cols>
  <sheetData>
    <row r="1" spans="1:3" ht="9" customHeight="1"/>
    <row r="2" spans="1:3" ht="62" customHeight="1">
      <c r="A2" s="1" t="s">
        <v>317</v>
      </c>
      <c r="B2" s="1"/>
      <c r="C2" s="1"/>
    </row>
    <row r="3" spans="1:3" ht="30" customHeight="1">
      <c r="A3" s="2" t="s">
        <v>125</v>
      </c>
      <c r="B3" s="2"/>
      <c r="C3" s="2"/>
    </row>
    <row r="4" spans="1:3" ht="34" customHeight="1">
      <c r="A4" s="5" t="s">
        <v>65</v>
      </c>
      <c r="B4" s="5" t="s">
        <v>318</v>
      </c>
      <c r="C4" s="5" t="s">
        <v>111</v>
      </c>
    </row>
    <row r="5" spans="1:3" ht="25" customHeight="1">
      <c r="A5" s="6" t="s">
        <v>68</v>
      </c>
      <c r="B5" s="7" t="s">
        <v>319</v>
      </c>
      <c r="C5" s="7" t="s">
        <v>90</v>
      </c>
    </row>
    <row r="6" spans="1:3" ht="25" customHeight="1">
      <c r="A6" s="3" t="s">
        <v>68</v>
      </c>
      <c r="B6" s="4" t="s">
        <v>320</v>
      </c>
      <c r="C6" s="19">
        <v>2040</v>
      </c>
    </row>
    <row r="7" spans="1:3" ht="25" customHeight="1">
      <c r="A7" s="6" t="s">
        <v>68</v>
      </c>
      <c r="B7" s="7" t="s">
        <v>321</v>
      </c>
      <c r="C7" s="20">
        <v>2150</v>
      </c>
    </row>
    <row r="8" spans="1:3" ht="25" customHeight="1">
      <c r="A8" s="3" t="s">
        <v>68</v>
      </c>
      <c r="B8" s="4" t="s">
        <v>322</v>
      </c>
      <c r="C8" s="19">
        <v>0</v>
      </c>
    </row>
    <row r="9" spans="1:3" ht="25" customHeight="1">
      <c r="A9" s="6" t="s">
        <v>68</v>
      </c>
      <c r="B9" s="7" t="s">
        <v>323</v>
      </c>
      <c r="C9" s="20">
        <v>-20</v>
      </c>
    </row>
    <row r="10" spans="1:3" ht="25" customHeight="1">
      <c r="A10" s="3" t="s">
        <v>68</v>
      </c>
      <c r="B10" s="4" t="s">
        <v>324</v>
      </c>
      <c r="C10" s="19">
        <v>2040</v>
      </c>
    </row>
    <row r="11" spans="1:3" ht="25" customHeight="1">
      <c r="A11" s="6" t="s">
        <v>68</v>
      </c>
      <c r="B11" s="7" t="s">
        <v>325</v>
      </c>
      <c r="C11" s="20">
        <v>0</v>
      </c>
    </row>
    <row r="12" spans="1:3" ht="25" customHeight="1">
      <c r="A12" s="3" t="s">
        <v>68</v>
      </c>
      <c r="B12" s="4" t="s">
        <v>326</v>
      </c>
      <c r="C12" s="19">
        <v>0</v>
      </c>
    </row>
    <row r="13" spans="1:3" ht="25" customHeight="1">
      <c r="A13" s="6" t="s">
        <v>68</v>
      </c>
      <c r="B13" s="7" t="s">
        <v>327</v>
      </c>
      <c r="C13" s="20">
        <v>0</v>
      </c>
    </row>
    <row r="14" spans="1:3" ht="25" customHeight="1">
      <c r="A14" s="3" t="s">
        <v>68</v>
      </c>
      <c r="B14" s="4" t="s">
        <v>328</v>
      </c>
      <c r="C14" s="19">
        <v>100</v>
      </c>
    </row>
    <row r="15" spans="1:3" ht="25" customHeight="1">
      <c r="A15" s="6" t="s">
        <v>68</v>
      </c>
      <c r="B15" s="7" t="s">
        <v>329</v>
      </c>
      <c r="C15" s="20">
        <v>50</v>
      </c>
    </row>
    <row r="16" spans="1:3" ht="25" customHeight="1">
      <c r="A16" s="3" t="s">
        <v>68</v>
      </c>
      <c r="B16" s="4" t="s">
        <v>330</v>
      </c>
      <c r="C16" s="19">
        <v>20.1015228426396</v>
      </c>
    </row>
    <row r="17" spans="1:3" ht="25" customHeight="1">
      <c r="A17" s="14" t="s">
        <v>68</v>
      </c>
      <c r="B17" s="15" t="s">
        <v>331</v>
      </c>
      <c r="C17" s="21">
        <v>2210.101522842639</v>
      </c>
    </row>
    <row r="18" spans="1:3" ht="25" customHeight="1">
      <c r="A18" s="3" t="s">
        <v>68</v>
      </c>
      <c r="B18" s="4" t="s">
        <v>332</v>
      </c>
      <c r="C18" s="19">
        <v>870</v>
      </c>
    </row>
    <row r="19" spans="1:3" ht="25" customHeight="1">
      <c r="A19" s="6" t="s">
        <v>68</v>
      </c>
      <c r="B19" s="7" t="s">
        <v>333</v>
      </c>
      <c r="C19" s="20">
        <v>1170</v>
      </c>
    </row>
    <row r="20" spans="1:3" ht="25" customHeight="1">
      <c r="A20" s="3" t="s">
        <v>68</v>
      </c>
      <c r="B20" s="4" t="s">
        <v>334</v>
      </c>
      <c r="C20" s="19">
        <v>170.1015228426397</v>
      </c>
    </row>
    <row r="21" spans="1:3" ht="25" customHeight="1">
      <c r="A21" s="6" t="s">
        <v>68</v>
      </c>
      <c r="B21" s="7" t="s">
        <v>335</v>
      </c>
      <c r="C21" s="20">
        <v>1340.10152284264</v>
      </c>
    </row>
    <row r="22" spans="1:3" ht="25" customHeight="1">
      <c r="A22" s="3" t="s">
        <v>68</v>
      </c>
      <c r="B22" s="4" t="s">
        <v>336</v>
      </c>
      <c r="C22" s="19">
        <v>1330</v>
      </c>
    </row>
    <row r="23" spans="1:3" ht="25" customHeight="1">
      <c r="A23" s="6" t="s">
        <v>68</v>
      </c>
      <c r="B23" s="7" t="s">
        <v>337</v>
      </c>
      <c r="C23" s="20">
        <v>750</v>
      </c>
    </row>
    <row r="24" spans="1:3" ht="25" customHeight="1">
      <c r="A24" s="3" t="s">
        <v>68</v>
      </c>
      <c r="B24" s="4" t="s">
        <v>338</v>
      </c>
      <c r="C24" s="19">
        <v>340</v>
      </c>
    </row>
    <row r="25" spans="1:3" ht="25" customHeight="1">
      <c r="A25" s="6" t="s">
        <v>68</v>
      </c>
      <c r="B25" s="7" t="s">
        <v>339</v>
      </c>
      <c r="C25" s="20">
        <v>2670.101522842639</v>
      </c>
    </row>
    <row r="26" spans="1:3" ht="25" customHeight="1">
      <c r="A26" s="3" t="s">
        <v>68</v>
      </c>
      <c r="B26" s="4" t="s">
        <v>340</v>
      </c>
      <c r="C26" s="19">
        <v>0</v>
      </c>
    </row>
    <row r="27" spans="1:3" ht="25" customHeight="1">
      <c r="A27" s="6" t="s">
        <v>68</v>
      </c>
      <c r="B27" s="7" t="s">
        <v>341</v>
      </c>
      <c r="C27" s="20">
        <v>0</v>
      </c>
    </row>
    <row r="28" spans="1:3" ht="25" customHeight="1">
      <c r="A28" s="3" t="s">
        <v>78</v>
      </c>
      <c r="B28" s="4" t="s">
        <v>319</v>
      </c>
      <c r="C28" s="4" t="s">
        <v>90</v>
      </c>
    </row>
    <row r="29" spans="1:3" ht="25" customHeight="1">
      <c r="A29" s="6" t="s">
        <v>78</v>
      </c>
      <c r="B29" s="7" t="s">
        <v>320</v>
      </c>
      <c r="C29" s="20">
        <v>2040</v>
      </c>
    </row>
    <row r="30" spans="1:3" ht="25" customHeight="1">
      <c r="A30" s="3" t="s">
        <v>78</v>
      </c>
      <c r="B30" s="4" t="s">
        <v>321</v>
      </c>
      <c r="C30" s="19">
        <v>2150</v>
      </c>
    </row>
    <row r="31" spans="1:3" ht="25" customHeight="1">
      <c r="A31" s="6" t="s">
        <v>78</v>
      </c>
      <c r="B31" s="7" t="s">
        <v>322</v>
      </c>
      <c r="C31" s="20">
        <v>0</v>
      </c>
    </row>
    <row r="32" spans="1:3" ht="25" customHeight="1">
      <c r="A32" s="3" t="s">
        <v>78</v>
      </c>
      <c r="B32" s="4" t="s">
        <v>323</v>
      </c>
      <c r="C32" s="19">
        <v>-20</v>
      </c>
    </row>
    <row r="33" spans="1:3" ht="25" customHeight="1">
      <c r="A33" s="6" t="s">
        <v>78</v>
      </c>
      <c r="B33" s="7" t="s">
        <v>324</v>
      </c>
      <c r="C33" s="20">
        <v>2040</v>
      </c>
    </row>
    <row r="34" spans="1:3" ht="25" customHeight="1">
      <c r="A34" s="3" t="s">
        <v>78</v>
      </c>
      <c r="B34" s="4" t="s">
        <v>325</v>
      </c>
      <c r="C34" s="19">
        <v>0</v>
      </c>
    </row>
    <row r="35" spans="1:3" ht="25" customHeight="1">
      <c r="A35" s="6" t="s">
        <v>78</v>
      </c>
      <c r="B35" s="7" t="s">
        <v>326</v>
      </c>
      <c r="C35" s="20">
        <v>0</v>
      </c>
    </row>
    <row r="36" spans="1:3" ht="25" customHeight="1">
      <c r="A36" s="3" t="s">
        <v>78</v>
      </c>
      <c r="B36" s="4" t="s">
        <v>327</v>
      </c>
      <c r="C36" s="19">
        <v>0</v>
      </c>
    </row>
    <row r="37" spans="1:3" ht="25" customHeight="1">
      <c r="A37" s="6" t="s">
        <v>78</v>
      </c>
      <c r="B37" s="7" t="s">
        <v>328</v>
      </c>
      <c r="C37" s="20">
        <v>100</v>
      </c>
    </row>
    <row r="38" spans="1:3" ht="25" customHeight="1">
      <c r="A38" s="3" t="s">
        <v>78</v>
      </c>
      <c r="B38" s="4" t="s">
        <v>329</v>
      </c>
      <c r="C38" s="19">
        <v>50</v>
      </c>
    </row>
    <row r="39" spans="1:3" ht="25" customHeight="1">
      <c r="A39" s="6" t="s">
        <v>78</v>
      </c>
      <c r="B39" s="7" t="s">
        <v>330</v>
      </c>
      <c r="C39" s="20">
        <v>33.3502538071066</v>
      </c>
    </row>
    <row r="40" spans="1:3" ht="25" customHeight="1">
      <c r="A40" s="11" t="s">
        <v>78</v>
      </c>
      <c r="B40" s="12" t="s">
        <v>331</v>
      </c>
      <c r="C40" s="22">
        <v>2223.350253807107</v>
      </c>
    </row>
    <row r="41" spans="1:3" ht="25" customHeight="1">
      <c r="A41" s="6" t="s">
        <v>78</v>
      </c>
      <c r="B41" s="7" t="s">
        <v>332</v>
      </c>
      <c r="C41" s="20">
        <v>0</v>
      </c>
    </row>
    <row r="42" spans="1:3" ht="25" customHeight="1">
      <c r="A42" s="3" t="s">
        <v>78</v>
      </c>
      <c r="B42" s="4" t="s">
        <v>333</v>
      </c>
      <c r="C42" s="19">
        <v>2040</v>
      </c>
    </row>
    <row r="43" spans="1:3" ht="25" customHeight="1">
      <c r="A43" s="6" t="s">
        <v>78</v>
      </c>
      <c r="B43" s="7" t="s">
        <v>334</v>
      </c>
      <c r="C43" s="20">
        <v>183.3502538071066</v>
      </c>
    </row>
    <row r="44" spans="1:3" ht="25" customHeight="1">
      <c r="A44" s="3" t="s">
        <v>78</v>
      </c>
      <c r="B44" s="4" t="s">
        <v>335</v>
      </c>
      <c r="C44" s="19">
        <v>2223.350253807107</v>
      </c>
    </row>
    <row r="45" spans="1:3" ht="25" customHeight="1">
      <c r="A45" s="6" t="s">
        <v>78</v>
      </c>
      <c r="B45" s="7" t="s">
        <v>336</v>
      </c>
      <c r="C45" s="20">
        <v>1330</v>
      </c>
    </row>
    <row r="46" spans="1:3" ht="25" customHeight="1">
      <c r="A46" s="3" t="s">
        <v>78</v>
      </c>
      <c r="B46" s="4" t="s">
        <v>337</v>
      </c>
      <c r="C46" s="19">
        <v>1620</v>
      </c>
    </row>
    <row r="47" spans="1:3" ht="25" customHeight="1">
      <c r="A47" s="6" t="s">
        <v>78</v>
      </c>
      <c r="B47" s="7" t="s">
        <v>338</v>
      </c>
      <c r="C47" s="20">
        <v>340</v>
      </c>
    </row>
    <row r="48" spans="1:3" ht="25" customHeight="1">
      <c r="A48" s="3" t="s">
        <v>78</v>
      </c>
      <c r="B48" s="4" t="s">
        <v>339</v>
      </c>
      <c r="C48" s="19">
        <v>3553.350253807107</v>
      </c>
    </row>
    <row r="49" spans="1:3" ht="25" customHeight="1">
      <c r="A49" s="6" t="s">
        <v>78</v>
      </c>
      <c r="B49" s="7" t="s">
        <v>340</v>
      </c>
      <c r="C49" s="20">
        <v>0</v>
      </c>
    </row>
    <row r="50" spans="1:3" ht="25" customHeight="1">
      <c r="A50" s="3" t="s">
        <v>78</v>
      </c>
      <c r="B50" s="4" t="s">
        <v>341</v>
      </c>
      <c r="C50" s="19">
        <v>0</v>
      </c>
    </row>
    <row r="51" spans="1:3" ht="25" customHeight="1">
      <c r="A51" s="6" t="s">
        <v>79</v>
      </c>
      <c r="B51" s="7" t="s">
        <v>319</v>
      </c>
      <c r="C51" s="7" t="s">
        <v>90</v>
      </c>
    </row>
    <row r="52" spans="1:3" ht="25" customHeight="1">
      <c r="A52" s="3" t="s">
        <v>79</v>
      </c>
      <c r="B52" s="4" t="s">
        <v>320</v>
      </c>
      <c r="C52" s="19">
        <v>2040</v>
      </c>
    </row>
    <row r="53" spans="1:3" ht="25" customHeight="1">
      <c r="A53" s="6" t="s">
        <v>79</v>
      </c>
      <c r="B53" s="7" t="s">
        <v>321</v>
      </c>
      <c r="C53" s="20">
        <v>2150</v>
      </c>
    </row>
    <row r="54" spans="1:3" ht="25" customHeight="1">
      <c r="A54" s="3" t="s">
        <v>79</v>
      </c>
      <c r="B54" s="4" t="s">
        <v>322</v>
      </c>
      <c r="C54" s="19">
        <v>0</v>
      </c>
    </row>
    <row r="55" spans="1:3" ht="25" customHeight="1">
      <c r="A55" s="6" t="s">
        <v>79</v>
      </c>
      <c r="B55" s="7" t="s">
        <v>323</v>
      </c>
      <c r="C55" s="20">
        <v>-20</v>
      </c>
    </row>
    <row r="56" spans="1:3" ht="25" customHeight="1">
      <c r="A56" s="3" t="s">
        <v>79</v>
      </c>
      <c r="B56" s="4" t="s">
        <v>324</v>
      </c>
      <c r="C56" s="19">
        <v>1020</v>
      </c>
    </row>
    <row r="57" spans="1:3" ht="25" customHeight="1">
      <c r="A57" s="6" t="s">
        <v>79</v>
      </c>
      <c r="B57" s="7" t="s">
        <v>325</v>
      </c>
      <c r="C57" s="20">
        <v>1020</v>
      </c>
    </row>
    <row r="58" spans="1:3" ht="25" customHeight="1">
      <c r="A58" s="3" t="s">
        <v>79</v>
      </c>
      <c r="B58" s="4" t="s">
        <v>326</v>
      </c>
      <c r="C58" s="19">
        <v>5.100000000000001</v>
      </c>
    </row>
    <row r="59" spans="1:3" ht="25" customHeight="1">
      <c r="A59" s="6" t="s">
        <v>79</v>
      </c>
      <c r="B59" s="7" t="s">
        <v>327</v>
      </c>
      <c r="C59" s="20">
        <v>0.05992949471210342</v>
      </c>
    </row>
    <row r="60" spans="1:3" ht="25" customHeight="1">
      <c r="A60" s="3" t="s">
        <v>79</v>
      </c>
      <c r="B60" s="4" t="s">
        <v>328</v>
      </c>
      <c r="C60" s="19">
        <v>100</v>
      </c>
    </row>
    <row r="61" spans="1:3" ht="25" customHeight="1">
      <c r="A61" s="6" t="s">
        <v>79</v>
      </c>
      <c r="B61" s="7" t="s">
        <v>329</v>
      </c>
      <c r="C61" s="20">
        <v>50</v>
      </c>
    </row>
    <row r="62" spans="1:3" ht="25" customHeight="1">
      <c r="A62" s="3" t="s">
        <v>79</v>
      </c>
      <c r="B62" s="4" t="s">
        <v>330</v>
      </c>
      <c r="C62" s="19">
        <v>4.568527918781726</v>
      </c>
    </row>
    <row r="63" spans="1:3" ht="25" customHeight="1">
      <c r="A63" s="14" t="s">
        <v>79</v>
      </c>
      <c r="B63" s="15" t="s">
        <v>331</v>
      </c>
      <c r="C63" s="21">
        <v>1174.568527918782</v>
      </c>
    </row>
    <row r="64" spans="1:3" ht="25" customHeight="1">
      <c r="A64" s="3" t="s">
        <v>79</v>
      </c>
      <c r="B64" s="4" t="s">
        <v>332</v>
      </c>
      <c r="C64" s="19">
        <v>870</v>
      </c>
    </row>
    <row r="65" spans="1:3" ht="25" customHeight="1">
      <c r="A65" s="6" t="s">
        <v>79</v>
      </c>
      <c r="B65" s="7" t="s">
        <v>333</v>
      </c>
      <c r="C65" s="20">
        <v>150</v>
      </c>
    </row>
    <row r="66" spans="1:3" ht="25" customHeight="1">
      <c r="A66" s="3" t="s">
        <v>79</v>
      </c>
      <c r="B66" s="4" t="s">
        <v>334</v>
      </c>
      <c r="C66" s="19">
        <v>154.5685279187817</v>
      </c>
    </row>
    <row r="67" spans="1:3" ht="25" customHeight="1">
      <c r="A67" s="6" t="s">
        <v>79</v>
      </c>
      <c r="B67" s="7" t="s">
        <v>335</v>
      </c>
      <c r="C67" s="20">
        <v>304.5685279187817</v>
      </c>
    </row>
    <row r="68" spans="1:3" ht="25" customHeight="1">
      <c r="A68" s="3" t="s">
        <v>79</v>
      </c>
      <c r="B68" s="4" t="s">
        <v>336</v>
      </c>
      <c r="C68" s="19">
        <v>1330</v>
      </c>
    </row>
    <row r="69" spans="1:3" ht="25" customHeight="1">
      <c r="A69" s="6" t="s">
        <v>79</v>
      </c>
      <c r="B69" s="7" t="s">
        <v>337</v>
      </c>
      <c r="C69" s="20">
        <v>750</v>
      </c>
    </row>
    <row r="70" spans="1:3" ht="25" customHeight="1">
      <c r="A70" s="3" t="s">
        <v>79</v>
      </c>
      <c r="B70" s="4" t="s">
        <v>338</v>
      </c>
      <c r="C70" s="19">
        <v>340</v>
      </c>
    </row>
    <row r="71" spans="1:3" ht="25" customHeight="1">
      <c r="A71" s="6" t="s">
        <v>79</v>
      </c>
      <c r="B71" s="7" t="s">
        <v>339</v>
      </c>
      <c r="C71" s="20">
        <v>1634.568527918782</v>
      </c>
    </row>
    <row r="72" spans="1:3" ht="25" customHeight="1">
      <c r="A72" s="3" t="s">
        <v>79</v>
      </c>
      <c r="B72" s="4" t="s">
        <v>340</v>
      </c>
      <c r="C72" s="19">
        <v>0</v>
      </c>
    </row>
    <row r="73" spans="1:3" ht="25" customHeight="1">
      <c r="A73" s="6" t="s">
        <v>79</v>
      </c>
      <c r="B73" s="7" t="s">
        <v>341</v>
      </c>
      <c r="C73" s="20">
        <v>0</v>
      </c>
    </row>
  </sheetData>
  <autoFilter ref="A4:C73"/>
  <mergeCells count="2">
    <mergeCell ref="A2:C2"/>
    <mergeCell ref="A3:C3"/>
  </mergeCells>
  <pageMargins left="0.3" right="0.3" top="0.4" bottom="0.4" header="0.3" footer="0.3"/>
  <pageSetup paperSize="9" scale="85" orientation="landscape"/>
  <headerFooter>
    <oddFooter>&amp;LSources Uses&amp;RPage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C5658"/>
  </sheetPr>
  <dimension ref="A1:K1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1" width="18.7109375" customWidth="1"/>
  </cols>
  <sheetData>
    <row r="1" spans="1:11" ht="9" customHeight="1"/>
    <row r="2" spans="1:11" ht="62" customHeight="1">
      <c r="A2" s="1" t="s">
        <v>342</v>
      </c>
      <c r="B2" s="1"/>
      <c r="C2" s="1"/>
      <c r="D2" s="1"/>
      <c r="E2" s="1"/>
      <c r="F2" s="1"/>
      <c r="G2" s="8"/>
      <c r="H2" s="8"/>
      <c r="I2" s="8"/>
      <c r="J2" s="8"/>
      <c r="K2" s="8"/>
    </row>
    <row r="3" spans="1:11" ht="30" customHeight="1">
      <c r="A3" s="2" t="s">
        <v>125</v>
      </c>
      <c r="B3" s="2"/>
      <c r="C3" s="2"/>
      <c r="D3" s="2"/>
      <c r="E3" s="2"/>
      <c r="F3" s="2"/>
      <c r="G3" s="8"/>
      <c r="H3" s="8"/>
      <c r="I3" s="8"/>
      <c r="J3" s="8"/>
      <c r="K3" s="8"/>
    </row>
    <row r="4" spans="1:11" ht="34" customHeight="1">
      <c r="A4" s="5" t="s">
        <v>65</v>
      </c>
      <c r="B4" s="5" t="s">
        <v>343</v>
      </c>
      <c r="C4" s="5" t="s">
        <v>344</v>
      </c>
      <c r="D4" s="5" t="s">
        <v>345</v>
      </c>
      <c r="E4" s="5" t="s">
        <v>346</v>
      </c>
      <c r="F4" s="5" t="s">
        <v>347</v>
      </c>
      <c r="G4" s="5" t="s">
        <v>348</v>
      </c>
      <c r="H4" s="5" t="s">
        <v>349</v>
      </c>
      <c r="I4" s="5" t="s">
        <v>350</v>
      </c>
      <c r="J4" s="5" t="s">
        <v>351</v>
      </c>
      <c r="K4" s="5" t="s">
        <v>352</v>
      </c>
    </row>
    <row r="5" spans="1:11" ht="25" customHeight="1">
      <c r="A5" s="6" t="s">
        <v>68</v>
      </c>
      <c r="B5" s="7" t="s">
        <v>178</v>
      </c>
      <c r="C5" s="9">
        <v>1600</v>
      </c>
      <c r="D5" s="9">
        <v>120</v>
      </c>
      <c r="E5" s="9">
        <v>80</v>
      </c>
      <c r="F5" s="9">
        <v>20</v>
      </c>
      <c r="G5" s="9">
        <v>0</v>
      </c>
      <c r="H5" s="9">
        <v>0</v>
      </c>
      <c r="I5" s="9">
        <f>C5+D5-E5-F5-G5-H5</f>
        <v>1620.0</v>
      </c>
      <c r="J5" s="9">
        <v>980</v>
      </c>
      <c r="K5" s="9">
        <f>J5-H5</f>
        <v>980.0</v>
      </c>
    </row>
    <row r="6" spans="1:11" ht="25" customHeight="1">
      <c r="A6" s="3" t="s">
        <v>68</v>
      </c>
      <c r="B6" s="4" t="s">
        <v>236</v>
      </c>
      <c r="C6" s="10">
        <v>320</v>
      </c>
      <c r="D6" s="10">
        <v>120</v>
      </c>
      <c r="E6" s="10">
        <v>80</v>
      </c>
      <c r="F6" s="10">
        <v>20</v>
      </c>
      <c r="G6" s="10">
        <v>0</v>
      </c>
      <c r="H6" s="10">
        <v>0</v>
      </c>
      <c r="I6" s="10">
        <f>C6+D6-E6-F6-G6-H6</f>
        <v>340.0</v>
      </c>
      <c r="J6" s="10">
        <v>450</v>
      </c>
      <c r="K6" s="10">
        <f>J6-H6</f>
        <v>450.0</v>
      </c>
    </row>
    <row r="7" spans="1:11" ht="25" customHeight="1">
      <c r="A7" s="6" t="s">
        <v>78</v>
      </c>
      <c r="B7" s="7" t="s">
        <v>178</v>
      </c>
      <c r="C7" s="9">
        <v>1600</v>
      </c>
      <c r="D7" s="9">
        <v>120</v>
      </c>
      <c r="E7" s="9">
        <v>80</v>
      </c>
      <c r="F7" s="9">
        <v>20</v>
      </c>
      <c r="G7" s="9">
        <v>0</v>
      </c>
      <c r="H7" s="9">
        <v>0</v>
      </c>
      <c r="I7" s="9">
        <f>C7+D7-E7-F7-G7-H7</f>
        <v>1620.0</v>
      </c>
      <c r="J7" s="9">
        <v>980</v>
      </c>
      <c r="K7" s="9">
        <f>J7-H7</f>
        <v>980.0</v>
      </c>
    </row>
    <row r="8" spans="1:11" ht="25" customHeight="1">
      <c r="A8" s="3" t="s">
        <v>78</v>
      </c>
      <c r="B8" s="4" t="s">
        <v>236</v>
      </c>
      <c r="C8" s="10">
        <v>320</v>
      </c>
      <c r="D8" s="10">
        <v>120</v>
      </c>
      <c r="E8" s="10">
        <v>80</v>
      </c>
      <c r="F8" s="10">
        <v>20</v>
      </c>
      <c r="G8" s="10">
        <v>0</v>
      </c>
      <c r="H8" s="10">
        <v>0</v>
      </c>
      <c r="I8" s="10">
        <f>C8+D8-E8-F8-G8-H8</f>
        <v>340.0</v>
      </c>
      <c r="J8" s="10">
        <v>450</v>
      </c>
      <c r="K8" s="10">
        <f>J8-H8</f>
        <v>450.0</v>
      </c>
    </row>
    <row r="9" spans="1:11" ht="25" customHeight="1">
      <c r="A9" s="6" t="s">
        <v>79</v>
      </c>
      <c r="B9" s="7" t="s">
        <v>178</v>
      </c>
      <c r="C9" s="9">
        <v>1600</v>
      </c>
      <c r="D9" s="9">
        <v>120</v>
      </c>
      <c r="E9" s="9">
        <v>80</v>
      </c>
      <c r="F9" s="9">
        <v>20</v>
      </c>
      <c r="G9" s="9">
        <v>0</v>
      </c>
      <c r="H9" s="9">
        <v>0</v>
      </c>
      <c r="I9" s="9">
        <f>C9+D9-E9-F9-G9-H9</f>
        <v>1620.0</v>
      </c>
      <c r="J9" s="9">
        <v>980</v>
      </c>
      <c r="K9" s="9">
        <f>J9-H9</f>
        <v>980.0</v>
      </c>
    </row>
    <row r="10" spans="1:11" ht="25" customHeight="1">
      <c r="A10" s="3" t="s">
        <v>79</v>
      </c>
      <c r="B10" s="4" t="s">
        <v>236</v>
      </c>
      <c r="C10" s="10">
        <v>320</v>
      </c>
      <c r="D10" s="10">
        <v>120</v>
      </c>
      <c r="E10" s="10">
        <v>80</v>
      </c>
      <c r="F10" s="10">
        <v>20</v>
      </c>
      <c r="G10" s="10">
        <v>0</v>
      </c>
      <c r="H10" s="10">
        <v>0</v>
      </c>
      <c r="I10" s="10">
        <f>C10+D10-E10-F10-G10-H10</f>
        <v>340.0</v>
      </c>
      <c r="J10" s="10">
        <v>450</v>
      </c>
      <c r="K10" s="10">
        <f>J10-H10</f>
        <v>450.0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&amp;LOpening Bridge&amp;RPage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3C5658"/>
  </sheetPr>
  <dimension ref="A1:P3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6" width="18.7109375" customWidth="1"/>
  </cols>
  <sheetData>
    <row r="1" spans="1:16" ht="9" customHeight="1"/>
    <row r="2" spans="1:16" ht="42" customHeight="1">
      <c r="A2" s="1" t="s">
        <v>353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  <c r="M2" s="8"/>
      <c r="N2" s="8"/>
      <c r="O2" s="8"/>
      <c r="P2" s="8"/>
    </row>
    <row r="3" spans="1:16" ht="30" customHeight="1">
      <c r="A3" s="2" t="s">
        <v>125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  <c r="M3" s="8"/>
      <c r="N3" s="8"/>
      <c r="O3" s="8"/>
      <c r="P3" s="8"/>
    </row>
    <row r="4" spans="1:16" ht="40" customHeight="1">
      <c r="A4" s="5" t="s">
        <v>65</v>
      </c>
      <c r="B4" s="5" t="s">
        <v>343</v>
      </c>
      <c r="C4" s="5" t="s">
        <v>354</v>
      </c>
      <c r="D4" s="5" t="s">
        <v>355</v>
      </c>
      <c r="E4" s="5" t="s">
        <v>356</v>
      </c>
      <c r="F4" s="5" t="s">
        <v>357</v>
      </c>
      <c r="G4" s="5" t="s">
        <v>358</v>
      </c>
      <c r="H4" s="5" t="s">
        <v>359</v>
      </c>
      <c r="I4" s="5" t="s">
        <v>360</v>
      </c>
      <c r="J4" s="5" t="s">
        <v>361</v>
      </c>
      <c r="K4" s="5" t="s">
        <v>362</v>
      </c>
      <c r="L4" s="5" t="s">
        <v>346</v>
      </c>
      <c r="M4" s="5" t="s">
        <v>363</v>
      </c>
      <c r="N4" s="5" t="s">
        <v>364</v>
      </c>
      <c r="O4" s="5" t="s">
        <v>365</v>
      </c>
      <c r="P4" s="5" t="s">
        <v>366</v>
      </c>
    </row>
    <row r="5" spans="1:16" ht="25" customHeight="1">
      <c r="A5" s="6" t="s">
        <v>68</v>
      </c>
      <c r="B5" s="7" t="s">
        <v>178</v>
      </c>
      <c r="C5" s="23">
        <v>1</v>
      </c>
      <c r="D5" s="9">
        <v>11275</v>
      </c>
      <c r="E5" s="9">
        <v>7441.499999999998</v>
      </c>
      <c r="F5" s="9">
        <v>1127.5</v>
      </c>
      <c r="G5" s="9">
        <v>1173</v>
      </c>
      <c r="H5" s="9">
        <v>285.6</v>
      </c>
      <c r="I5" s="9">
        <f>D5-E5-F5-G5-H5</f>
        <v>1247.4</v>
      </c>
      <c r="J5" s="9">
        <v>281.8749999999999</v>
      </c>
      <c r="K5" s="9">
        <f>I5-J5</f>
        <v>965.5250000000001</v>
      </c>
      <c r="L5" s="9">
        <v>394.625</v>
      </c>
      <c r="M5" s="9">
        <v>1529.075342465753</v>
      </c>
      <c r="N5" s="9">
        <v>154.4520547945205</v>
      </c>
      <c r="O5" s="9">
        <v>815.5068493150683</v>
      </c>
      <c r="P5" s="9">
        <f>M5+N5-O5</f>
        <v>868.0205479452053</v>
      </c>
    </row>
    <row r="6" spans="1:16" ht="25" customHeight="1">
      <c r="A6" s="3" t="s">
        <v>68</v>
      </c>
      <c r="B6" s="4" t="s">
        <v>178</v>
      </c>
      <c r="C6" s="24">
        <v>2</v>
      </c>
      <c r="D6" s="10">
        <v>11556.875</v>
      </c>
      <c r="E6" s="10">
        <v>7627.537499999997</v>
      </c>
      <c r="F6" s="10">
        <v>1155.6875</v>
      </c>
      <c r="G6" s="10">
        <v>1196.46</v>
      </c>
      <c r="H6" s="10">
        <v>291.312</v>
      </c>
      <c r="I6" s="10">
        <f>D6-E6-F6-G6-H6</f>
        <v>1285.8779999999997</v>
      </c>
      <c r="J6" s="10">
        <v>288.9218749999999</v>
      </c>
      <c r="K6" s="10">
        <f>I6-J6</f>
        <v>996.9561249999997</v>
      </c>
      <c r="L6" s="10">
        <v>404.4906249999999</v>
      </c>
      <c r="M6" s="10">
        <v>1567.302226027397</v>
      </c>
      <c r="N6" s="10">
        <v>158.3133561643835</v>
      </c>
      <c r="O6" s="10">
        <v>835.8945205479449</v>
      </c>
      <c r="P6" s="10">
        <f>M6+N6-O6</f>
        <v>889.7210616438354</v>
      </c>
    </row>
    <row r="7" spans="1:16" ht="25" customHeight="1">
      <c r="A7" s="6" t="s">
        <v>68</v>
      </c>
      <c r="B7" s="7" t="s">
        <v>178</v>
      </c>
      <c r="C7" s="23">
        <v>3</v>
      </c>
      <c r="D7" s="9">
        <v>11845.79687499999</v>
      </c>
      <c r="E7" s="9">
        <v>7818.225937499996</v>
      </c>
      <c r="F7" s="9">
        <v>1184.579687499999</v>
      </c>
      <c r="G7" s="9">
        <v>1220.3892</v>
      </c>
      <c r="H7" s="9">
        <v>297.1382400000001</v>
      </c>
      <c r="I7" s="9">
        <f>D7-E7-F7-G7-H7</f>
        <v>1325.463809999999</v>
      </c>
      <c r="J7" s="9">
        <v>296.1449218749999</v>
      </c>
      <c r="K7" s="9">
        <f>I7-J7</f>
        <v>1029.3188881249991</v>
      </c>
      <c r="L7" s="9">
        <v>414.6028906249999</v>
      </c>
      <c r="M7" s="9">
        <v>1606.484781678081</v>
      </c>
      <c r="N7" s="9">
        <v>162.2711900684931</v>
      </c>
      <c r="O7" s="9">
        <v>856.7918835616434</v>
      </c>
      <c r="P7" s="9">
        <f>M7+N7-O7</f>
        <v>911.9640881849308</v>
      </c>
    </row>
    <row r="8" spans="1:16" ht="25" customHeight="1">
      <c r="A8" s="3" t="s">
        <v>68</v>
      </c>
      <c r="B8" s="4" t="s">
        <v>178</v>
      </c>
      <c r="C8" s="24">
        <v>4</v>
      </c>
      <c r="D8" s="10">
        <v>12141.94179687499</v>
      </c>
      <c r="E8" s="10">
        <v>8013.681585937495</v>
      </c>
      <c r="F8" s="10">
        <v>1214.194179687499</v>
      </c>
      <c r="G8" s="10">
        <v>1244.796984</v>
      </c>
      <c r="H8" s="10">
        <v>303.0810048</v>
      </c>
      <c r="I8" s="10">
        <f>D8-E8-F8-G8-H8</f>
        <v>1366.1880424499989</v>
      </c>
      <c r="J8" s="10">
        <v>303.5485449218748</v>
      </c>
      <c r="K8" s="10">
        <f>I8-J8</f>
        <v>1062.6394975281241</v>
      </c>
      <c r="L8" s="10">
        <v>424.9679628906248</v>
      </c>
      <c r="M8" s="10">
        <v>1646.646901220033</v>
      </c>
      <c r="N8" s="10">
        <v>166.3279698202054</v>
      </c>
      <c r="O8" s="10">
        <v>878.2116806506842</v>
      </c>
      <c r="P8" s="10">
        <f>M8+N8-O8</f>
        <v>934.7631903895544</v>
      </c>
    </row>
    <row r="9" spans="1:16" ht="25" customHeight="1">
      <c r="A9" s="6" t="s">
        <v>68</v>
      </c>
      <c r="B9" s="7" t="s">
        <v>178</v>
      </c>
      <c r="C9" s="23">
        <v>5</v>
      </c>
      <c r="D9" s="9">
        <v>12445.49034179687</v>
      </c>
      <c r="E9" s="9">
        <v>8214.023625585931</v>
      </c>
      <c r="F9" s="9">
        <v>1244.549034179687</v>
      </c>
      <c r="G9" s="9">
        <v>1269.69292368</v>
      </c>
      <c r="H9" s="9">
        <v>309.142624896</v>
      </c>
      <c r="I9" s="9">
        <f>D9-E9-F9-G9-H9</f>
        <v>1408.0821334552497</v>
      </c>
      <c r="J9" s="9">
        <v>311.1372585449217</v>
      </c>
      <c r="K9" s="9">
        <f>I9-J9</f>
        <v>1096.944874910328</v>
      </c>
      <c r="L9" s="9">
        <v>435.5921619628904</v>
      </c>
      <c r="M9" s="9">
        <v>1687.813073750534</v>
      </c>
      <c r="N9" s="9">
        <v>170.4861690657105</v>
      </c>
      <c r="O9" s="9">
        <v>900.1669726669514</v>
      </c>
      <c r="P9" s="9">
        <f>M9+N9-O9</f>
        <v>958.1322701492928</v>
      </c>
    </row>
    <row r="10" spans="1:16" ht="25" customHeight="1">
      <c r="A10" s="3" t="s">
        <v>68</v>
      </c>
      <c r="B10" s="4" t="s">
        <v>236</v>
      </c>
      <c r="C10" s="24">
        <v>1</v>
      </c>
      <c r="D10" s="10">
        <v>5534.999999999999</v>
      </c>
      <c r="E10" s="10">
        <v>3763.799999999999</v>
      </c>
      <c r="F10" s="10">
        <v>553.4999999999999</v>
      </c>
      <c r="G10" s="10">
        <v>683.4</v>
      </c>
      <c r="H10" s="10">
        <v>224.4</v>
      </c>
      <c r="I10" s="10">
        <f>D10-E10-F10-G10-H10</f>
        <v>309.9000000000003</v>
      </c>
      <c r="J10" s="10">
        <v>138.375</v>
      </c>
      <c r="K10" s="10">
        <f>I10-J10</f>
        <v>171.52500000000035</v>
      </c>
      <c r="L10" s="10">
        <v>193.725</v>
      </c>
      <c r="M10" s="10">
        <v>773.3835616438353</v>
      </c>
      <c r="N10" s="10">
        <v>75.82191780821917</v>
      </c>
      <c r="O10" s="10">
        <v>412.4712328767122</v>
      </c>
      <c r="P10" s="10">
        <f>M10+N10-O10</f>
        <v>436.73424657534224</v>
      </c>
    </row>
    <row r="11" spans="1:16" ht="25" customHeight="1">
      <c r="A11" s="6" t="s">
        <v>68</v>
      </c>
      <c r="B11" s="7" t="s">
        <v>236</v>
      </c>
      <c r="C11" s="23">
        <v>2</v>
      </c>
      <c r="D11" s="9">
        <v>5673.374999999998</v>
      </c>
      <c r="E11" s="9">
        <v>3857.894999999999</v>
      </c>
      <c r="F11" s="9">
        <v>567.3374999999999</v>
      </c>
      <c r="G11" s="9">
        <v>697.068</v>
      </c>
      <c r="H11" s="9">
        <v>228.888</v>
      </c>
      <c r="I11" s="9">
        <f>D11-E11-F11-G11-H11</f>
        <v>322.1864999999997</v>
      </c>
      <c r="J11" s="9">
        <v>141.834375</v>
      </c>
      <c r="K11" s="9">
        <f>I11-J11</f>
        <v>180.35212499999972</v>
      </c>
      <c r="L11" s="9">
        <v>198.568125</v>
      </c>
      <c r="M11" s="9">
        <v>792.7181506849312</v>
      </c>
      <c r="N11" s="9">
        <v>77.71746575342463</v>
      </c>
      <c r="O11" s="9">
        <v>422.7830136986299</v>
      </c>
      <c r="P11" s="9">
        <f>M11+N11-O11</f>
        <v>447.6526027397259</v>
      </c>
    </row>
    <row r="12" spans="1:16" ht="25" customHeight="1">
      <c r="A12" s="3" t="s">
        <v>68</v>
      </c>
      <c r="B12" s="4" t="s">
        <v>236</v>
      </c>
      <c r="C12" s="24">
        <v>3</v>
      </c>
      <c r="D12" s="10">
        <v>5815.209374999998</v>
      </c>
      <c r="E12" s="10">
        <v>3954.342374999998</v>
      </c>
      <c r="F12" s="10">
        <v>581.5209374999998</v>
      </c>
      <c r="G12" s="10">
        <v>711.0093600000001</v>
      </c>
      <c r="H12" s="10">
        <v>233.46576</v>
      </c>
      <c r="I12" s="10">
        <f>D12-E12-F12-G12-H12</f>
        <v>334.8709424999996</v>
      </c>
      <c r="J12" s="10">
        <v>145.380234375</v>
      </c>
      <c r="K12" s="10">
        <f>I12-J12</f>
        <v>189.49070812499966</v>
      </c>
      <c r="L12" s="10">
        <v>203.5323281249999</v>
      </c>
      <c r="M12" s="10">
        <v>812.5361044520544</v>
      </c>
      <c r="N12" s="10">
        <v>79.66040239726024</v>
      </c>
      <c r="O12" s="10">
        <v>433.3525890410957</v>
      </c>
      <c r="P12" s="10">
        <f>M12+N12-O12</f>
        <v>458.8439178082189</v>
      </c>
    </row>
    <row r="13" spans="1:16" ht="25" customHeight="1">
      <c r="A13" s="6" t="s">
        <v>68</v>
      </c>
      <c r="B13" s="7" t="s">
        <v>236</v>
      </c>
      <c r="C13" s="23">
        <v>4</v>
      </c>
      <c r="D13" s="9">
        <v>5960.589609374997</v>
      </c>
      <c r="E13" s="9">
        <v>4053.200934374998</v>
      </c>
      <c r="F13" s="9">
        <v>596.0589609374997</v>
      </c>
      <c r="G13" s="9">
        <v>725.2295472</v>
      </c>
      <c r="H13" s="9">
        <v>238.1350752</v>
      </c>
      <c r="I13" s="9">
        <f>D13-E13-F13-G13-H13</f>
        <v>347.9650916624996</v>
      </c>
      <c r="J13" s="9">
        <v>149.0147402343749</v>
      </c>
      <c r="K13" s="9">
        <f>I13-J13</f>
        <v>198.9503514281247</v>
      </c>
      <c r="L13" s="9">
        <v>208.6206363281249</v>
      </c>
      <c r="M13" s="9">
        <v>832.8495070633556</v>
      </c>
      <c r="N13" s="9">
        <v>81.65191245719174</v>
      </c>
      <c r="O13" s="9">
        <v>444.186403767123</v>
      </c>
      <c r="P13" s="9">
        <f>M13+N13-O13</f>
        <v>470.3150157534244</v>
      </c>
    </row>
    <row r="14" spans="1:16" ht="25" customHeight="1">
      <c r="A14" s="3" t="s">
        <v>68</v>
      </c>
      <c r="B14" s="4" t="s">
        <v>236</v>
      </c>
      <c r="C14" s="24">
        <v>5</v>
      </c>
      <c r="D14" s="10">
        <v>6109.604349609372</v>
      </c>
      <c r="E14" s="10">
        <v>4154.530957734372</v>
      </c>
      <c r="F14" s="10">
        <v>610.9604349609372</v>
      </c>
      <c r="G14" s="10">
        <v>739.734138144</v>
      </c>
      <c r="H14" s="10">
        <v>242.897776704</v>
      </c>
      <c r="I14" s="10">
        <f>D14-E14-F14-G14-H14</f>
        <v>361.4810420660622</v>
      </c>
      <c r="J14" s="10">
        <v>152.7401087402343</v>
      </c>
      <c r="K14" s="10">
        <f>I14-J14</f>
        <v>208.74093332582788</v>
      </c>
      <c r="L14" s="10">
        <v>213.836152236328</v>
      </c>
      <c r="M14" s="10">
        <v>853.6707447399394</v>
      </c>
      <c r="N14" s="10">
        <v>83.69321026862153</v>
      </c>
      <c r="O14" s="10">
        <v>455.2910638613011</v>
      </c>
      <c r="P14" s="10">
        <f>M14+N14-O14</f>
        <v>482.0728911472599</v>
      </c>
    </row>
    <row r="15" spans="1:16" ht="25" customHeight="1">
      <c r="A15" s="6" t="s">
        <v>78</v>
      </c>
      <c r="B15" s="7" t="s">
        <v>178</v>
      </c>
      <c r="C15" s="23">
        <v>1</v>
      </c>
      <c r="D15" s="9">
        <v>11275</v>
      </c>
      <c r="E15" s="9">
        <v>7441.499999999998</v>
      </c>
      <c r="F15" s="9">
        <v>1127.5</v>
      </c>
      <c r="G15" s="9">
        <v>1173</v>
      </c>
      <c r="H15" s="9">
        <v>285.6</v>
      </c>
      <c r="I15" s="9">
        <f>D15-E15-F15-G15-H15</f>
        <v>1247.4</v>
      </c>
      <c r="J15" s="9">
        <v>281.8749999999999</v>
      </c>
      <c r="K15" s="9">
        <f>I15-J15</f>
        <v>965.5250000000001</v>
      </c>
      <c r="L15" s="9">
        <v>394.625</v>
      </c>
      <c r="M15" s="9">
        <v>1529.075342465753</v>
      </c>
      <c r="N15" s="9">
        <v>154.4520547945205</v>
      </c>
      <c r="O15" s="9">
        <v>815.5068493150683</v>
      </c>
      <c r="P15" s="9">
        <f>M15+N15-O15</f>
        <v>868.0205479452053</v>
      </c>
    </row>
    <row r="16" spans="1:16" ht="25" customHeight="1">
      <c r="A16" s="3" t="s">
        <v>78</v>
      </c>
      <c r="B16" s="4" t="s">
        <v>178</v>
      </c>
      <c r="C16" s="24">
        <v>2</v>
      </c>
      <c r="D16" s="10">
        <v>11556.875</v>
      </c>
      <c r="E16" s="10">
        <v>7627.537499999997</v>
      </c>
      <c r="F16" s="10">
        <v>1155.6875</v>
      </c>
      <c r="G16" s="10">
        <v>1196.46</v>
      </c>
      <c r="H16" s="10">
        <v>291.312</v>
      </c>
      <c r="I16" s="10">
        <f>D16-E16-F16-G16-H16</f>
        <v>1285.8779999999997</v>
      </c>
      <c r="J16" s="10">
        <v>288.9218749999999</v>
      </c>
      <c r="K16" s="10">
        <f>I16-J16</f>
        <v>996.9561249999997</v>
      </c>
      <c r="L16" s="10">
        <v>404.4906249999999</v>
      </c>
      <c r="M16" s="10">
        <v>1567.302226027397</v>
      </c>
      <c r="N16" s="10">
        <v>158.3133561643835</v>
      </c>
      <c r="O16" s="10">
        <v>835.8945205479449</v>
      </c>
      <c r="P16" s="10">
        <f>M16+N16-O16</f>
        <v>889.7210616438354</v>
      </c>
    </row>
    <row r="17" spans="1:16" ht="25" customHeight="1">
      <c r="A17" s="6" t="s">
        <v>78</v>
      </c>
      <c r="B17" s="7" t="s">
        <v>178</v>
      </c>
      <c r="C17" s="23">
        <v>3</v>
      </c>
      <c r="D17" s="9">
        <v>11845.79687499999</v>
      </c>
      <c r="E17" s="9">
        <v>7818.225937499996</v>
      </c>
      <c r="F17" s="9">
        <v>1184.579687499999</v>
      </c>
      <c r="G17" s="9">
        <v>1220.3892</v>
      </c>
      <c r="H17" s="9">
        <v>297.1382400000001</v>
      </c>
      <c r="I17" s="9">
        <f>D17-E17-F17-G17-H17</f>
        <v>1325.463809999999</v>
      </c>
      <c r="J17" s="9">
        <v>296.1449218749999</v>
      </c>
      <c r="K17" s="9">
        <f>I17-J17</f>
        <v>1029.3188881249991</v>
      </c>
      <c r="L17" s="9">
        <v>414.6028906249999</v>
      </c>
      <c r="M17" s="9">
        <v>1606.484781678081</v>
      </c>
      <c r="N17" s="9">
        <v>162.2711900684931</v>
      </c>
      <c r="O17" s="9">
        <v>856.7918835616434</v>
      </c>
      <c r="P17" s="9">
        <f>M17+N17-O17</f>
        <v>911.9640881849308</v>
      </c>
    </row>
    <row r="18" spans="1:16" ht="25" customHeight="1">
      <c r="A18" s="3" t="s">
        <v>78</v>
      </c>
      <c r="B18" s="4" t="s">
        <v>178</v>
      </c>
      <c r="C18" s="24">
        <v>4</v>
      </c>
      <c r="D18" s="10">
        <v>12141.94179687499</v>
      </c>
      <c r="E18" s="10">
        <v>8013.681585937495</v>
      </c>
      <c r="F18" s="10">
        <v>1214.194179687499</v>
      </c>
      <c r="G18" s="10">
        <v>1244.796984</v>
      </c>
      <c r="H18" s="10">
        <v>303.0810048</v>
      </c>
      <c r="I18" s="10">
        <f>D18-E18-F18-G18-H18</f>
        <v>1366.1880424499989</v>
      </c>
      <c r="J18" s="10">
        <v>303.5485449218748</v>
      </c>
      <c r="K18" s="10">
        <f>I18-J18</f>
        <v>1062.6394975281241</v>
      </c>
      <c r="L18" s="10">
        <v>424.9679628906248</v>
      </c>
      <c r="M18" s="10">
        <v>1646.646901220033</v>
      </c>
      <c r="N18" s="10">
        <v>166.3279698202054</v>
      </c>
      <c r="O18" s="10">
        <v>878.2116806506842</v>
      </c>
      <c r="P18" s="10">
        <f>M18+N18-O18</f>
        <v>934.7631903895544</v>
      </c>
    </row>
    <row r="19" spans="1:16" ht="25" customHeight="1">
      <c r="A19" s="6" t="s">
        <v>78</v>
      </c>
      <c r="B19" s="7" t="s">
        <v>178</v>
      </c>
      <c r="C19" s="23">
        <v>5</v>
      </c>
      <c r="D19" s="9">
        <v>12445.49034179687</v>
      </c>
      <c r="E19" s="9">
        <v>8214.023625585931</v>
      </c>
      <c r="F19" s="9">
        <v>1244.549034179687</v>
      </c>
      <c r="G19" s="9">
        <v>1269.69292368</v>
      </c>
      <c r="H19" s="9">
        <v>309.142624896</v>
      </c>
      <c r="I19" s="9">
        <f>D19-E19-F19-G19-H19</f>
        <v>1408.0821334552497</v>
      </c>
      <c r="J19" s="9">
        <v>311.1372585449217</v>
      </c>
      <c r="K19" s="9">
        <f>I19-J19</f>
        <v>1096.944874910328</v>
      </c>
      <c r="L19" s="9">
        <v>435.5921619628904</v>
      </c>
      <c r="M19" s="9">
        <v>1687.813073750534</v>
      </c>
      <c r="N19" s="9">
        <v>170.4861690657105</v>
      </c>
      <c r="O19" s="9">
        <v>900.1669726669514</v>
      </c>
      <c r="P19" s="9">
        <f>M19+N19-O19</f>
        <v>958.1322701492928</v>
      </c>
    </row>
    <row r="20" spans="1:16" ht="25" customHeight="1">
      <c r="A20" s="3" t="s">
        <v>78</v>
      </c>
      <c r="B20" s="4" t="s">
        <v>236</v>
      </c>
      <c r="C20" s="24">
        <v>1</v>
      </c>
      <c r="D20" s="10">
        <v>5534.999999999999</v>
      </c>
      <c r="E20" s="10">
        <v>3763.799999999999</v>
      </c>
      <c r="F20" s="10">
        <v>553.4999999999999</v>
      </c>
      <c r="G20" s="10">
        <v>683.4</v>
      </c>
      <c r="H20" s="10">
        <v>224.4</v>
      </c>
      <c r="I20" s="10">
        <f>D20-E20-F20-G20-H20</f>
        <v>309.9000000000003</v>
      </c>
      <c r="J20" s="10">
        <v>138.375</v>
      </c>
      <c r="K20" s="10">
        <f>I20-J20</f>
        <v>171.52500000000035</v>
      </c>
      <c r="L20" s="10">
        <v>193.725</v>
      </c>
      <c r="M20" s="10">
        <v>773.3835616438353</v>
      </c>
      <c r="N20" s="10">
        <v>75.82191780821917</v>
      </c>
      <c r="O20" s="10">
        <v>412.4712328767122</v>
      </c>
      <c r="P20" s="10">
        <f>M20+N20-O20</f>
        <v>436.73424657534224</v>
      </c>
    </row>
    <row r="21" spans="1:16" ht="25" customHeight="1">
      <c r="A21" s="6" t="s">
        <v>78</v>
      </c>
      <c r="B21" s="7" t="s">
        <v>236</v>
      </c>
      <c r="C21" s="23">
        <v>2</v>
      </c>
      <c r="D21" s="9">
        <v>5673.374999999998</v>
      </c>
      <c r="E21" s="9">
        <v>3857.894999999999</v>
      </c>
      <c r="F21" s="9">
        <v>567.3374999999999</v>
      </c>
      <c r="G21" s="9">
        <v>697.068</v>
      </c>
      <c r="H21" s="9">
        <v>228.888</v>
      </c>
      <c r="I21" s="9">
        <f>D21-E21-F21-G21-H21</f>
        <v>322.1864999999997</v>
      </c>
      <c r="J21" s="9">
        <v>141.834375</v>
      </c>
      <c r="K21" s="9">
        <f>I21-J21</f>
        <v>180.35212499999972</v>
      </c>
      <c r="L21" s="9">
        <v>198.568125</v>
      </c>
      <c r="M21" s="9">
        <v>792.7181506849312</v>
      </c>
      <c r="N21" s="9">
        <v>77.71746575342463</v>
      </c>
      <c r="O21" s="9">
        <v>422.7830136986299</v>
      </c>
      <c r="P21" s="9">
        <f>M21+N21-O21</f>
        <v>447.6526027397259</v>
      </c>
    </row>
    <row r="22" spans="1:16" ht="25" customHeight="1">
      <c r="A22" s="3" t="s">
        <v>78</v>
      </c>
      <c r="B22" s="4" t="s">
        <v>236</v>
      </c>
      <c r="C22" s="24">
        <v>3</v>
      </c>
      <c r="D22" s="10">
        <v>5815.209374999998</v>
      </c>
      <c r="E22" s="10">
        <v>3954.342374999998</v>
      </c>
      <c r="F22" s="10">
        <v>581.5209374999998</v>
      </c>
      <c r="G22" s="10">
        <v>711.0093600000001</v>
      </c>
      <c r="H22" s="10">
        <v>233.46576</v>
      </c>
      <c r="I22" s="10">
        <f>D22-E22-F22-G22-H22</f>
        <v>334.8709424999996</v>
      </c>
      <c r="J22" s="10">
        <v>145.380234375</v>
      </c>
      <c r="K22" s="10">
        <f>I22-J22</f>
        <v>189.49070812499966</v>
      </c>
      <c r="L22" s="10">
        <v>203.5323281249999</v>
      </c>
      <c r="M22" s="10">
        <v>812.5361044520544</v>
      </c>
      <c r="N22" s="10">
        <v>79.66040239726024</v>
      </c>
      <c r="O22" s="10">
        <v>433.3525890410957</v>
      </c>
      <c r="P22" s="10">
        <f>M22+N22-O22</f>
        <v>458.8439178082189</v>
      </c>
    </row>
    <row r="23" spans="1:16" ht="25" customHeight="1">
      <c r="A23" s="6" t="s">
        <v>78</v>
      </c>
      <c r="B23" s="7" t="s">
        <v>236</v>
      </c>
      <c r="C23" s="23">
        <v>4</v>
      </c>
      <c r="D23" s="9">
        <v>5960.589609374997</v>
      </c>
      <c r="E23" s="9">
        <v>4053.200934374998</v>
      </c>
      <c r="F23" s="9">
        <v>596.0589609374997</v>
      </c>
      <c r="G23" s="9">
        <v>725.2295472</v>
      </c>
      <c r="H23" s="9">
        <v>238.1350752</v>
      </c>
      <c r="I23" s="9">
        <f>D23-E23-F23-G23-H23</f>
        <v>347.9650916624996</v>
      </c>
      <c r="J23" s="9">
        <v>149.0147402343749</v>
      </c>
      <c r="K23" s="9">
        <f>I23-J23</f>
        <v>198.9503514281247</v>
      </c>
      <c r="L23" s="9">
        <v>208.6206363281249</v>
      </c>
      <c r="M23" s="9">
        <v>832.8495070633556</v>
      </c>
      <c r="N23" s="9">
        <v>81.65191245719174</v>
      </c>
      <c r="O23" s="9">
        <v>444.186403767123</v>
      </c>
      <c r="P23" s="9">
        <f>M23+N23-O23</f>
        <v>470.3150157534244</v>
      </c>
    </row>
    <row r="24" spans="1:16" ht="25" customHeight="1">
      <c r="A24" s="3" t="s">
        <v>78</v>
      </c>
      <c r="B24" s="4" t="s">
        <v>236</v>
      </c>
      <c r="C24" s="24">
        <v>5</v>
      </c>
      <c r="D24" s="10">
        <v>6109.604349609372</v>
      </c>
      <c r="E24" s="10">
        <v>4154.530957734372</v>
      </c>
      <c r="F24" s="10">
        <v>610.9604349609372</v>
      </c>
      <c r="G24" s="10">
        <v>739.734138144</v>
      </c>
      <c r="H24" s="10">
        <v>242.897776704</v>
      </c>
      <c r="I24" s="10">
        <f>D24-E24-F24-G24-H24</f>
        <v>361.4810420660622</v>
      </c>
      <c r="J24" s="10">
        <v>152.7401087402343</v>
      </c>
      <c r="K24" s="10">
        <f>I24-J24</f>
        <v>208.74093332582788</v>
      </c>
      <c r="L24" s="10">
        <v>213.836152236328</v>
      </c>
      <c r="M24" s="10">
        <v>853.6707447399394</v>
      </c>
      <c r="N24" s="10">
        <v>83.69321026862153</v>
      </c>
      <c r="O24" s="10">
        <v>455.2910638613011</v>
      </c>
      <c r="P24" s="10">
        <f>M24+N24-O24</f>
        <v>482.0728911472599</v>
      </c>
    </row>
    <row r="25" spans="1:16" ht="25" customHeight="1">
      <c r="A25" s="6" t="s">
        <v>79</v>
      </c>
      <c r="B25" s="7" t="s">
        <v>178</v>
      </c>
      <c r="C25" s="23">
        <v>1</v>
      </c>
      <c r="D25" s="9">
        <v>11275</v>
      </c>
      <c r="E25" s="9">
        <v>7441.499999999998</v>
      </c>
      <c r="F25" s="9">
        <v>1127.5</v>
      </c>
      <c r="G25" s="9">
        <v>1173</v>
      </c>
      <c r="H25" s="9">
        <v>285.6</v>
      </c>
      <c r="I25" s="9">
        <f>D25-E25-F25-G25-H25</f>
        <v>1247.4</v>
      </c>
      <c r="J25" s="9">
        <v>281.8749999999999</v>
      </c>
      <c r="K25" s="9">
        <f>I25-J25</f>
        <v>965.5250000000001</v>
      </c>
      <c r="L25" s="9">
        <v>394.625</v>
      </c>
      <c r="M25" s="9">
        <v>1529.075342465753</v>
      </c>
      <c r="N25" s="9">
        <v>154.4520547945205</v>
      </c>
      <c r="O25" s="9">
        <v>815.5068493150683</v>
      </c>
      <c r="P25" s="9">
        <f>M25+N25-O25</f>
        <v>868.0205479452053</v>
      </c>
    </row>
    <row r="26" spans="1:16" ht="25" customHeight="1">
      <c r="A26" s="3" t="s">
        <v>79</v>
      </c>
      <c r="B26" s="4" t="s">
        <v>178</v>
      </c>
      <c r="C26" s="24">
        <v>2</v>
      </c>
      <c r="D26" s="10">
        <v>11556.875</v>
      </c>
      <c r="E26" s="10">
        <v>7627.537499999997</v>
      </c>
      <c r="F26" s="10">
        <v>1155.6875</v>
      </c>
      <c r="G26" s="10">
        <v>1196.46</v>
      </c>
      <c r="H26" s="10">
        <v>291.312</v>
      </c>
      <c r="I26" s="10">
        <f>D26-E26-F26-G26-H26</f>
        <v>1285.8779999999997</v>
      </c>
      <c r="J26" s="10">
        <v>288.9218749999999</v>
      </c>
      <c r="K26" s="10">
        <f>I26-J26</f>
        <v>996.9561249999997</v>
      </c>
      <c r="L26" s="10">
        <v>404.4906249999999</v>
      </c>
      <c r="M26" s="10">
        <v>1567.302226027397</v>
      </c>
      <c r="N26" s="10">
        <v>158.3133561643835</v>
      </c>
      <c r="O26" s="10">
        <v>835.8945205479449</v>
      </c>
      <c r="P26" s="10">
        <f>M26+N26-O26</f>
        <v>889.7210616438354</v>
      </c>
    </row>
    <row r="27" spans="1:16" ht="25" customHeight="1">
      <c r="A27" s="6" t="s">
        <v>79</v>
      </c>
      <c r="B27" s="7" t="s">
        <v>178</v>
      </c>
      <c r="C27" s="23">
        <v>3</v>
      </c>
      <c r="D27" s="9">
        <v>11845.79687499999</v>
      </c>
      <c r="E27" s="9">
        <v>7818.225937499996</v>
      </c>
      <c r="F27" s="9">
        <v>1184.579687499999</v>
      </c>
      <c r="G27" s="9">
        <v>1220.3892</v>
      </c>
      <c r="H27" s="9">
        <v>297.1382400000001</v>
      </c>
      <c r="I27" s="9">
        <f>D27-E27-F27-G27-H27</f>
        <v>1325.463809999999</v>
      </c>
      <c r="J27" s="9">
        <v>296.1449218749999</v>
      </c>
      <c r="K27" s="9">
        <f>I27-J27</f>
        <v>1029.3188881249991</v>
      </c>
      <c r="L27" s="9">
        <v>414.6028906249999</v>
      </c>
      <c r="M27" s="9">
        <v>1606.484781678081</v>
      </c>
      <c r="N27" s="9">
        <v>162.2711900684931</v>
      </c>
      <c r="O27" s="9">
        <v>856.7918835616434</v>
      </c>
      <c r="P27" s="9">
        <f>M27+N27-O27</f>
        <v>911.9640881849308</v>
      </c>
    </row>
    <row r="28" spans="1:16" ht="25" customHeight="1">
      <c r="A28" s="3" t="s">
        <v>79</v>
      </c>
      <c r="B28" s="4" t="s">
        <v>178</v>
      </c>
      <c r="C28" s="24">
        <v>4</v>
      </c>
      <c r="D28" s="10">
        <v>12141.94179687499</v>
      </c>
      <c r="E28" s="10">
        <v>8013.681585937495</v>
      </c>
      <c r="F28" s="10">
        <v>1214.194179687499</v>
      </c>
      <c r="G28" s="10">
        <v>1244.796984</v>
      </c>
      <c r="H28" s="10">
        <v>303.0810048</v>
      </c>
      <c r="I28" s="10">
        <f>D28-E28-F28-G28-H28</f>
        <v>1366.1880424499989</v>
      </c>
      <c r="J28" s="10">
        <v>303.5485449218748</v>
      </c>
      <c r="K28" s="10">
        <f>I28-J28</f>
        <v>1062.6394975281241</v>
      </c>
      <c r="L28" s="10">
        <v>424.9679628906248</v>
      </c>
      <c r="M28" s="10">
        <v>1646.646901220033</v>
      </c>
      <c r="N28" s="10">
        <v>166.3279698202054</v>
      </c>
      <c r="O28" s="10">
        <v>878.2116806506842</v>
      </c>
      <c r="P28" s="10">
        <f>M28+N28-O28</f>
        <v>934.7631903895544</v>
      </c>
    </row>
    <row r="29" spans="1:16" ht="25" customHeight="1">
      <c r="A29" s="6" t="s">
        <v>79</v>
      </c>
      <c r="B29" s="7" t="s">
        <v>178</v>
      </c>
      <c r="C29" s="23">
        <v>5</v>
      </c>
      <c r="D29" s="9">
        <v>12445.49034179687</v>
      </c>
      <c r="E29" s="9">
        <v>8214.023625585931</v>
      </c>
      <c r="F29" s="9">
        <v>1244.549034179687</v>
      </c>
      <c r="G29" s="9">
        <v>1269.69292368</v>
      </c>
      <c r="H29" s="9">
        <v>309.142624896</v>
      </c>
      <c r="I29" s="9">
        <f>D29-E29-F29-G29-H29</f>
        <v>1408.0821334552497</v>
      </c>
      <c r="J29" s="9">
        <v>311.1372585449217</v>
      </c>
      <c r="K29" s="9">
        <f>I29-J29</f>
        <v>1096.944874910328</v>
      </c>
      <c r="L29" s="9">
        <v>435.5921619628904</v>
      </c>
      <c r="M29" s="9">
        <v>1687.813073750534</v>
      </c>
      <c r="N29" s="9">
        <v>170.4861690657105</v>
      </c>
      <c r="O29" s="9">
        <v>900.1669726669514</v>
      </c>
      <c r="P29" s="9">
        <f>M29+N29-O29</f>
        <v>958.1322701492928</v>
      </c>
    </row>
    <row r="30" spans="1:16" ht="25" customHeight="1">
      <c r="A30" s="3" t="s">
        <v>79</v>
      </c>
      <c r="B30" s="4" t="s">
        <v>236</v>
      </c>
      <c r="C30" s="24">
        <v>1</v>
      </c>
      <c r="D30" s="10">
        <v>5534.999999999999</v>
      </c>
      <c r="E30" s="10">
        <v>3763.799999999999</v>
      </c>
      <c r="F30" s="10">
        <v>553.4999999999999</v>
      </c>
      <c r="G30" s="10">
        <v>683.4</v>
      </c>
      <c r="H30" s="10">
        <v>224.4</v>
      </c>
      <c r="I30" s="10">
        <f>D30-E30-F30-G30-H30</f>
        <v>309.9000000000003</v>
      </c>
      <c r="J30" s="10">
        <v>138.375</v>
      </c>
      <c r="K30" s="10">
        <f>I30-J30</f>
        <v>171.52500000000035</v>
      </c>
      <c r="L30" s="10">
        <v>193.725</v>
      </c>
      <c r="M30" s="10">
        <v>773.3835616438353</v>
      </c>
      <c r="N30" s="10">
        <v>75.82191780821917</v>
      </c>
      <c r="O30" s="10">
        <v>412.4712328767122</v>
      </c>
      <c r="P30" s="10">
        <f>M30+N30-O30</f>
        <v>436.73424657534224</v>
      </c>
    </row>
    <row r="31" spans="1:16" ht="25" customHeight="1">
      <c r="A31" s="6" t="s">
        <v>79</v>
      </c>
      <c r="B31" s="7" t="s">
        <v>236</v>
      </c>
      <c r="C31" s="23">
        <v>2</v>
      </c>
      <c r="D31" s="9">
        <v>5673.374999999998</v>
      </c>
      <c r="E31" s="9">
        <v>3857.894999999999</v>
      </c>
      <c r="F31" s="9">
        <v>567.3374999999999</v>
      </c>
      <c r="G31" s="9">
        <v>697.068</v>
      </c>
      <c r="H31" s="9">
        <v>228.888</v>
      </c>
      <c r="I31" s="9">
        <f>D31-E31-F31-G31-H31</f>
        <v>322.1864999999997</v>
      </c>
      <c r="J31" s="9">
        <v>141.834375</v>
      </c>
      <c r="K31" s="9">
        <f>I31-J31</f>
        <v>180.35212499999972</v>
      </c>
      <c r="L31" s="9">
        <v>198.568125</v>
      </c>
      <c r="M31" s="9">
        <v>792.7181506849312</v>
      </c>
      <c r="N31" s="9">
        <v>77.71746575342463</v>
      </c>
      <c r="O31" s="9">
        <v>422.7830136986299</v>
      </c>
      <c r="P31" s="9">
        <f>M31+N31-O31</f>
        <v>447.6526027397259</v>
      </c>
    </row>
    <row r="32" spans="1:16" ht="25" customHeight="1">
      <c r="A32" s="3" t="s">
        <v>79</v>
      </c>
      <c r="B32" s="4" t="s">
        <v>236</v>
      </c>
      <c r="C32" s="24">
        <v>3</v>
      </c>
      <c r="D32" s="10">
        <v>5815.209374999998</v>
      </c>
      <c r="E32" s="10">
        <v>3954.342374999998</v>
      </c>
      <c r="F32" s="10">
        <v>581.5209374999998</v>
      </c>
      <c r="G32" s="10">
        <v>711.0093600000001</v>
      </c>
      <c r="H32" s="10">
        <v>233.46576</v>
      </c>
      <c r="I32" s="10">
        <f>D32-E32-F32-G32-H32</f>
        <v>334.8709424999996</v>
      </c>
      <c r="J32" s="10">
        <v>145.380234375</v>
      </c>
      <c r="K32" s="10">
        <f>I32-J32</f>
        <v>189.49070812499966</v>
      </c>
      <c r="L32" s="10">
        <v>203.5323281249999</v>
      </c>
      <c r="M32" s="10">
        <v>812.5361044520544</v>
      </c>
      <c r="N32" s="10">
        <v>79.66040239726024</v>
      </c>
      <c r="O32" s="10">
        <v>433.3525890410957</v>
      </c>
      <c r="P32" s="10">
        <f>M32+N32-O32</f>
        <v>458.8439178082189</v>
      </c>
    </row>
    <row r="33" spans="1:16" ht="25" customHeight="1">
      <c r="A33" s="6" t="s">
        <v>79</v>
      </c>
      <c r="B33" s="7" t="s">
        <v>236</v>
      </c>
      <c r="C33" s="23">
        <v>4</v>
      </c>
      <c r="D33" s="9">
        <v>5960.589609374997</v>
      </c>
      <c r="E33" s="9">
        <v>4053.200934374998</v>
      </c>
      <c r="F33" s="9">
        <v>596.0589609374997</v>
      </c>
      <c r="G33" s="9">
        <v>725.2295472</v>
      </c>
      <c r="H33" s="9">
        <v>238.1350752</v>
      </c>
      <c r="I33" s="9">
        <f>D33-E33-F33-G33-H33</f>
        <v>347.9650916624996</v>
      </c>
      <c r="J33" s="9">
        <v>149.0147402343749</v>
      </c>
      <c r="K33" s="9">
        <f>I33-J33</f>
        <v>198.9503514281247</v>
      </c>
      <c r="L33" s="9">
        <v>208.6206363281249</v>
      </c>
      <c r="M33" s="9">
        <v>832.8495070633556</v>
      </c>
      <c r="N33" s="9">
        <v>81.65191245719174</v>
      </c>
      <c r="O33" s="9">
        <v>444.186403767123</v>
      </c>
      <c r="P33" s="9">
        <f>M33+N33-O33</f>
        <v>470.3150157534244</v>
      </c>
    </row>
    <row r="34" spans="1:16" ht="25" customHeight="1">
      <c r="A34" s="3" t="s">
        <v>79</v>
      </c>
      <c r="B34" s="4" t="s">
        <v>236</v>
      </c>
      <c r="C34" s="24">
        <v>5</v>
      </c>
      <c r="D34" s="10">
        <v>6109.604349609372</v>
      </c>
      <c r="E34" s="10">
        <v>4154.530957734372</v>
      </c>
      <c r="F34" s="10">
        <v>610.9604349609372</v>
      </c>
      <c r="G34" s="10">
        <v>739.734138144</v>
      </c>
      <c r="H34" s="10">
        <v>242.897776704</v>
      </c>
      <c r="I34" s="10">
        <f>D34-E34-F34-G34-H34</f>
        <v>361.4810420660622</v>
      </c>
      <c r="J34" s="10">
        <v>152.7401087402343</v>
      </c>
      <c r="K34" s="10">
        <f>I34-J34</f>
        <v>208.74093332582788</v>
      </c>
      <c r="L34" s="10">
        <v>213.836152236328</v>
      </c>
      <c r="M34" s="10">
        <v>853.6707447399394</v>
      </c>
      <c r="N34" s="10">
        <v>83.69321026862153</v>
      </c>
      <c r="O34" s="10">
        <v>455.2910638613011</v>
      </c>
      <c r="P34" s="10">
        <f>M34+N34-O34</f>
        <v>482.0728911472599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&amp;LOperations&amp;RPage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3C5658"/>
  </sheetPr>
  <dimension ref="A1:W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3" width="18.7109375" customWidth="1"/>
  </cols>
  <sheetData>
    <row r="1" spans="1:23" ht="9" customHeight="1"/>
    <row r="2" spans="1:23" ht="42" customHeight="1">
      <c r="A2" s="1" t="s">
        <v>367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 spans="1:23" ht="30" customHeight="1">
      <c r="A3" s="2" t="s">
        <v>125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spans="1:23" ht="40" customHeight="1">
      <c r="A4" s="5" t="s">
        <v>65</v>
      </c>
      <c r="B4" s="5" t="s">
        <v>354</v>
      </c>
      <c r="C4" s="5" t="s">
        <v>368</v>
      </c>
      <c r="D4" s="5" t="s">
        <v>360</v>
      </c>
      <c r="E4" s="5" t="s">
        <v>369</v>
      </c>
      <c r="F4" s="5" t="s">
        <v>370</v>
      </c>
      <c r="G4" s="5" t="s">
        <v>371</v>
      </c>
      <c r="H4" s="5" t="s">
        <v>372</v>
      </c>
      <c r="I4" s="5" t="s">
        <v>346</v>
      </c>
      <c r="J4" s="5" t="s">
        <v>373</v>
      </c>
      <c r="K4" s="5" t="s">
        <v>347</v>
      </c>
      <c r="L4" s="5" t="s">
        <v>348</v>
      </c>
      <c r="M4" s="5" t="s">
        <v>374</v>
      </c>
      <c r="N4" s="5" t="s">
        <v>375</v>
      </c>
      <c r="O4" s="5" t="s">
        <v>376</v>
      </c>
      <c r="P4" s="5" t="s">
        <v>377</v>
      </c>
      <c r="Q4" s="5" t="s">
        <v>350</v>
      </c>
      <c r="R4" s="5" t="s">
        <v>378</v>
      </c>
      <c r="S4" s="5" t="s">
        <v>352</v>
      </c>
      <c r="T4" s="5" t="s">
        <v>379</v>
      </c>
      <c r="U4" s="5" t="s">
        <v>380</v>
      </c>
      <c r="V4" s="5" t="s">
        <v>381</v>
      </c>
      <c r="W4" s="5" t="s">
        <v>382</v>
      </c>
    </row>
    <row r="5" spans="1:23" ht="25" customHeight="1">
      <c r="A5" s="6" t="s">
        <v>68</v>
      </c>
      <c r="B5" s="23">
        <v>1</v>
      </c>
      <c r="C5" s="9">
        <v>750</v>
      </c>
      <c r="D5" s="9">
        <v>1577.299999999999</v>
      </c>
      <c r="E5" s="9">
        <v>253.7796002538069</v>
      </c>
      <c r="F5" s="9">
        <v>31.82328767123272</v>
      </c>
      <c r="G5" s="9">
        <v>80</v>
      </c>
      <c r="H5" s="9">
        <v>0</v>
      </c>
      <c r="I5" s="9">
        <v>588.35</v>
      </c>
      <c r="J5" s="9">
        <v>141.9315989847716</v>
      </c>
      <c r="K5" s="9">
        <v>180</v>
      </c>
      <c r="L5" s="9">
        <v>0</v>
      </c>
      <c r="M5" s="9">
        <v>0</v>
      </c>
      <c r="N5" s="9">
        <v>0</v>
      </c>
      <c r="O5" s="9">
        <v>42.80203045685279</v>
      </c>
      <c r="P5" s="9">
        <v>258.6134826333354</v>
      </c>
      <c r="Q5" s="9">
        <f>C5+D5-E5-F5-G5-H5-I5-J5-K5-L5-M5+N5-O5-P5</f>
        <v>750.0</v>
      </c>
      <c r="R5" s="9">
        <v>2670.101522842639</v>
      </c>
      <c r="S5" s="9">
        <f>R5+N5-O5-P5</f>
        <v>2368.6860097524514</v>
      </c>
      <c r="T5" s="9">
        <f>IF(D5&lt;=0,"n.a.",(S5-Q5)/D5)</f>
        <v>1.0262385150272315</v>
      </c>
      <c r="U5" s="9">
        <f>IF(D5&lt;=0,"n.a.",IF(J5=0,"n.a.",D5/J5))</f>
        <v>11.113099628851742</v>
      </c>
      <c r="V5" s="9">
        <v>3.20171625865424</v>
      </c>
      <c r="W5" s="9">
        <v>0</v>
      </c>
    </row>
    <row r="6" spans="1:23" ht="25" customHeight="1">
      <c r="A6" s="3" t="s">
        <v>68</v>
      </c>
      <c r="B6" s="24">
        <v>2</v>
      </c>
      <c r="C6" s="10">
        <v>750</v>
      </c>
      <c r="D6" s="10">
        <v>1668.064499999997</v>
      </c>
      <c r="E6" s="10">
        <v>279.3413435976173</v>
      </c>
      <c r="F6" s="10">
        <v>32.61886986301374</v>
      </c>
      <c r="G6" s="10">
        <v>60</v>
      </c>
      <c r="H6" s="10">
        <v>0</v>
      </c>
      <c r="I6" s="10">
        <v>603.0587499999999</v>
      </c>
      <c r="J6" s="10">
        <v>119.9428756095282</v>
      </c>
      <c r="K6" s="10">
        <v>180</v>
      </c>
      <c r="L6" s="10">
        <v>0</v>
      </c>
      <c r="M6" s="10">
        <v>0</v>
      </c>
      <c r="N6" s="10">
        <v>0</v>
      </c>
      <c r="O6" s="10">
        <v>42.80203045685279</v>
      </c>
      <c r="P6" s="10">
        <v>350.3006304729854</v>
      </c>
      <c r="Q6" s="10">
        <f>C6+D6-E6-F6-G6-H6-I6-J6-K6-L6-M6+N6-O6-P6</f>
        <v>750.0</v>
      </c>
      <c r="R6" s="10">
        <v>2368.686009752451</v>
      </c>
      <c r="S6" s="10">
        <f>R6+N6-O6-P6</f>
        <v>1975.583348822613</v>
      </c>
      <c r="T6" s="10">
        <f>IF(D6&lt;=0,"n.a.",(S6-Q6)/D6)</f>
        <v>0.7347337880655184</v>
      </c>
      <c r="U6" s="10">
        <f>IF(D6&lt;=0,"n.a.",IF(J6=0,"n.a.",D6/J6))</f>
        <v>13.907157815945235</v>
      </c>
      <c r="V6" s="10">
        <v>3.418400146867816</v>
      </c>
      <c r="W6" s="10">
        <v>0</v>
      </c>
    </row>
    <row r="7" spans="1:23" ht="25" customHeight="1">
      <c r="A7" s="6" t="s">
        <v>68</v>
      </c>
      <c r="B7" s="23">
        <v>3</v>
      </c>
      <c r="C7" s="9">
        <v>750</v>
      </c>
      <c r="D7" s="9">
        <v>1760.334752499998</v>
      </c>
      <c r="E7" s="9">
        <v>306.2323988301603</v>
      </c>
      <c r="F7" s="9">
        <v>33.43434160958827</v>
      </c>
      <c r="G7" s="9">
        <v>20</v>
      </c>
      <c r="H7" s="9">
        <v>0</v>
      </c>
      <c r="I7" s="9">
        <v>618.1352187499998</v>
      </c>
      <c r="J7" s="9">
        <v>93.88000092935678</v>
      </c>
      <c r="K7" s="9">
        <v>180</v>
      </c>
      <c r="L7" s="9">
        <v>0</v>
      </c>
      <c r="M7" s="9">
        <v>0</v>
      </c>
      <c r="N7" s="9">
        <v>0</v>
      </c>
      <c r="O7" s="9">
        <v>392.8020304568528</v>
      </c>
      <c r="P7" s="9">
        <v>115.8507619240398</v>
      </c>
      <c r="Q7" s="9">
        <f>C7+D7-E7-F7-G7-H7-I7-J7-K7-L7-M7+N7-O7-P7</f>
        <v>750.0</v>
      </c>
      <c r="R7" s="9">
        <v>1975.583348822613</v>
      </c>
      <c r="S7" s="9">
        <f>R7+N7-O7-P7</f>
        <v>1466.9305564417205</v>
      </c>
      <c r="T7" s="9">
        <f>IF(D7&lt;=0,"n.a.",(S7-Q7)/D7)</f>
        <v>0.40726944430515144</v>
      </c>
      <c r="U7" s="9">
        <f>IF(D7&lt;=0,"n.a.",IF(J7=0,"n.a.",D7/J7))</f>
        <v>18.750902589195988</v>
      </c>
      <c r="V7" s="9">
        <v>3.668530737521896</v>
      </c>
      <c r="W7" s="9">
        <v>0</v>
      </c>
    </row>
    <row r="8" spans="1:23" ht="25" customHeight="1">
      <c r="A8" s="3" t="s">
        <v>68</v>
      </c>
      <c r="B8" s="24">
        <v>4</v>
      </c>
      <c r="C8" s="10">
        <v>750</v>
      </c>
      <c r="D8" s="10">
        <v>1814.153134112497</v>
      </c>
      <c r="E8" s="10">
        <v>323.4235038924361</v>
      </c>
      <c r="F8" s="10">
        <v>34.27020014982895</v>
      </c>
      <c r="G8" s="10">
        <v>0</v>
      </c>
      <c r="H8" s="10">
        <v>0</v>
      </c>
      <c r="I8" s="10">
        <v>633.5885992187497</v>
      </c>
      <c r="J8" s="10">
        <v>67.89583338650323</v>
      </c>
      <c r="K8" s="10">
        <v>180</v>
      </c>
      <c r="L8" s="10">
        <v>0</v>
      </c>
      <c r="M8" s="10">
        <v>0</v>
      </c>
      <c r="N8" s="10">
        <v>367.8270329918732</v>
      </c>
      <c r="O8" s="10">
        <v>942.8020304568528</v>
      </c>
      <c r="P8" s="10">
        <v>0</v>
      </c>
      <c r="Q8" s="10">
        <f>C8+D8-E8-F8-G8-H8-I8-J8-K8-L8-M8+N8-O8-P8</f>
        <v>749.9999999999999</v>
      </c>
      <c r="R8" s="10">
        <v>1466.93055644172</v>
      </c>
      <c r="S8" s="10">
        <f>R8+N8-O8-P8</f>
        <v>891.9555589767409</v>
      </c>
      <c r="T8" s="10">
        <f>IF(D8&lt;=0,"n.a.",(S8-Q8)/D8)</f>
        <v>0.0782489395781835</v>
      </c>
      <c r="U8" s="10">
        <f>IF(D8&lt;=0,"n.a.",IF(J8=0,"n.a.",D8/J8))</f>
        <v>26.71965338116207</v>
      </c>
      <c r="V8" s="10">
        <v>3.866890734441983</v>
      </c>
      <c r="W8" s="10">
        <v>0</v>
      </c>
    </row>
    <row r="9" spans="1:23" ht="25" customHeight="1">
      <c r="A9" s="6" t="s">
        <v>68</v>
      </c>
      <c r="B9" s="23">
        <v>5</v>
      </c>
      <c r="C9" s="9">
        <v>749.9999999999999</v>
      </c>
      <c r="D9" s="9">
        <v>1869.56317552131</v>
      </c>
      <c r="E9" s="9">
        <v>338.3120105700073</v>
      </c>
      <c r="F9" s="9">
        <v>35.12695515357404</v>
      </c>
      <c r="G9" s="9">
        <v>0</v>
      </c>
      <c r="H9" s="9">
        <v>0</v>
      </c>
      <c r="I9" s="9">
        <v>649.4283141992184</v>
      </c>
      <c r="J9" s="9">
        <v>52.43776595612478</v>
      </c>
      <c r="K9" s="9">
        <v>180</v>
      </c>
      <c r="L9" s="9">
        <v>0</v>
      </c>
      <c r="M9" s="9">
        <v>0</v>
      </c>
      <c r="N9" s="9">
        <v>0</v>
      </c>
      <c r="O9" s="9">
        <v>891.9555589767409</v>
      </c>
      <c r="P9" s="9">
        <v>0</v>
      </c>
      <c r="Q9" s="9">
        <f>C9+D9-E9-F9-G9-H9-I9-J9-K9-L9-M9+N9-O9-P9</f>
        <v>472.30257066564457</v>
      </c>
      <c r="R9" s="9">
        <v>891.9555589767409</v>
      </c>
      <c r="S9" s="9">
        <f>R9+N9-O9-P9</f>
        <v>0.0</v>
      </c>
      <c r="T9" s="9">
        <f>IF(D9&lt;=0,"n.a.",(S9-Q9)/D9)</f>
        <v>-0.2526272323126751</v>
      </c>
      <c r="U9" s="9">
        <f>IF(D9&lt;=0,"n.a.",IF(J9=0,"n.a.",D9/J9))</f>
        <v>35.652990577165184</v>
      </c>
      <c r="V9" s="9">
        <v>4.006105939130496</v>
      </c>
      <c r="W9" s="9">
        <v>0</v>
      </c>
    </row>
    <row r="10" spans="1:23" ht="25" customHeight="1">
      <c r="A10" s="3" t="s">
        <v>78</v>
      </c>
      <c r="B10" s="24">
        <v>1</v>
      </c>
      <c r="C10" s="10">
        <v>1620</v>
      </c>
      <c r="D10" s="10">
        <v>1577.299999999999</v>
      </c>
      <c r="E10" s="10">
        <v>239.4268083756343</v>
      </c>
      <c r="F10" s="10">
        <v>31.82328767123272</v>
      </c>
      <c r="G10" s="10">
        <v>80</v>
      </c>
      <c r="H10" s="10">
        <v>0</v>
      </c>
      <c r="I10" s="10">
        <v>588.35</v>
      </c>
      <c r="J10" s="10">
        <v>199.3427664974619</v>
      </c>
      <c r="K10" s="10">
        <v>180</v>
      </c>
      <c r="L10" s="10">
        <v>0</v>
      </c>
      <c r="M10" s="10">
        <v>0</v>
      </c>
      <c r="N10" s="10">
        <v>0</v>
      </c>
      <c r="O10" s="10">
        <v>60.46700507614213</v>
      </c>
      <c r="P10" s="10">
        <v>1067.890132379528</v>
      </c>
      <c r="Q10" s="10">
        <f>C10+D10-E10-F10-G10-H10-I10-J10-K10-L10-M10+N10-O10-P10</f>
        <v>750.0</v>
      </c>
      <c r="R10" s="10">
        <v>3553.350253807107</v>
      </c>
      <c r="S10" s="10">
        <f>R10+N10-O10-P10</f>
        <v>2424.9931163514366</v>
      </c>
      <c r="T10" s="10">
        <f>IF(D10&lt;=0,"n.a.",(S10-Q10)/D10)</f>
        <v>1.0619369278840027</v>
      </c>
      <c r="U10" s="10">
        <f>IF(D10&lt;=0,"n.a.",IF(J10=0,"n.a.",D10/J10))</f>
        <v>7.912501806380227</v>
      </c>
      <c r="V10" s="10">
        <v>2.942583048117215</v>
      </c>
      <c r="W10" s="10">
        <v>0</v>
      </c>
    </row>
    <row r="11" spans="1:23" ht="25" customHeight="1">
      <c r="A11" s="6" t="s">
        <v>78</v>
      </c>
      <c r="B11" s="23">
        <v>2</v>
      </c>
      <c r="C11" s="9">
        <v>750</v>
      </c>
      <c r="D11" s="9">
        <v>1668.064499999997</v>
      </c>
      <c r="E11" s="9">
        <v>278.4615450570082</v>
      </c>
      <c r="F11" s="9">
        <v>32.61886986301374</v>
      </c>
      <c r="G11" s="9">
        <v>60</v>
      </c>
      <c r="H11" s="9">
        <v>0</v>
      </c>
      <c r="I11" s="9">
        <v>603.0587499999999</v>
      </c>
      <c r="J11" s="9">
        <v>123.4620697719648</v>
      </c>
      <c r="K11" s="9">
        <v>180</v>
      </c>
      <c r="L11" s="9">
        <v>0</v>
      </c>
      <c r="M11" s="9">
        <v>0</v>
      </c>
      <c r="N11" s="9">
        <v>0</v>
      </c>
      <c r="O11" s="9">
        <v>60.46700507614213</v>
      </c>
      <c r="P11" s="9">
        <v>329.9962602318687</v>
      </c>
      <c r="Q11" s="9">
        <f>C11+D11-E11-F11-G11-H11-I11-J11-K11-L11-M11+N11-O11-P11</f>
        <v>750.0</v>
      </c>
      <c r="R11" s="9">
        <v>2424.993116351437</v>
      </c>
      <c r="S11" s="9">
        <f>R11+N11-O11-P11</f>
        <v>2034.5298510434254</v>
      </c>
      <c r="T11" s="9">
        <f>IF(D11&lt;=0,"n.a.",(S11-Q11)/D11)</f>
        <v>0.7700720511967177</v>
      </c>
      <c r="U11" s="9">
        <f>IF(D11&lt;=0,"n.a.",IF(J11=0,"n.a.",D11/J11))</f>
        <v>13.510744660938565</v>
      </c>
      <c r="V11" s="9">
        <v>3.399710193852577</v>
      </c>
      <c r="W11" s="9">
        <v>0</v>
      </c>
    </row>
    <row r="12" spans="1:23" ht="25" customHeight="1">
      <c r="A12" s="3" t="s">
        <v>78</v>
      </c>
      <c r="B12" s="24">
        <v>3</v>
      </c>
      <c r="C12" s="10">
        <v>750</v>
      </c>
      <c r="D12" s="10">
        <v>1760.334752499998</v>
      </c>
      <c r="E12" s="10">
        <v>305.3482012968481</v>
      </c>
      <c r="F12" s="10">
        <v>33.43434160958827</v>
      </c>
      <c r="G12" s="10">
        <v>20</v>
      </c>
      <c r="H12" s="10">
        <v>0</v>
      </c>
      <c r="I12" s="10">
        <v>618.1352187499998</v>
      </c>
      <c r="J12" s="10">
        <v>97.41679106260553</v>
      </c>
      <c r="K12" s="10">
        <v>180</v>
      </c>
      <c r="L12" s="10">
        <v>0</v>
      </c>
      <c r="M12" s="10">
        <v>0</v>
      </c>
      <c r="N12" s="10">
        <v>0</v>
      </c>
      <c r="O12" s="10">
        <v>410.4670050761421</v>
      </c>
      <c r="P12" s="10">
        <v>95.53319470481392</v>
      </c>
      <c r="Q12" s="10">
        <f>C12+D12-E12-F12-G12-H12-I12-J12-K12-L12-M12+N12-O12-P12</f>
        <v>750.0</v>
      </c>
      <c r="R12" s="10">
        <v>2034.529851043425</v>
      </c>
      <c r="S12" s="10">
        <f>R12+N12-O12-P12</f>
        <v>1528.5296512624693</v>
      </c>
      <c r="T12" s="10">
        <f>IF(D12&lt;=0,"n.a.",(S12-Q12)/D12)</f>
        <v>0.4422622743525427</v>
      </c>
      <c r="U12" s="10">
        <f>IF(D12&lt;=0,"n.a.",IF(J12=0,"n.a.",D12/J12))</f>
        <v>18.070136916835082</v>
      </c>
      <c r="V12" s="10">
        <v>3.647870874822074</v>
      </c>
      <c r="W12" s="10">
        <v>0</v>
      </c>
    </row>
    <row r="13" spans="1:23" ht="25" customHeight="1">
      <c r="A13" s="6" t="s">
        <v>78</v>
      </c>
      <c r="B13" s="23">
        <v>4</v>
      </c>
      <c r="C13" s="9">
        <v>750</v>
      </c>
      <c r="D13" s="9">
        <v>1814.153134112497</v>
      </c>
      <c r="E13" s="9">
        <v>322.4995174701248</v>
      </c>
      <c r="F13" s="9">
        <v>34.27020014982895</v>
      </c>
      <c r="G13" s="9">
        <v>0</v>
      </c>
      <c r="H13" s="9">
        <v>0</v>
      </c>
      <c r="I13" s="9">
        <v>633.5885992187497</v>
      </c>
      <c r="J13" s="9">
        <v>71.59177907574815</v>
      </c>
      <c r="K13" s="9">
        <v>180</v>
      </c>
      <c r="L13" s="9">
        <v>0</v>
      </c>
      <c r="M13" s="9">
        <v>0</v>
      </c>
      <c r="N13" s="9">
        <v>388.2639668780964</v>
      </c>
      <c r="O13" s="9">
        <v>960.4670050761422</v>
      </c>
      <c r="P13" s="9">
        <v>0</v>
      </c>
      <c r="Q13" s="9">
        <f>C13+D13-E13-F13-G13-H13-I13-J13-K13-L13-M13+N13-O13-P13</f>
        <v>750.0</v>
      </c>
      <c r="R13" s="9">
        <v>1528.529651262469</v>
      </c>
      <c r="S13" s="9">
        <f>R13+N13-O13-P13</f>
        <v>956.3266130644236</v>
      </c>
      <c r="T13" s="9">
        <f>IF(D13&lt;=0,"n.a.",(S13-Q13)/D13)</f>
        <v>0.11373164105320177</v>
      </c>
      <c r="U13" s="9">
        <f>IF(D13&lt;=0,"n.a.",IF(J13=0,"n.a.",D13/J13))</f>
        <v>25.34024377565783</v>
      </c>
      <c r="V13" s="9">
        <v>3.843568876001236</v>
      </c>
      <c r="W13" s="9">
        <v>0</v>
      </c>
    </row>
    <row r="14" spans="1:23" ht="25" customHeight="1">
      <c r="A14" s="3" t="s">
        <v>78</v>
      </c>
      <c r="B14" s="24">
        <v>5</v>
      </c>
      <c r="C14" s="10">
        <v>750</v>
      </c>
      <c r="D14" s="10">
        <v>1869.56317552131</v>
      </c>
      <c r="E14" s="10">
        <v>337.359217842371</v>
      </c>
      <c r="F14" s="10">
        <v>35.12695515357404</v>
      </c>
      <c r="G14" s="10">
        <v>0</v>
      </c>
      <c r="H14" s="10">
        <v>0</v>
      </c>
      <c r="I14" s="10">
        <v>649.4283141992184</v>
      </c>
      <c r="J14" s="10">
        <v>56.24893686667018</v>
      </c>
      <c r="K14" s="10">
        <v>180</v>
      </c>
      <c r="L14" s="10">
        <v>0</v>
      </c>
      <c r="M14" s="10">
        <v>0</v>
      </c>
      <c r="N14" s="10">
        <v>0</v>
      </c>
      <c r="O14" s="10">
        <v>956.3266130644236</v>
      </c>
      <c r="P14" s="10">
        <v>0</v>
      </c>
      <c r="Q14" s="10">
        <f>C14+D14-E14-F14-G14-H14-I14-J14-K14-L14-M14+N14-O14-P14</f>
        <v>405.07313839505287</v>
      </c>
      <c r="R14" s="10">
        <v>956.3266130644236</v>
      </c>
      <c r="S14" s="10">
        <f>R14+N14-O14-P14</f>
        <v>0.0</v>
      </c>
      <c r="T14" s="10">
        <f>IF(D14&lt;=0,"n.a.",(S14-Q14)/D14)</f>
        <v>-0.21666726414960652</v>
      </c>
      <c r="U14" s="10">
        <f>IF(D14&lt;=0,"n.a.",IF(J14=0,"n.a.",D14/J14))</f>
        <v>33.237306865956135</v>
      </c>
      <c r="V14" s="10">
        <v>3.981006116637693</v>
      </c>
      <c r="W14" s="10">
        <v>0</v>
      </c>
    </row>
    <row r="15" spans="1:23" ht="25" customHeight="1">
      <c r="A15" s="6" t="s">
        <v>79</v>
      </c>
      <c r="B15" s="23">
        <v>1</v>
      </c>
      <c r="C15" s="9">
        <v>750</v>
      </c>
      <c r="D15" s="9">
        <v>1577.299999999999</v>
      </c>
      <c r="E15" s="9">
        <v>270.6070114213196</v>
      </c>
      <c r="F15" s="9">
        <v>31.82328767123272</v>
      </c>
      <c r="G15" s="9">
        <v>80</v>
      </c>
      <c r="H15" s="9">
        <v>0</v>
      </c>
      <c r="I15" s="9">
        <v>588.35</v>
      </c>
      <c r="J15" s="9">
        <v>74.62195431472081</v>
      </c>
      <c r="K15" s="9">
        <v>180</v>
      </c>
      <c r="L15" s="9">
        <v>0</v>
      </c>
      <c r="M15" s="9">
        <v>0</v>
      </c>
      <c r="N15" s="9">
        <v>0</v>
      </c>
      <c r="O15" s="9">
        <v>22.09137055837564</v>
      </c>
      <c r="P15" s="9">
        <v>329.8063760343503</v>
      </c>
      <c r="Q15" s="9">
        <f>C15+D15-E15-F15-G15-H15-I15-J15-K15-L15-M15+N15-O15-P15</f>
        <v>750.0</v>
      </c>
      <c r="R15" s="9">
        <v>1634.568527918782</v>
      </c>
      <c r="S15" s="9">
        <f>R15+N15-O15-P15</f>
        <v>1282.670781326056</v>
      </c>
      <c r="T15" s="9">
        <f>IF(D15&lt;=0,"n.a.",(S15-Q15)/D15)</f>
        <v>0.3377105061345693</v>
      </c>
      <c r="U15" s="9">
        <f>IF(D15&lt;=0,"n.a.",IF(J15=0,"n.a.",D15/J15))</f>
        <v>21.13721108599862</v>
      </c>
      <c r="V15" s="9">
        <v>3.570341456722541</v>
      </c>
      <c r="W15" s="9">
        <v>0</v>
      </c>
    </row>
    <row r="16" spans="1:23" ht="25" customHeight="1">
      <c r="A16" s="3" t="s">
        <v>79</v>
      </c>
      <c r="B16" s="24">
        <v>2</v>
      </c>
      <c r="C16" s="10">
        <v>750</v>
      </c>
      <c r="D16" s="10">
        <v>1668.064499999997</v>
      </c>
      <c r="E16" s="10">
        <v>296.2124277334237</v>
      </c>
      <c r="F16" s="10">
        <v>32.61886986301374</v>
      </c>
      <c r="G16" s="10">
        <v>60</v>
      </c>
      <c r="H16" s="10">
        <v>0</v>
      </c>
      <c r="I16" s="10">
        <v>603.0587499999999</v>
      </c>
      <c r="J16" s="10">
        <v>52.45853906630279</v>
      </c>
      <c r="K16" s="10">
        <v>180</v>
      </c>
      <c r="L16" s="10">
        <v>0</v>
      </c>
      <c r="M16" s="10">
        <v>0</v>
      </c>
      <c r="N16" s="10">
        <v>0</v>
      </c>
      <c r="O16" s="10">
        <v>16</v>
      </c>
      <c r="P16" s="10">
        <v>427.7159133372572</v>
      </c>
      <c r="Q16" s="10">
        <f>C16+D16-E16-F16-G16-H16-I16-J16-K16-L16-M16+N16-O16-P16</f>
        <v>750.0</v>
      </c>
      <c r="R16" s="10">
        <v>1282.670781326056</v>
      </c>
      <c r="S16" s="10">
        <f>R16+N16-O16-P16</f>
        <v>838.9548679887987</v>
      </c>
      <c r="T16" s="10">
        <f>IF(D16&lt;=0,"n.a.",(S16-Q16)/D16)</f>
        <v>0.05332819443660532</v>
      </c>
      <c r="U16" s="10">
        <f>IF(D16&lt;=0,"n.a.",IF(J16=0,"n.a.",D16/J16))</f>
        <v>31.797768860694283</v>
      </c>
      <c r="V16" s="10">
        <v>3.821237876881879</v>
      </c>
      <c r="W16" s="10">
        <v>0</v>
      </c>
    </row>
    <row r="17" spans="1:23" ht="25" customHeight="1">
      <c r="A17" s="6" t="s">
        <v>79</v>
      </c>
      <c r="B17" s="23">
        <v>3</v>
      </c>
      <c r="C17" s="9">
        <v>750</v>
      </c>
      <c r="D17" s="9">
        <v>1760.334752499998</v>
      </c>
      <c r="E17" s="9">
        <v>321.732327816606</v>
      </c>
      <c r="F17" s="9">
        <v>33.43434160958827</v>
      </c>
      <c r="G17" s="9">
        <v>20</v>
      </c>
      <c r="H17" s="9">
        <v>0</v>
      </c>
      <c r="I17" s="9">
        <v>618.1352187499998</v>
      </c>
      <c r="J17" s="9">
        <v>31.88028498357435</v>
      </c>
      <c r="K17" s="9">
        <v>180</v>
      </c>
      <c r="L17" s="9">
        <v>0</v>
      </c>
      <c r="M17" s="9">
        <v>0</v>
      </c>
      <c r="N17" s="9">
        <v>0</v>
      </c>
      <c r="O17" s="9">
        <v>0</v>
      </c>
      <c r="P17" s="9">
        <v>555.1525793402295</v>
      </c>
      <c r="Q17" s="9">
        <f>C17+D17-E17-F17-G17-H17-I17-J17-K17-L17-M17+N17-O17-P17</f>
        <v>750.0</v>
      </c>
      <c r="R17" s="9">
        <v>838.9548679887987</v>
      </c>
      <c r="S17" s="9">
        <f>R17+N17-O17-P17</f>
        <v>283.8022886485692</v>
      </c>
      <c r="T17" s="9">
        <f>IF(D17&lt;=0,"n.a.",(S17-Q17)/D17)</f>
        <v>-0.26483469163427276</v>
      </c>
      <c r="U17" s="9">
        <f>IF(D17&lt;=0,"n.a.",IF(J17=0,"n.a.",D17/J17))</f>
        <v>55.21703314154731</v>
      </c>
      <c r="V17" s="9">
        <v>4.072893792165051</v>
      </c>
      <c r="W17" s="9">
        <v>0</v>
      </c>
    </row>
    <row r="18" spans="1:23" ht="25" customHeight="1">
      <c r="A18" s="3" t="s">
        <v>79</v>
      </c>
      <c r="B18" s="24">
        <v>4</v>
      </c>
      <c r="C18" s="10">
        <v>750</v>
      </c>
      <c r="D18" s="10">
        <v>1814.153134112497</v>
      </c>
      <c r="E18" s="10">
        <v>337.7013404969005</v>
      </c>
      <c r="F18" s="10">
        <v>34.27020014982895</v>
      </c>
      <c r="G18" s="10">
        <v>0</v>
      </c>
      <c r="H18" s="10">
        <v>0</v>
      </c>
      <c r="I18" s="10">
        <v>633.5885992187497</v>
      </c>
      <c r="J18" s="10">
        <v>10.78448696864563</v>
      </c>
      <c r="K18" s="10">
        <v>180</v>
      </c>
      <c r="L18" s="10">
        <v>0</v>
      </c>
      <c r="M18" s="10">
        <v>0</v>
      </c>
      <c r="N18" s="10">
        <v>0</v>
      </c>
      <c r="O18" s="10">
        <v>283.8022886485692</v>
      </c>
      <c r="P18" s="10">
        <v>0</v>
      </c>
      <c r="Q18" s="10">
        <f>C18+D18-E18-F18-G18-H18-I18-J18-K18-L18-M18+N18-O18-P18</f>
        <v>1084.0062186298035</v>
      </c>
      <c r="R18" s="10">
        <v>283.8022886485692</v>
      </c>
      <c r="S18" s="10">
        <f>R18+N18-O18-P18</f>
        <v>0.0</v>
      </c>
      <c r="T18" s="10">
        <f>IF(D18&lt;=0,"n.a.",(S18-Q18)/D18)</f>
        <v>-0.5975274072770658</v>
      </c>
      <c r="U18" s="10">
        <f>IF(D18&lt;=0,"n.a.",IF(J18=0,"n.a.",D18/J18))</f>
        <v>168.21877010810908</v>
      </c>
      <c r="V18" s="10">
        <v>4.266968831295214</v>
      </c>
      <c r="W18" s="10">
        <v>0</v>
      </c>
    </row>
    <row r="19" spans="1:23" ht="25" customHeight="1">
      <c r="A19" s="6" t="s">
        <v>79</v>
      </c>
      <c r="B19" s="23">
        <v>5</v>
      </c>
      <c r="C19" s="9">
        <v>1084.006218629803</v>
      </c>
      <c r="D19" s="9">
        <v>1869.56317552131</v>
      </c>
      <c r="E19" s="9">
        <v>351.4214520590385</v>
      </c>
      <c r="F19" s="9">
        <v>35.12695515357404</v>
      </c>
      <c r="G19" s="9">
        <v>0</v>
      </c>
      <c r="H19" s="9">
        <v>0</v>
      </c>
      <c r="I19" s="9">
        <v>649.4283141992184</v>
      </c>
      <c r="J19" s="9">
        <v>0</v>
      </c>
      <c r="K19" s="9">
        <v>180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f>C19+D19-E19-F19-G19-H19-I19-J19-K19-L19-M19+N19-O19-P19</f>
        <v>1737.5926727392825</v>
      </c>
      <c r="R19" s="9">
        <v>0</v>
      </c>
      <c r="S19" s="9">
        <f>R19+N19-O19-P19</f>
        <v>0.0</v>
      </c>
      <c r="T19" s="9">
        <f>IF(D19&lt;=0,"n.a.",(S19-Q19)/D19)</f>
        <v>-0.929411049324274</v>
      </c>
      <c r="U19" s="9" t="str">
        <f>IF(D19&lt;=0,"n.a.",IF(J19=0,"n.a.",D19/J19))</f>
        <v>n.a.</v>
      </c>
      <c r="V19" s="9">
        <v>4.38664193798621</v>
      </c>
      <c r="W19" s="9">
        <v>0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&amp;LLiquidity&amp;RPage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3C5658"/>
  </sheetPr>
  <dimension ref="A1:M1216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28.7109375" customWidth="1"/>
    <col min="3" max="3" width="45.7109375" customWidth="1"/>
    <col min="4" max="13" width="18.7109375" customWidth="1"/>
  </cols>
  <sheetData>
    <row r="1" spans="1:13" ht="9" customHeight="1"/>
    <row r="2" spans="1:13" ht="42" customHeight="1">
      <c r="A2" s="1" t="s">
        <v>383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  <c r="M2" s="8"/>
    </row>
    <row r="3" spans="1:13" ht="30" customHeight="1">
      <c r="A3" s="2" t="s">
        <v>125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  <c r="M3" s="8"/>
    </row>
    <row r="4" spans="1:13" ht="40" customHeight="1">
      <c r="A4" s="5" t="s">
        <v>65</v>
      </c>
      <c r="B4" s="5" t="s">
        <v>384</v>
      </c>
      <c r="C4" s="5" t="s">
        <v>385</v>
      </c>
      <c r="D4" s="5" t="s">
        <v>386</v>
      </c>
      <c r="E4" s="5" t="s">
        <v>387</v>
      </c>
      <c r="F4" s="5" t="s">
        <v>388</v>
      </c>
      <c r="G4" s="5" t="s">
        <v>373</v>
      </c>
      <c r="H4" s="5" t="s">
        <v>389</v>
      </c>
      <c r="I4" s="5" t="s">
        <v>376</v>
      </c>
      <c r="J4" s="5" t="s">
        <v>377</v>
      </c>
      <c r="K4" s="5" t="s">
        <v>390</v>
      </c>
      <c r="L4" s="5" t="s">
        <v>391</v>
      </c>
      <c r="M4" s="5" t="s">
        <v>392</v>
      </c>
    </row>
    <row r="5" spans="1:13" ht="25" customHeight="1">
      <c r="A5" s="6" t="s">
        <v>68</v>
      </c>
      <c r="B5" s="7" t="s">
        <v>393</v>
      </c>
      <c r="C5" s="7" t="s">
        <v>139</v>
      </c>
      <c r="D5" s="23">
        <v>1</v>
      </c>
      <c r="E5" s="9">
        <v>900</v>
      </c>
      <c r="F5" s="25">
        <v>0.038</v>
      </c>
      <c r="G5" s="9">
        <v>34.2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f>E5+K5-I5-J5-L5</f>
        <v>900.0</v>
      </c>
    </row>
    <row r="6" spans="1:13" ht="25" customHeight="1">
      <c r="A6" s="3" t="s">
        <v>68</v>
      </c>
      <c r="B6" s="4" t="s">
        <v>393</v>
      </c>
      <c r="C6" s="4" t="s">
        <v>153</v>
      </c>
      <c r="D6" s="24">
        <v>1</v>
      </c>
      <c r="E6" s="10">
        <v>80</v>
      </c>
      <c r="F6" s="26">
        <v>0.05</v>
      </c>
      <c r="G6" s="10">
        <v>4</v>
      </c>
      <c r="H6" s="10">
        <v>16</v>
      </c>
      <c r="I6" s="10">
        <v>16</v>
      </c>
      <c r="J6" s="10">
        <v>0</v>
      </c>
      <c r="K6" s="10">
        <v>0</v>
      </c>
      <c r="L6" s="10">
        <v>0</v>
      </c>
      <c r="M6" s="10">
        <f>E6+K6-I6-J6-L6</f>
        <v>64.0</v>
      </c>
    </row>
    <row r="7" spans="1:13" ht="25" customHeight="1">
      <c r="A7" s="6" t="s">
        <v>68</v>
      </c>
      <c r="B7" s="7" t="s">
        <v>393</v>
      </c>
      <c r="C7" s="7" t="s">
        <v>198</v>
      </c>
      <c r="D7" s="23">
        <v>1</v>
      </c>
      <c r="E7" s="9">
        <v>350</v>
      </c>
      <c r="F7" s="25">
        <v>0.0475</v>
      </c>
      <c r="G7" s="9">
        <v>16.625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f>E7+K7-I7-J7-L7</f>
        <v>350.0</v>
      </c>
    </row>
    <row r="8" spans="1:13" ht="25" customHeight="1">
      <c r="A8" s="3" t="s">
        <v>68</v>
      </c>
      <c r="B8" s="4" t="s">
        <v>393</v>
      </c>
      <c r="C8" s="4" t="s">
        <v>394</v>
      </c>
      <c r="D8" s="24">
        <v>1</v>
      </c>
      <c r="E8" s="10">
        <v>1340.10152284264</v>
      </c>
      <c r="F8" s="26">
        <v>0.065</v>
      </c>
      <c r="G8" s="10">
        <v>87.10659898477158</v>
      </c>
      <c r="H8" s="10">
        <v>26.80203045685279</v>
      </c>
      <c r="I8" s="10">
        <v>26.80203045685279</v>
      </c>
      <c r="J8" s="10">
        <v>258.6134826333354</v>
      </c>
      <c r="K8" s="10">
        <v>0</v>
      </c>
      <c r="L8" s="10">
        <v>0</v>
      </c>
      <c r="M8" s="10">
        <f>E8+K8-I8-J8-L8</f>
        <v>1054.6860097524514</v>
      </c>
    </row>
    <row r="9" spans="1:13" ht="25" customHeight="1">
      <c r="A9" s="6" t="s">
        <v>68</v>
      </c>
      <c r="B9" s="7" t="s">
        <v>393</v>
      </c>
      <c r="C9" s="7" t="s">
        <v>395</v>
      </c>
      <c r="D9" s="23">
        <v>1</v>
      </c>
      <c r="E9" s="9">
        <v>0</v>
      </c>
      <c r="F9" s="25">
        <v>0.0625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f>E9+K9-I9-J9-L9</f>
        <v>0.0</v>
      </c>
    </row>
    <row r="10" spans="1:13" ht="25" customHeight="1">
      <c r="A10" s="3" t="s">
        <v>68</v>
      </c>
      <c r="B10" s="4" t="s">
        <v>393</v>
      </c>
      <c r="C10" s="4" t="s">
        <v>139</v>
      </c>
      <c r="D10" s="24">
        <v>2</v>
      </c>
      <c r="E10" s="10">
        <v>900</v>
      </c>
      <c r="F10" s="26">
        <v>0.038</v>
      </c>
      <c r="G10" s="10">
        <v>34.2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f>E10+K10-I10-J10-L10</f>
        <v>900.0</v>
      </c>
    </row>
    <row r="11" spans="1:13" ht="25" customHeight="1">
      <c r="A11" s="6" t="s">
        <v>68</v>
      </c>
      <c r="B11" s="7" t="s">
        <v>393</v>
      </c>
      <c r="C11" s="7" t="s">
        <v>153</v>
      </c>
      <c r="D11" s="23">
        <v>2</v>
      </c>
      <c r="E11" s="9">
        <v>64</v>
      </c>
      <c r="F11" s="25">
        <v>0.05</v>
      </c>
      <c r="G11" s="9">
        <v>3.2</v>
      </c>
      <c r="H11" s="9">
        <v>16</v>
      </c>
      <c r="I11" s="9">
        <v>16</v>
      </c>
      <c r="J11" s="9">
        <v>0</v>
      </c>
      <c r="K11" s="9">
        <v>0</v>
      </c>
      <c r="L11" s="9">
        <v>0</v>
      </c>
      <c r="M11" s="9">
        <f>E11+K11-I11-J11-L11</f>
        <v>48.0</v>
      </c>
    </row>
    <row r="12" spans="1:13" ht="25" customHeight="1">
      <c r="A12" s="3" t="s">
        <v>68</v>
      </c>
      <c r="B12" s="4" t="s">
        <v>393</v>
      </c>
      <c r="C12" s="4" t="s">
        <v>198</v>
      </c>
      <c r="D12" s="24">
        <v>2</v>
      </c>
      <c r="E12" s="10">
        <v>350</v>
      </c>
      <c r="F12" s="26">
        <v>0.0475</v>
      </c>
      <c r="G12" s="10">
        <v>16.625</v>
      </c>
      <c r="H12" s="10">
        <v>0</v>
      </c>
      <c r="I12" s="10">
        <v>0</v>
      </c>
      <c r="J12" s="10">
        <v>0</v>
      </c>
      <c r="K12" s="10">
        <v>0</v>
      </c>
      <c r="L12" s="10">
        <v>0</v>
      </c>
      <c r="M12" s="10">
        <f>E12+K12-I12-J12-L12</f>
        <v>350.0</v>
      </c>
    </row>
    <row r="13" spans="1:13" ht="25" customHeight="1">
      <c r="A13" s="6" t="s">
        <v>68</v>
      </c>
      <c r="B13" s="7" t="s">
        <v>393</v>
      </c>
      <c r="C13" s="7" t="s">
        <v>394</v>
      </c>
      <c r="D13" s="23">
        <v>2</v>
      </c>
      <c r="E13" s="9">
        <v>1054.686009752451</v>
      </c>
      <c r="F13" s="25">
        <v>0.0625</v>
      </c>
      <c r="G13" s="9">
        <v>65.91787560952821</v>
      </c>
      <c r="H13" s="9">
        <v>26.80203045685279</v>
      </c>
      <c r="I13" s="9">
        <v>26.80203045685279</v>
      </c>
      <c r="J13" s="9">
        <v>350.3006304729854</v>
      </c>
      <c r="K13" s="9">
        <v>0</v>
      </c>
      <c r="L13" s="9">
        <v>0</v>
      </c>
      <c r="M13" s="9">
        <f>E13+K13-I13-J13-L13</f>
        <v>677.5833488226131</v>
      </c>
    </row>
    <row r="14" spans="1:13" ht="25" customHeight="1">
      <c r="A14" s="3" t="s">
        <v>68</v>
      </c>
      <c r="B14" s="4" t="s">
        <v>393</v>
      </c>
      <c r="C14" s="4" t="s">
        <v>395</v>
      </c>
      <c r="D14" s="24">
        <v>2</v>
      </c>
      <c r="E14" s="10">
        <v>0</v>
      </c>
      <c r="F14" s="26">
        <v>0.06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  <c r="L14" s="10">
        <v>0</v>
      </c>
      <c r="M14" s="10">
        <f>E14+K14-I14-J14-L14</f>
        <v>0.0</v>
      </c>
    </row>
    <row r="15" spans="1:13" ht="25" customHeight="1">
      <c r="A15" s="6" t="s">
        <v>68</v>
      </c>
      <c r="B15" s="7" t="s">
        <v>393</v>
      </c>
      <c r="C15" s="7" t="s">
        <v>139</v>
      </c>
      <c r="D15" s="23">
        <v>3</v>
      </c>
      <c r="E15" s="9">
        <v>900</v>
      </c>
      <c r="F15" s="25">
        <v>0.038</v>
      </c>
      <c r="G15" s="9">
        <v>34.2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f>E15+K15-I15-J15-L15</f>
        <v>900.0</v>
      </c>
    </row>
    <row r="16" spans="1:13" ht="25" customHeight="1">
      <c r="A16" s="3" t="s">
        <v>68</v>
      </c>
      <c r="B16" s="4" t="s">
        <v>393</v>
      </c>
      <c r="C16" s="4" t="s">
        <v>153</v>
      </c>
      <c r="D16" s="24">
        <v>3</v>
      </c>
      <c r="E16" s="10">
        <v>48</v>
      </c>
      <c r="F16" s="26">
        <v>0.05</v>
      </c>
      <c r="G16" s="10">
        <v>2.4</v>
      </c>
      <c r="H16" s="10">
        <v>16</v>
      </c>
      <c r="I16" s="10">
        <v>16</v>
      </c>
      <c r="J16" s="10">
        <v>0</v>
      </c>
      <c r="K16" s="10">
        <v>0</v>
      </c>
      <c r="L16" s="10">
        <v>0</v>
      </c>
      <c r="M16" s="10">
        <f>E16+K16-I16-J16-L16</f>
        <v>32.0</v>
      </c>
    </row>
    <row r="17" spans="1:13" ht="25" customHeight="1">
      <c r="A17" s="6" t="s">
        <v>68</v>
      </c>
      <c r="B17" s="7" t="s">
        <v>393</v>
      </c>
      <c r="C17" s="7" t="s">
        <v>198</v>
      </c>
      <c r="D17" s="23">
        <v>3</v>
      </c>
      <c r="E17" s="9">
        <v>350</v>
      </c>
      <c r="F17" s="25">
        <v>0.0475</v>
      </c>
      <c r="G17" s="9">
        <v>16.625</v>
      </c>
      <c r="H17" s="9">
        <v>350</v>
      </c>
      <c r="I17" s="9">
        <v>350</v>
      </c>
      <c r="J17" s="9">
        <v>0</v>
      </c>
      <c r="K17" s="9">
        <v>0</v>
      </c>
      <c r="L17" s="9">
        <v>0</v>
      </c>
      <c r="M17" s="9">
        <f>E17+K17-I17-J17-L17</f>
        <v>0.0</v>
      </c>
    </row>
    <row r="18" spans="1:13" ht="25" customHeight="1">
      <c r="A18" s="3" t="s">
        <v>68</v>
      </c>
      <c r="B18" s="4" t="s">
        <v>393</v>
      </c>
      <c r="C18" s="4" t="s">
        <v>394</v>
      </c>
      <c r="D18" s="24">
        <v>3</v>
      </c>
      <c r="E18" s="10">
        <v>677.5833488226131</v>
      </c>
      <c r="F18" s="26">
        <v>0.06</v>
      </c>
      <c r="G18" s="10">
        <v>40.65500092935679</v>
      </c>
      <c r="H18" s="10">
        <v>26.80203045685279</v>
      </c>
      <c r="I18" s="10">
        <v>26.80203045685279</v>
      </c>
      <c r="J18" s="10">
        <v>115.8507619240398</v>
      </c>
      <c r="K18" s="10">
        <v>0</v>
      </c>
      <c r="L18" s="10">
        <v>0</v>
      </c>
      <c r="M18" s="10">
        <f>E18+K18-I18-J18-L18</f>
        <v>534.9305564417205</v>
      </c>
    </row>
    <row r="19" spans="1:13" ht="25" customHeight="1">
      <c r="A19" s="6" t="s">
        <v>68</v>
      </c>
      <c r="B19" s="7" t="s">
        <v>393</v>
      </c>
      <c r="C19" s="7" t="s">
        <v>395</v>
      </c>
      <c r="D19" s="23">
        <v>3</v>
      </c>
      <c r="E19" s="9">
        <v>0</v>
      </c>
      <c r="F19" s="25">
        <v>0.0575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f>E19+K19-I19-J19-L19</f>
        <v>0.0</v>
      </c>
    </row>
    <row r="20" spans="1:13" ht="25" customHeight="1">
      <c r="A20" s="3" t="s">
        <v>68</v>
      </c>
      <c r="B20" s="4" t="s">
        <v>393</v>
      </c>
      <c r="C20" s="4" t="s">
        <v>139</v>
      </c>
      <c r="D20" s="24">
        <v>4</v>
      </c>
      <c r="E20" s="10">
        <v>900</v>
      </c>
      <c r="F20" s="26">
        <v>0.038</v>
      </c>
      <c r="G20" s="10">
        <v>34.2</v>
      </c>
      <c r="H20" s="10">
        <v>900</v>
      </c>
      <c r="I20" s="10">
        <v>900</v>
      </c>
      <c r="J20" s="10">
        <v>0</v>
      </c>
      <c r="K20" s="10">
        <v>0</v>
      </c>
      <c r="L20" s="10">
        <v>0</v>
      </c>
      <c r="M20" s="10">
        <f>E20+K20-I20-J20-L20</f>
        <v>0.0</v>
      </c>
    </row>
    <row r="21" spans="1:13" ht="25" customHeight="1">
      <c r="A21" s="6" t="s">
        <v>68</v>
      </c>
      <c r="B21" s="7" t="s">
        <v>393</v>
      </c>
      <c r="C21" s="7" t="s">
        <v>153</v>
      </c>
      <c r="D21" s="23">
        <v>4</v>
      </c>
      <c r="E21" s="9">
        <v>32</v>
      </c>
      <c r="F21" s="25">
        <v>0.05</v>
      </c>
      <c r="G21" s="9">
        <v>1.6</v>
      </c>
      <c r="H21" s="9">
        <v>16</v>
      </c>
      <c r="I21" s="9">
        <v>16</v>
      </c>
      <c r="J21" s="9">
        <v>0</v>
      </c>
      <c r="K21" s="9">
        <v>0</v>
      </c>
      <c r="L21" s="9">
        <v>0</v>
      </c>
      <c r="M21" s="9">
        <f>E21+K21-I21-J21-L21</f>
        <v>16.0</v>
      </c>
    </row>
    <row r="22" spans="1:13" ht="25" customHeight="1">
      <c r="A22" s="3" t="s">
        <v>68</v>
      </c>
      <c r="B22" s="4" t="s">
        <v>393</v>
      </c>
      <c r="C22" s="4" t="s">
        <v>198</v>
      </c>
      <c r="D22" s="24">
        <v>4</v>
      </c>
      <c r="E22" s="10">
        <v>0</v>
      </c>
      <c r="F22" s="26">
        <v>0.0475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>
        <f>E22+K22-I22-J22-L22</f>
        <v>0.0</v>
      </c>
    </row>
    <row r="23" spans="1:13" ht="25" customHeight="1">
      <c r="A23" s="6" t="s">
        <v>68</v>
      </c>
      <c r="B23" s="7" t="s">
        <v>393</v>
      </c>
      <c r="C23" s="7" t="s">
        <v>394</v>
      </c>
      <c r="D23" s="23">
        <v>4</v>
      </c>
      <c r="E23" s="9">
        <v>534.9305564417205</v>
      </c>
      <c r="F23" s="25">
        <v>0.06</v>
      </c>
      <c r="G23" s="9">
        <v>32.09583338650323</v>
      </c>
      <c r="H23" s="9">
        <v>26.80203045685279</v>
      </c>
      <c r="I23" s="9">
        <v>26.80203045685279</v>
      </c>
      <c r="J23" s="9">
        <v>0</v>
      </c>
      <c r="K23" s="9">
        <v>0</v>
      </c>
      <c r="L23" s="9">
        <v>0</v>
      </c>
      <c r="M23" s="9">
        <f>E23+K23-I23-J23-L23</f>
        <v>508.1285259848677</v>
      </c>
    </row>
    <row r="24" spans="1:13" ht="25" customHeight="1">
      <c r="A24" s="3" t="s">
        <v>68</v>
      </c>
      <c r="B24" s="4" t="s">
        <v>393</v>
      </c>
      <c r="C24" s="4" t="s">
        <v>395</v>
      </c>
      <c r="D24" s="24">
        <v>4</v>
      </c>
      <c r="E24" s="10">
        <v>0</v>
      </c>
      <c r="F24" s="26">
        <v>0.0575</v>
      </c>
      <c r="G24" s="10">
        <v>0</v>
      </c>
      <c r="H24" s="10">
        <v>0</v>
      </c>
      <c r="I24" s="10">
        <v>0</v>
      </c>
      <c r="J24" s="10">
        <v>0</v>
      </c>
      <c r="K24" s="10">
        <v>367.8270329918732</v>
      </c>
      <c r="L24" s="10">
        <v>0</v>
      </c>
      <c r="M24" s="10">
        <f>E24+K24-I24-J24-L24</f>
        <v>367.82703299187324</v>
      </c>
    </row>
    <row r="25" spans="1:13" ht="25" customHeight="1">
      <c r="A25" s="6" t="s">
        <v>68</v>
      </c>
      <c r="B25" s="7" t="s">
        <v>393</v>
      </c>
      <c r="C25" s="7" t="s">
        <v>139</v>
      </c>
      <c r="D25" s="23">
        <v>5</v>
      </c>
      <c r="E25" s="9">
        <v>0</v>
      </c>
      <c r="F25" s="25">
        <v>0.038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f>E25+K25-I25-J25-L25</f>
        <v>0.0</v>
      </c>
    </row>
    <row r="26" spans="1:13" ht="25" customHeight="1">
      <c r="A26" s="3" t="s">
        <v>68</v>
      </c>
      <c r="B26" s="4" t="s">
        <v>393</v>
      </c>
      <c r="C26" s="4" t="s">
        <v>153</v>
      </c>
      <c r="D26" s="24">
        <v>5</v>
      </c>
      <c r="E26" s="10">
        <v>16</v>
      </c>
      <c r="F26" s="26">
        <v>0.05</v>
      </c>
      <c r="G26" s="10">
        <v>0.8</v>
      </c>
      <c r="H26" s="10">
        <v>16</v>
      </c>
      <c r="I26" s="10">
        <v>16</v>
      </c>
      <c r="J26" s="10">
        <v>0</v>
      </c>
      <c r="K26" s="10">
        <v>0</v>
      </c>
      <c r="L26" s="10">
        <v>0</v>
      </c>
      <c r="M26" s="10">
        <f>E26+K26-I26-J26-L26</f>
        <v>0.0</v>
      </c>
    </row>
    <row r="27" spans="1:13" ht="25" customHeight="1">
      <c r="A27" s="6" t="s">
        <v>68</v>
      </c>
      <c r="B27" s="7" t="s">
        <v>393</v>
      </c>
      <c r="C27" s="7" t="s">
        <v>198</v>
      </c>
      <c r="D27" s="23">
        <v>5</v>
      </c>
      <c r="E27" s="9">
        <v>0</v>
      </c>
      <c r="F27" s="25">
        <v>0.0475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f>E27+K27-I27-J27-L27</f>
        <v>0.0</v>
      </c>
    </row>
    <row r="28" spans="1:13" ht="25" customHeight="1">
      <c r="A28" s="3" t="s">
        <v>68</v>
      </c>
      <c r="B28" s="4" t="s">
        <v>393</v>
      </c>
      <c r="C28" s="4" t="s">
        <v>394</v>
      </c>
      <c r="D28" s="24">
        <v>5</v>
      </c>
      <c r="E28" s="10">
        <v>508.1285259848677</v>
      </c>
      <c r="F28" s="26">
        <v>0.06</v>
      </c>
      <c r="G28" s="10">
        <v>30.48771155909206</v>
      </c>
      <c r="H28" s="10">
        <v>508.1285259848677</v>
      </c>
      <c r="I28" s="10">
        <v>508.1285259848677</v>
      </c>
      <c r="J28" s="10">
        <v>0</v>
      </c>
      <c r="K28" s="10">
        <v>0</v>
      </c>
      <c r="L28" s="10">
        <v>0</v>
      </c>
      <c r="M28" s="10">
        <f>E28+K28-I28-J28-L28</f>
        <v>0.0</v>
      </c>
    </row>
    <row r="29" spans="1:13" ht="25" customHeight="1">
      <c r="A29" s="6" t="s">
        <v>68</v>
      </c>
      <c r="B29" s="7" t="s">
        <v>393</v>
      </c>
      <c r="C29" s="7" t="s">
        <v>395</v>
      </c>
      <c r="D29" s="23">
        <v>5</v>
      </c>
      <c r="E29" s="9">
        <v>367.8270329918732</v>
      </c>
      <c r="F29" s="25">
        <v>0.0575</v>
      </c>
      <c r="G29" s="9">
        <v>21.15005439703271</v>
      </c>
      <c r="H29" s="9">
        <v>367.8270329918732</v>
      </c>
      <c r="I29" s="9">
        <v>367.8270329918732</v>
      </c>
      <c r="J29" s="9">
        <v>0</v>
      </c>
      <c r="K29" s="9">
        <v>0</v>
      </c>
      <c r="L29" s="9">
        <v>0</v>
      </c>
      <c r="M29" s="9">
        <f>E29+K29-I29-J29-L29</f>
        <v>0.0</v>
      </c>
    </row>
    <row r="30" spans="1:13" ht="25" customHeight="1">
      <c r="A30" s="3" t="s">
        <v>78</v>
      </c>
      <c r="B30" s="4" t="s">
        <v>393</v>
      </c>
      <c r="C30" s="4" t="s">
        <v>139</v>
      </c>
      <c r="D30" s="24">
        <v>1</v>
      </c>
      <c r="E30" s="10">
        <v>900</v>
      </c>
      <c r="F30" s="26">
        <v>0.038</v>
      </c>
      <c r="G30" s="10">
        <v>34.2</v>
      </c>
      <c r="H30" s="10">
        <v>0</v>
      </c>
      <c r="I30" s="10">
        <v>0</v>
      </c>
      <c r="J30" s="10">
        <v>0</v>
      </c>
      <c r="K30" s="10">
        <v>0</v>
      </c>
      <c r="L30" s="10">
        <v>0</v>
      </c>
      <c r="M30" s="10">
        <f>E30+K30-I30-J30-L30</f>
        <v>900.0</v>
      </c>
    </row>
    <row r="31" spans="1:13" ht="25" customHeight="1">
      <c r="A31" s="6" t="s">
        <v>78</v>
      </c>
      <c r="B31" s="7" t="s">
        <v>393</v>
      </c>
      <c r="C31" s="7" t="s">
        <v>153</v>
      </c>
      <c r="D31" s="23">
        <v>1</v>
      </c>
      <c r="E31" s="9">
        <v>80</v>
      </c>
      <c r="F31" s="25">
        <v>0.05</v>
      </c>
      <c r="G31" s="9">
        <v>4</v>
      </c>
      <c r="H31" s="9">
        <v>16</v>
      </c>
      <c r="I31" s="9">
        <v>16</v>
      </c>
      <c r="J31" s="9">
        <v>0</v>
      </c>
      <c r="K31" s="9">
        <v>0</v>
      </c>
      <c r="L31" s="9">
        <v>0</v>
      </c>
      <c r="M31" s="9">
        <f>E31+K31-I31-J31-L31</f>
        <v>64.0</v>
      </c>
    </row>
    <row r="32" spans="1:13" ht="25" customHeight="1">
      <c r="A32" s="3" t="s">
        <v>78</v>
      </c>
      <c r="B32" s="4" t="s">
        <v>393</v>
      </c>
      <c r="C32" s="4" t="s">
        <v>198</v>
      </c>
      <c r="D32" s="24">
        <v>1</v>
      </c>
      <c r="E32" s="10">
        <v>350</v>
      </c>
      <c r="F32" s="26">
        <v>0.0475</v>
      </c>
      <c r="G32" s="10">
        <v>16.625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f>E32+K32-I32-J32-L32</f>
        <v>350.0</v>
      </c>
    </row>
    <row r="33" spans="1:13" ht="25" customHeight="1">
      <c r="A33" s="6" t="s">
        <v>78</v>
      </c>
      <c r="B33" s="7" t="s">
        <v>393</v>
      </c>
      <c r="C33" s="7" t="s">
        <v>394</v>
      </c>
      <c r="D33" s="23">
        <v>1</v>
      </c>
      <c r="E33" s="9">
        <v>2223.350253807107</v>
      </c>
      <c r="F33" s="25">
        <v>0.065</v>
      </c>
      <c r="G33" s="9">
        <v>144.5177664974619</v>
      </c>
      <c r="H33" s="9">
        <v>44.46700507614213</v>
      </c>
      <c r="I33" s="9">
        <v>44.46700507614213</v>
      </c>
      <c r="J33" s="9">
        <v>1067.890132379528</v>
      </c>
      <c r="K33" s="9">
        <v>0</v>
      </c>
      <c r="L33" s="9">
        <v>0</v>
      </c>
      <c r="M33" s="9">
        <f>E33+K33-I33-J33-L33</f>
        <v>1110.9931163514364</v>
      </c>
    </row>
    <row r="34" spans="1:13" ht="25" customHeight="1">
      <c r="A34" s="3" t="s">
        <v>78</v>
      </c>
      <c r="B34" s="4" t="s">
        <v>393</v>
      </c>
      <c r="C34" s="4" t="s">
        <v>395</v>
      </c>
      <c r="D34" s="24">
        <v>1</v>
      </c>
      <c r="E34" s="10">
        <v>0</v>
      </c>
      <c r="F34" s="26">
        <v>0.0625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f>E34+K34-I34-J34-L34</f>
        <v>0.0</v>
      </c>
    </row>
    <row r="35" spans="1:13" ht="25" customHeight="1">
      <c r="A35" s="6" t="s">
        <v>78</v>
      </c>
      <c r="B35" s="7" t="s">
        <v>393</v>
      </c>
      <c r="C35" s="7" t="s">
        <v>139</v>
      </c>
      <c r="D35" s="23">
        <v>2</v>
      </c>
      <c r="E35" s="9">
        <v>900</v>
      </c>
      <c r="F35" s="25">
        <v>0.038</v>
      </c>
      <c r="G35" s="9">
        <v>34.2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f>E35+K35-I35-J35-L35</f>
        <v>900.0</v>
      </c>
    </row>
    <row r="36" spans="1:13" ht="25" customHeight="1">
      <c r="A36" s="3" t="s">
        <v>78</v>
      </c>
      <c r="B36" s="4" t="s">
        <v>393</v>
      </c>
      <c r="C36" s="4" t="s">
        <v>153</v>
      </c>
      <c r="D36" s="24">
        <v>2</v>
      </c>
      <c r="E36" s="10">
        <v>64</v>
      </c>
      <c r="F36" s="26">
        <v>0.05</v>
      </c>
      <c r="G36" s="10">
        <v>3.2</v>
      </c>
      <c r="H36" s="10">
        <v>16</v>
      </c>
      <c r="I36" s="10">
        <v>16</v>
      </c>
      <c r="J36" s="10">
        <v>0</v>
      </c>
      <c r="K36" s="10">
        <v>0</v>
      </c>
      <c r="L36" s="10">
        <v>0</v>
      </c>
      <c r="M36" s="10">
        <f>E36+K36-I36-J36-L36</f>
        <v>48.0</v>
      </c>
    </row>
    <row r="37" spans="1:13" ht="25" customHeight="1">
      <c r="A37" s="6" t="s">
        <v>78</v>
      </c>
      <c r="B37" s="7" t="s">
        <v>393</v>
      </c>
      <c r="C37" s="7" t="s">
        <v>198</v>
      </c>
      <c r="D37" s="23">
        <v>2</v>
      </c>
      <c r="E37" s="9">
        <v>350</v>
      </c>
      <c r="F37" s="25">
        <v>0.0475</v>
      </c>
      <c r="G37" s="9">
        <v>16.625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f>E37+K37-I37-J37-L37</f>
        <v>350.0</v>
      </c>
    </row>
    <row r="38" spans="1:13" ht="25" customHeight="1">
      <c r="A38" s="3" t="s">
        <v>78</v>
      </c>
      <c r="B38" s="4" t="s">
        <v>393</v>
      </c>
      <c r="C38" s="4" t="s">
        <v>394</v>
      </c>
      <c r="D38" s="24">
        <v>2</v>
      </c>
      <c r="E38" s="10">
        <v>1110.993116351436</v>
      </c>
      <c r="F38" s="26">
        <v>0.0625</v>
      </c>
      <c r="G38" s="10">
        <v>69.43706977196477</v>
      </c>
      <c r="H38" s="10">
        <v>44.46700507614213</v>
      </c>
      <c r="I38" s="10">
        <v>44.46700507614213</v>
      </c>
      <c r="J38" s="10">
        <v>329.9962602318687</v>
      </c>
      <c r="K38" s="10">
        <v>0</v>
      </c>
      <c r="L38" s="10">
        <v>0</v>
      </c>
      <c r="M38" s="10">
        <f>E38+K38-I38-J38-L38</f>
        <v>736.5298510434254</v>
      </c>
    </row>
    <row r="39" spans="1:13" ht="25" customHeight="1">
      <c r="A39" s="6" t="s">
        <v>78</v>
      </c>
      <c r="B39" s="7" t="s">
        <v>393</v>
      </c>
      <c r="C39" s="7" t="s">
        <v>395</v>
      </c>
      <c r="D39" s="23">
        <v>2</v>
      </c>
      <c r="E39" s="9">
        <v>0</v>
      </c>
      <c r="F39" s="25">
        <v>0.06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f>E39+K39-I39-J39-L39</f>
        <v>0.0</v>
      </c>
    </row>
    <row r="40" spans="1:13" ht="25" customHeight="1">
      <c r="A40" s="3" t="s">
        <v>78</v>
      </c>
      <c r="B40" s="4" t="s">
        <v>393</v>
      </c>
      <c r="C40" s="4" t="s">
        <v>139</v>
      </c>
      <c r="D40" s="24">
        <v>3</v>
      </c>
      <c r="E40" s="10">
        <v>900</v>
      </c>
      <c r="F40" s="26">
        <v>0.038</v>
      </c>
      <c r="G40" s="10">
        <v>34.2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f>E40+K40-I40-J40-L40</f>
        <v>900.0</v>
      </c>
    </row>
    <row r="41" spans="1:13" ht="25" customHeight="1">
      <c r="A41" s="6" t="s">
        <v>78</v>
      </c>
      <c r="B41" s="7" t="s">
        <v>393</v>
      </c>
      <c r="C41" s="7" t="s">
        <v>153</v>
      </c>
      <c r="D41" s="23">
        <v>3</v>
      </c>
      <c r="E41" s="9">
        <v>48</v>
      </c>
      <c r="F41" s="25">
        <v>0.05</v>
      </c>
      <c r="G41" s="9">
        <v>2.4</v>
      </c>
      <c r="H41" s="9">
        <v>16</v>
      </c>
      <c r="I41" s="9">
        <v>16</v>
      </c>
      <c r="J41" s="9">
        <v>0</v>
      </c>
      <c r="K41" s="9">
        <v>0</v>
      </c>
      <c r="L41" s="9">
        <v>0</v>
      </c>
      <c r="M41" s="9">
        <f>E41+K41-I41-J41-L41</f>
        <v>32.0</v>
      </c>
    </row>
    <row r="42" spans="1:13" ht="25" customHeight="1">
      <c r="A42" s="3" t="s">
        <v>78</v>
      </c>
      <c r="B42" s="4" t="s">
        <v>393</v>
      </c>
      <c r="C42" s="4" t="s">
        <v>198</v>
      </c>
      <c r="D42" s="24">
        <v>3</v>
      </c>
      <c r="E42" s="10">
        <v>350</v>
      </c>
      <c r="F42" s="26">
        <v>0.0475</v>
      </c>
      <c r="G42" s="10">
        <v>16.625</v>
      </c>
      <c r="H42" s="10">
        <v>350</v>
      </c>
      <c r="I42" s="10">
        <v>350</v>
      </c>
      <c r="J42" s="10">
        <v>0</v>
      </c>
      <c r="K42" s="10">
        <v>0</v>
      </c>
      <c r="L42" s="10">
        <v>0</v>
      </c>
      <c r="M42" s="10">
        <f>E42+K42-I42-J42-L42</f>
        <v>0.0</v>
      </c>
    </row>
    <row r="43" spans="1:13" ht="25" customHeight="1">
      <c r="A43" s="6" t="s">
        <v>78</v>
      </c>
      <c r="B43" s="7" t="s">
        <v>393</v>
      </c>
      <c r="C43" s="7" t="s">
        <v>394</v>
      </c>
      <c r="D43" s="23">
        <v>3</v>
      </c>
      <c r="E43" s="9">
        <v>736.5298510434254</v>
      </c>
      <c r="F43" s="25">
        <v>0.06</v>
      </c>
      <c r="G43" s="9">
        <v>44.19179106260553</v>
      </c>
      <c r="H43" s="9">
        <v>44.46700507614213</v>
      </c>
      <c r="I43" s="9">
        <v>44.46700507614213</v>
      </c>
      <c r="J43" s="9">
        <v>95.53319470481392</v>
      </c>
      <c r="K43" s="9">
        <v>0</v>
      </c>
      <c r="L43" s="9">
        <v>0</v>
      </c>
      <c r="M43" s="9">
        <f>E43+K43-I43-J43-L43</f>
        <v>596.5296512624693</v>
      </c>
    </row>
    <row r="44" spans="1:13" ht="25" customHeight="1">
      <c r="A44" s="3" t="s">
        <v>78</v>
      </c>
      <c r="B44" s="4" t="s">
        <v>393</v>
      </c>
      <c r="C44" s="4" t="s">
        <v>395</v>
      </c>
      <c r="D44" s="24">
        <v>3</v>
      </c>
      <c r="E44" s="10">
        <v>0</v>
      </c>
      <c r="F44" s="26">
        <v>0.0575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>
        <f>E44+K44-I44-J44-L44</f>
        <v>0.0</v>
      </c>
    </row>
    <row r="45" spans="1:13" ht="25" customHeight="1">
      <c r="A45" s="6" t="s">
        <v>78</v>
      </c>
      <c r="B45" s="7" t="s">
        <v>393</v>
      </c>
      <c r="C45" s="7" t="s">
        <v>139</v>
      </c>
      <c r="D45" s="23">
        <v>4</v>
      </c>
      <c r="E45" s="9">
        <v>900</v>
      </c>
      <c r="F45" s="25">
        <v>0.038</v>
      </c>
      <c r="G45" s="9">
        <v>34.2</v>
      </c>
      <c r="H45" s="9">
        <v>900</v>
      </c>
      <c r="I45" s="9">
        <v>900</v>
      </c>
      <c r="J45" s="9">
        <v>0</v>
      </c>
      <c r="K45" s="9">
        <v>0</v>
      </c>
      <c r="L45" s="9">
        <v>0</v>
      </c>
      <c r="M45" s="9">
        <f>E45+K45-I45-J45-L45</f>
        <v>0.0</v>
      </c>
    </row>
    <row r="46" spans="1:13" ht="25" customHeight="1">
      <c r="A46" s="3" t="s">
        <v>78</v>
      </c>
      <c r="B46" s="4" t="s">
        <v>393</v>
      </c>
      <c r="C46" s="4" t="s">
        <v>153</v>
      </c>
      <c r="D46" s="24">
        <v>4</v>
      </c>
      <c r="E46" s="10">
        <v>32</v>
      </c>
      <c r="F46" s="26">
        <v>0.05</v>
      </c>
      <c r="G46" s="10">
        <v>1.6</v>
      </c>
      <c r="H46" s="10">
        <v>16</v>
      </c>
      <c r="I46" s="10">
        <v>16</v>
      </c>
      <c r="J46" s="10">
        <v>0</v>
      </c>
      <c r="K46" s="10">
        <v>0</v>
      </c>
      <c r="L46" s="10">
        <v>0</v>
      </c>
      <c r="M46" s="10">
        <f>E46+K46-I46-J46-L46</f>
        <v>16.0</v>
      </c>
    </row>
    <row r="47" spans="1:13" ht="25" customHeight="1">
      <c r="A47" s="6" t="s">
        <v>78</v>
      </c>
      <c r="B47" s="7" t="s">
        <v>393</v>
      </c>
      <c r="C47" s="7" t="s">
        <v>198</v>
      </c>
      <c r="D47" s="23">
        <v>4</v>
      </c>
      <c r="E47" s="9">
        <v>0</v>
      </c>
      <c r="F47" s="25">
        <v>0.0475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f>E47+K47-I47-J47-L47</f>
        <v>0.0</v>
      </c>
    </row>
    <row r="48" spans="1:13" ht="25" customHeight="1">
      <c r="A48" s="3" t="s">
        <v>78</v>
      </c>
      <c r="B48" s="4" t="s">
        <v>393</v>
      </c>
      <c r="C48" s="4" t="s">
        <v>394</v>
      </c>
      <c r="D48" s="24">
        <v>4</v>
      </c>
      <c r="E48" s="10">
        <v>596.5296512624693</v>
      </c>
      <c r="F48" s="26">
        <v>0.06</v>
      </c>
      <c r="G48" s="10">
        <v>35.79177907574816</v>
      </c>
      <c r="H48" s="10">
        <v>44.46700507614213</v>
      </c>
      <c r="I48" s="10">
        <v>44.46700507614213</v>
      </c>
      <c r="J48" s="10">
        <v>0</v>
      </c>
      <c r="K48" s="10">
        <v>0</v>
      </c>
      <c r="L48" s="10">
        <v>0</v>
      </c>
      <c r="M48" s="10">
        <f>E48+K48-I48-J48-L48</f>
        <v>552.0626461863271</v>
      </c>
    </row>
    <row r="49" spans="1:13" ht="25" customHeight="1">
      <c r="A49" s="6" t="s">
        <v>78</v>
      </c>
      <c r="B49" s="7" t="s">
        <v>393</v>
      </c>
      <c r="C49" s="7" t="s">
        <v>395</v>
      </c>
      <c r="D49" s="23">
        <v>4</v>
      </c>
      <c r="E49" s="9">
        <v>0</v>
      </c>
      <c r="F49" s="25">
        <v>0.0575</v>
      </c>
      <c r="G49" s="9">
        <v>0</v>
      </c>
      <c r="H49" s="9">
        <v>0</v>
      </c>
      <c r="I49" s="9">
        <v>0</v>
      </c>
      <c r="J49" s="9">
        <v>0</v>
      </c>
      <c r="K49" s="9">
        <v>388.2639668780964</v>
      </c>
      <c r="L49" s="9">
        <v>0</v>
      </c>
      <c r="M49" s="9">
        <f>E49+K49-I49-J49-L49</f>
        <v>388.2639668780964</v>
      </c>
    </row>
    <row r="50" spans="1:13" ht="25" customHeight="1">
      <c r="A50" s="3" t="s">
        <v>78</v>
      </c>
      <c r="B50" s="4" t="s">
        <v>393</v>
      </c>
      <c r="C50" s="4" t="s">
        <v>139</v>
      </c>
      <c r="D50" s="24">
        <v>5</v>
      </c>
      <c r="E50" s="10">
        <v>0</v>
      </c>
      <c r="F50" s="26">
        <v>0.038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>
        <f>E50+K50-I50-J50-L50</f>
        <v>0.0</v>
      </c>
    </row>
    <row r="51" spans="1:13" ht="25" customHeight="1">
      <c r="A51" s="6" t="s">
        <v>78</v>
      </c>
      <c r="B51" s="7" t="s">
        <v>393</v>
      </c>
      <c r="C51" s="7" t="s">
        <v>153</v>
      </c>
      <c r="D51" s="23">
        <v>5</v>
      </c>
      <c r="E51" s="9">
        <v>16</v>
      </c>
      <c r="F51" s="25">
        <v>0.05</v>
      </c>
      <c r="G51" s="9">
        <v>0.8</v>
      </c>
      <c r="H51" s="9">
        <v>16</v>
      </c>
      <c r="I51" s="9">
        <v>16</v>
      </c>
      <c r="J51" s="9">
        <v>0</v>
      </c>
      <c r="K51" s="9">
        <v>0</v>
      </c>
      <c r="L51" s="9">
        <v>0</v>
      </c>
      <c r="M51" s="9">
        <f>E51+K51-I51-J51-L51</f>
        <v>0.0</v>
      </c>
    </row>
    <row r="52" spans="1:13" ht="25" customHeight="1">
      <c r="A52" s="3" t="s">
        <v>78</v>
      </c>
      <c r="B52" s="4" t="s">
        <v>393</v>
      </c>
      <c r="C52" s="4" t="s">
        <v>198</v>
      </c>
      <c r="D52" s="24">
        <v>5</v>
      </c>
      <c r="E52" s="10">
        <v>0</v>
      </c>
      <c r="F52" s="26">
        <v>0.0475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>
        <f>E52+K52-I52-J52-L52</f>
        <v>0.0</v>
      </c>
    </row>
    <row r="53" spans="1:13" ht="25" customHeight="1">
      <c r="A53" s="6" t="s">
        <v>78</v>
      </c>
      <c r="B53" s="7" t="s">
        <v>393</v>
      </c>
      <c r="C53" s="7" t="s">
        <v>394</v>
      </c>
      <c r="D53" s="23">
        <v>5</v>
      </c>
      <c r="E53" s="9">
        <v>552.0626461863271</v>
      </c>
      <c r="F53" s="25">
        <v>0.06</v>
      </c>
      <c r="G53" s="9">
        <v>33.12375877117963</v>
      </c>
      <c r="H53" s="9">
        <v>552.0626461863271</v>
      </c>
      <c r="I53" s="9">
        <v>552.0626461863271</v>
      </c>
      <c r="J53" s="9">
        <v>0</v>
      </c>
      <c r="K53" s="9">
        <v>0</v>
      </c>
      <c r="L53" s="9">
        <v>0</v>
      </c>
      <c r="M53" s="9">
        <f>E53+K53-I53-J53-L53</f>
        <v>0.0</v>
      </c>
    </row>
    <row r="54" spans="1:13" ht="25" customHeight="1">
      <c r="A54" s="3" t="s">
        <v>78</v>
      </c>
      <c r="B54" s="4" t="s">
        <v>393</v>
      </c>
      <c r="C54" s="4" t="s">
        <v>395</v>
      </c>
      <c r="D54" s="24">
        <v>5</v>
      </c>
      <c r="E54" s="10">
        <v>388.2639668780964</v>
      </c>
      <c r="F54" s="26">
        <v>0.0575</v>
      </c>
      <c r="G54" s="10">
        <v>22.32517809549055</v>
      </c>
      <c r="H54" s="10">
        <v>388.2639668780964</v>
      </c>
      <c r="I54" s="10">
        <v>388.2639668780964</v>
      </c>
      <c r="J54" s="10">
        <v>0</v>
      </c>
      <c r="K54" s="10">
        <v>0</v>
      </c>
      <c r="L54" s="10">
        <v>0</v>
      </c>
      <c r="M54" s="10">
        <f>E54+K54-I54-J54-L54</f>
        <v>0.0</v>
      </c>
    </row>
    <row r="55" spans="1:13" ht="25" customHeight="1">
      <c r="A55" s="6" t="s">
        <v>79</v>
      </c>
      <c r="B55" s="7" t="s">
        <v>393</v>
      </c>
      <c r="C55" s="7" t="s">
        <v>139</v>
      </c>
      <c r="D55" s="23">
        <v>1</v>
      </c>
      <c r="E55" s="9">
        <v>900</v>
      </c>
      <c r="F55" s="25">
        <v>0.038</v>
      </c>
      <c r="G55" s="9">
        <v>34.2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f>E55+K55-I55-J55-L55</f>
        <v>900.0</v>
      </c>
    </row>
    <row r="56" spans="1:13" ht="25" customHeight="1">
      <c r="A56" s="3" t="s">
        <v>79</v>
      </c>
      <c r="B56" s="4" t="s">
        <v>393</v>
      </c>
      <c r="C56" s="4" t="s">
        <v>153</v>
      </c>
      <c r="D56" s="24">
        <v>1</v>
      </c>
      <c r="E56" s="10">
        <v>80</v>
      </c>
      <c r="F56" s="26">
        <v>0.05</v>
      </c>
      <c r="G56" s="10">
        <v>4</v>
      </c>
      <c r="H56" s="10">
        <v>16</v>
      </c>
      <c r="I56" s="10">
        <v>16</v>
      </c>
      <c r="J56" s="10">
        <v>31.32921867394413</v>
      </c>
      <c r="K56" s="10">
        <v>0</v>
      </c>
      <c r="L56" s="10">
        <v>0</v>
      </c>
      <c r="M56" s="10">
        <f>E56+K56-I56-J56-L56</f>
        <v>32.670781326055874</v>
      </c>
    </row>
    <row r="57" spans="1:13" ht="25" customHeight="1">
      <c r="A57" s="6" t="s">
        <v>79</v>
      </c>
      <c r="B57" s="7" t="s">
        <v>393</v>
      </c>
      <c r="C57" s="7" t="s">
        <v>198</v>
      </c>
      <c r="D57" s="23">
        <v>1</v>
      </c>
      <c r="E57" s="9">
        <v>350</v>
      </c>
      <c r="F57" s="25">
        <v>0.0475</v>
      </c>
      <c r="G57" s="9">
        <v>16.625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f>E57+K57-I57-J57-L57</f>
        <v>350.0</v>
      </c>
    </row>
    <row r="58" spans="1:13" ht="25" customHeight="1">
      <c r="A58" s="3" t="s">
        <v>79</v>
      </c>
      <c r="B58" s="4" t="s">
        <v>393</v>
      </c>
      <c r="C58" s="4" t="s">
        <v>394</v>
      </c>
      <c r="D58" s="24">
        <v>1</v>
      </c>
      <c r="E58" s="10">
        <v>304.5685279187817</v>
      </c>
      <c r="F58" s="26">
        <v>0.065</v>
      </c>
      <c r="G58" s="10">
        <v>19.79695431472081</v>
      </c>
      <c r="H58" s="10">
        <v>6.091370558375635</v>
      </c>
      <c r="I58" s="10">
        <v>6.091370558375635</v>
      </c>
      <c r="J58" s="10">
        <v>298.4771573604061</v>
      </c>
      <c r="K58" s="10">
        <v>0</v>
      </c>
      <c r="L58" s="10">
        <v>0</v>
      </c>
      <c r="M58" s="10">
        <f>E58+K58-I58-J58-L58</f>
        <v>0.0</v>
      </c>
    </row>
    <row r="59" spans="1:13" ht="25" customHeight="1">
      <c r="A59" s="6" t="s">
        <v>79</v>
      </c>
      <c r="B59" s="7" t="s">
        <v>393</v>
      </c>
      <c r="C59" s="7" t="s">
        <v>395</v>
      </c>
      <c r="D59" s="23">
        <v>1</v>
      </c>
      <c r="E59" s="9">
        <v>0</v>
      </c>
      <c r="F59" s="25">
        <v>0.0625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f>E59+K59-I59-J59-L59</f>
        <v>0.0</v>
      </c>
    </row>
    <row r="60" spans="1:13" ht="25" customHeight="1">
      <c r="A60" s="3" t="s">
        <v>79</v>
      </c>
      <c r="B60" s="4" t="s">
        <v>393</v>
      </c>
      <c r="C60" s="4" t="s">
        <v>139</v>
      </c>
      <c r="D60" s="24">
        <v>2</v>
      </c>
      <c r="E60" s="10">
        <v>900</v>
      </c>
      <c r="F60" s="26">
        <v>0.038</v>
      </c>
      <c r="G60" s="10">
        <v>34.2</v>
      </c>
      <c r="H60" s="10">
        <v>0</v>
      </c>
      <c r="I60" s="10">
        <v>0</v>
      </c>
      <c r="J60" s="10">
        <v>61.04513201120136</v>
      </c>
      <c r="K60" s="10">
        <v>0</v>
      </c>
      <c r="L60" s="10">
        <v>0</v>
      </c>
      <c r="M60" s="10">
        <f>E60+K60-I60-J60-L60</f>
        <v>838.9548679887987</v>
      </c>
    </row>
    <row r="61" spans="1:13" ht="25" customHeight="1">
      <c r="A61" s="6" t="s">
        <v>79</v>
      </c>
      <c r="B61" s="7" t="s">
        <v>393</v>
      </c>
      <c r="C61" s="7" t="s">
        <v>153</v>
      </c>
      <c r="D61" s="23">
        <v>2</v>
      </c>
      <c r="E61" s="9">
        <v>32.67078132605587</v>
      </c>
      <c r="F61" s="25">
        <v>0.05</v>
      </c>
      <c r="G61" s="9">
        <v>1.633539066302794</v>
      </c>
      <c r="H61" s="9">
        <v>16</v>
      </c>
      <c r="I61" s="9">
        <v>16</v>
      </c>
      <c r="J61" s="9">
        <v>16.67078132605587</v>
      </c>
      <c r="K61" s="9">
        <v>0</v>
      </c>
      <c r="L61" s="9">
        <v>0</v>
      </c>
      <c r="M61" s="9">
        <f>E61+K61-I61-J61-L61</f>
        <v>0.0</v>
      </c>
    </row>
    <row r="62" spans="1:13" ht="25" customHeight="1">
      <c r="A62" s="3" t="s">
        <v>79</v>
      </c>
      <c r="B62" s="4" t="s">
        <v>393</v>
      </c>
      <c r="C62" s="4" t="s">
        <v>198</v>
      </c>
      <c r="D62" s="24">
        <v>2</v>
      </c>
      <c r="E62" s="10">
        <v>350</v>
      </c>
      <c r="F62" s="26">
        <v>0.0475</v>
      </c>
      <c r="G62" s="10">
        <v>16.625</v>
      </c>
      <c r="H62" s="10">
        <v>0</v>
      </c>
      <c r="I62" s="10">
        <v>0</v>
      </c>
      <c r="J62" s="10">
        <v>350</v>
      </c>
      <c r="K62" s="10">
        <v>0</v>
      </c>
      <c r="L62" s="10">
        <v>0</v>
      </c>
      <c r="M62" s="10">
        <f>E62+K62-I62-J62-L62</f>
        <v>0.0</v>
      </c>
    </row>
    <row r="63" spans="1:13" ht="25" customHeight="1">
      <c r="A63" s="6" t="s">
        <v>79</v>
      </c>
      <c r="B63" s="7" t="s">
        <v>393</v>
      </c>
      <c r="C63" s="7" t="s">
        <v>394</v>
      </c>
      <c r="D63" s="23">
        <v>2</v>
      </c>
      <c r="E63" s="9">
        <v>0</v>
      </c>
      <c r="F63" s="25">
        <v>0.0625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f>E63+K63-I63-J63-L63</f>
        <v>0.0</v>
      </c>
    </row>
    <row r="64" spans="1:13" ht="25" customHeight="1">
      <c r="A64" s="3" t="s">
        <v>79</v>
      </c>
      <c r="B64" s="4" t="s">
        <v>393</v>
      </c>
      <c r="C64" s="4" t="s">
        <v>395</v>
      </c>
      <c r="D64" s="24">
        <v>2</v>
      </c>
      <c r="E64" s="10">
        <v>0</v>
      </c>
      <c r="F64" s="26">
        <v>0.06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f>E64+K64-I64-J64-L64</f>
        <v>0.0</v>
      </c>
    </row>
    <row r="65" spans="1:13" ht="25" customHeight="1">
      <c r="A65" s="6" t="s">
        <v>79</v>
      </c>
      <c r="B65" s="7" t="s">
        <v>393</v>
      </c>
      <c r="C65" s="7" t="s">
        <v>139</v>
      </c>
      <c r="D65" s="23">
        <v>3</v>
      </c>
      <c r="E65" s="9">
        <v>838.9548679887987</v>
      </c>
      <c r="F65" s="25">
        <v>0.038</v>
      </c>
      <c r="G65" s="9">
        <v>31.88028498357435</v>
      </c>
      <c r="H65" s="9">
        <v>0</v>
      </c>
      <c r="I65" s="9">
        <v>0</v>
      </c>
      <c r="J65" s="9">
        <v>555.1525793402295</v>
      </c>
      <c r="K65" s="9">
        <v>0</v>
      </c>
      <c r="L65" s="9">
        <v>0</v>
      </c>
      <c r="M65" s="9">
        <f>E65+K65-I65-J65-L65</f>
        <v>283.8022886485692</v>
      </c>
    </row>
    <row r="66" spans="1:13" ht="25" customHeight="1">
      <c r="A66" s="3" t="s">
        <v>79</v>
      </c>
      <c r="B66" s="4" t="s">
        <v>393</v>
      </c>
      <c r="C66" s="4" t="s">
        <v>153</v>
      </c>
      <c r="D66" s="24">
        <v>3</v>
      </c>
      <c r="E66" s="10">
        <v>0</v>
      </c>
      <c r="F66" s="26">
        <v>0.05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  <c r="L66" s="10">
        <v>0</v>
      </c>
      <c r="M66" s="10">
        <f>E66+K66-I66-J66-L66</f>
        <v>0.0</v>
      </c>
    </row>
    <row r="67" spans="1:13" ht="25" customHeight="1">
      <c r="A67" s="6" t="s">
        <v>79</v>
      </c>
      <c r="B67" s="7" t="s">
        <v>393</v>
      </c>
      <c r="C67" s="7" t="s">
        <v>198</v>
      </c>
      <c r="D67" s="23">
        <v>3</v>
      </c>
      <c r="E67" s="9">
        <v>0</v>
      </c>
      <c r="F67" s="25">
        <v>0.0475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f>E67+K67-I67-J67-L67</f>
        <v>0.0</v>
      </c>
    </row>
    <row r="68" spans="1:13" ht="25" customHeight="1">
      <c r="A68" s="3" t="s">
        <v>79</v>
      </c>
      <c r="B68" s="4" t="s">
        <v>393</v>
      </c>
      <c r="C68" s="4" t="s">
        <v>394</v>
      </c>
      <c r="D68" s="24">
        <v>3</v>
      </c>
      <c r="E68" s="10">
        <v>0</v>
      </c>
      <c r="F68" s="26">
        <v>0.06</v>
      </c>
      <c r="G68" s="10">
        <v>0</v>
      </c>
      <c r="H68" s="10">
        <v>0</v>
      </c>
      <c r="I68" s="10">
        <v>0</v>
      </c>
      <c r="J68" s="10">
        <v>0</v>
      </c>
      <c r="K68" s="10">
        <v>0</v>
      </c>
      <c r="L68" s="10">
        <v>0</v>
      </c>
      <c r="M68" s="10">
        <f>E68+K68-I68-J68-L68</f>
        <v>0.0</v>
      </c>
    </row>
    <row r="69" spans="1:13" ht="25" customHeight="1">
      <c r="A69" s="6" t="s">
        <v>79</v>
      </c>
      <c r="B69" s="7" t="s">
        <v>393</v>
      </c>
      <c r="C69" s="7" t="s">
        <v>395</v>
      </c>
      <c r="D69" s="23">
        <v>3</v>
      </c>
      <c r="E69" s="9">
        <v>0</v>
      </c>
      <c r="F69" s="25">
        <v>0.0575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f>E69+K69-I69-J69-L69</f>
        <v>0.0</v>
      </c>
    </row>
    <row r="70" spans="1:13" ht="25" customHeight="1">
      <c r="A70" s="3" t="s">
        <v>79</v>
      </c>
      <c r="B70" s="4" t="s">
        <v>393</v>
      </c>
      <c r="C70" s="4" t="s">
        <v>139</v>
      </c>
      <c r="D70" s="24">
        <v>4</v>
      </c>
      <c r="E70" s="10">
        <v>283.8022886485692</v>
      </c>
      <c r="F70" s="26">
        <v>0.038</v>
      </c>
      <c r="G70" s="10">
        <v>10.78448696864563</v>
      </c>
      <c r="H70" s="10">
        <v>283.8022886485692</v>
      </c>
      <c r="I70" s="10">
        <v>283.8022886485692</v>
      </c>
      <c r="J70" s="10">
        <v>0</v>
      </c>
      <c r="K70" s="10">
        <v>0</v>
      </c>
      <c r="L70" s="10">
        <v>0</v>
      </c>
      <c r="M70" s="10">
        <f>E70+K70-I70-J70-L70</f>
        <v>0.0</v>
      </c>
    </row>
    <row r="71" spans="1:13" ht="25" customHeight="1">
      <c r="A71" s="6" t="s">
        <v>79</v>
      </c>
      <c r="B71" s="7" t="s">
        <v>393</v>
      </c>
      <c r="C71" s="7" t="s">
        <v>153</v>
      </c>
      <c r="D71" s="23">
        <v>4</v>
      </c>
      <c r="E71" s="9">
        <v>0</v>
      </c>
      <c r="F71" s="25">
        <v>0.05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f>E71+K71-I71-J71-L71</f>
        <v>0.0</v>
      </c>
    </row>
    <row r="72" spans="1:13" ht="25" customHeight="1">
      <c r="A72" s="3" t="s">
        <v>79</v>
      </c>
      <c r="B72" s="4" t="s">
        <v>393</v>
      </c>
      <c r="C72" s="4" t="s">
        <v>198</v>
      </c>
      <c r="D72" s="24">
        <v>4</v>
      </c>
      <c r="E72" s="10">
        <v>0</v>
      </c>
      <c r="F72" s="26">
        <v>0.0475</v>
      </c>
      <c r="G72" s="10">
        <v>0</v>
      </c>
      <c r="H72" s="10">
        <v>0</v>
      </c>
      <c r="I72" s="10">
        <v>0</v>
      </c>
      <c r="J72" s="10">
        <v>0</v>
      </c>
      <c r="K72" s="10">
        <v>0</v>
      </c>
      <c r="L72" s="10">
        <v>0</v>
      </c>
      <c r="M72" s="10">
        <f>E72+K72-I72-J72-L72</f>
        <v>0.0</v>
      </c>
    </row>
    <row r="73" spans="1:13" ht="25" customHeight="1">
      <c r="A73" s="6" t="s">
        <v>79</v>
      </c>
      <c r="B73" s="7" t="s">
        <v>393</v>
      </c>
      <c r="C73" s="7" t="s">
        <v>394</v>
      </c>
      <c r="D73" s="23">
        <v>4</v>
      </c>
      <c r="E73" s="9">
        <v>0</v>
      </c>
      <c r="F73" s="25">
        <v>0.06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f>E73+K73-I73-J73-L73</f>
        <v>0.0</v>
      </c>
    </row>
    <row r="74" spans="1:13" ht="25" customHeight="1">
      <c r="A74" s="3" t="s">
        <v>79</v>
      </c>
      <c r="B74" s="4" t="s">
        <v>393</v>
      </c>
      <c r="C74" s="4" t="s">
        <v>395</v>
      </c>
      <c r="D74" s="24">
        <v>4</v>
      </c>
      <c r="E74" s="10">
        <v>0</v>
      </c>
      <c r="F74" s="26">
        <v>0.0575</v>
      </c>
      <c r="G74" s="10">
        <v>0</v>
      </c>
      <c r="H74" s="10">
        <v>0</v>
      </c>
      <c r="I74" s="10">
        <v>0</v>
      </c>
      <c r="J74" s="10">
        <v>0</v>
      </c>
      <c r="K74" s="10">
        <v>0</v>
      </c>
      <c r="L74" s="10">
        <v>0</v>
      </c>
      <c r="M74" s="10">
        <f>E74+K74-I74-J74-L74</f>
        <v>0.0</v>
      </c>
    </row>
    <row r="75" spans="1:13" ht="25" customHeight="1">
      <c r="A75" s="6" t="s">
        <v>79</v>
      </c>
      <c r="B75" s="7" t="s">
        <v>393</v>
      </c>
      <c r="C75" s="7" t="s">
        <v>139</v>
      </c>
      <c r="D75" s="23">
        <v>5</v>
      </c>
      <c r="E75" s="9">
        <v>0</v>
      </c>
      <c r="F75" s="25">
        <v>0.038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f>E75+K75-I75-J75-L75</f>
        <v>0.0</v>
      </c>
    </row>
    <row r="76" spans="1:13" ht="25" customHeight="1">
      <c r="A76" s="3" t="s">
        <v>79</v>
      </c>
      <c r="B76" s="4" t="s">
        <v>393</v>
      </c>
      <c r="C76" s="4" t="s">
        <v>153</v>
      </c>
      <c r="D76" s="24">
        <v>5</v>
      </c>
      <c r="E76" s="10">
        <v>0</v>
      </c>
      <c r="F76" s="26">
        <v>0.05</v>
      </c>
      <c r="G76" s="10">
        <v>0</v>
      </c>
      <c r="H76" s="10">
        <v>0</v>
      </c>
      <c r="I76" s="10">
        <v>0</v>
      </c>
      <c r="J76" s="10">
        <v>0</v>
      </c>
      <c r="K76" s="10">
        <v>0</v>
      </c>
      <c r="L76" s="10">
        <v>0</v>
      </c>
      <c r="M76" s="10">
        <f>E76+K76-I76-J76-L76</f>
        <v>0.0</v>
      </c>
    </row>
    <row r="77" spans="1:13" ht="25" customHeight="1">
      <c r="A77" s="6" t="s">
        <v>79</v>
      </c>
      <c r="B77" s="7" t="s">
        <v>393</v>
      </c>
      <c r="C77" s="7" t="s">
        <v>198</v>
      </c>
      <c r="D77" s="23">
        <v>5</v>
      </c>
      <c r="E77" s="9">
        <v>0</v>
      </c>
      <c r="F77" s="25">
        <v>0.0475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f>E77+K77-I77-J77-L77</f>
        <v>0.0</v>
      </c>
    </row>
    <row r="78" spans="1:13" ht="25" customHeight="1">
      <c r="A78" s="3" t="s">
        <v>79</v>
      </c>
      <c r="B78" s="4" t="s">
        <v>393</v>
      </c>
      <c r="C78" s="4" t="s">
        <v>394</v>
      </c>
      <c r="D78" s="24">
        <v>5</v>
      </c>
      <c r="E78" s="10">
        <v>0</v>
      </c>
      <c r="F78" s="26">
        <v>0.06</v>
      </c>
      <c r="G78" s="10">
        <v>0</v>
      </c>
      <c r="H78" s="10">
        <v>0</v>
      </c>
      <c r="I78" s="10">
        <v>0</v>
      </c>
      <c r="J78" s="10">
        <v>0</v>
      </c>
      <c r="K78" s="10">
        <v>0</v>
      </c>
      <c r="L78" s="10">
        <v>0</v>
      </c>
      <c r="M78" s="10">
        <f>E78+K78-I78-J78-L78</f>
        <v>0.0</v>
      </c>
    </row>
    <row r="79" spans="1:13" ht="25" customHeight="1">
      <c r="A79" s="6" t="s">
        <v>79</v>
      </c>
      <c r="B79" s="7" t="s">
        <v>393</v>
      </c>
      <c r="C79" s="7" t="s">
        <v>395</v>
      </c>
      <c r="D79" s="23">
        <v>5</v>
      </c>
      <c r="E79" s="9">
        <v>0</v>
      </c>
      <c r="F79" s="25">
        <v>0.0575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f>E79+K79-I79-J79-L79</f>
        <v>0.0</v>
      </c>
    </row>
    <row r="80" spans="1:13" ht="25" customHeight="1">
      <c r="A80" s="3" t="s">
        <v>68</v>
      </c>
      <c r="B80" s="4" t="s">
        <v>396</v>
      </c>
      <c r="C80" s="4" t="s">
        <v>139</v>
      </c>
      <c r="D80" s="24">
        <v>1</v>
      </c>
      <c r="E80" s="10">
        <v>900</v>
      </c>
      <c r="F80" s="26">
        <v>0.038</v>
      </c>
      <c r="G80" s="10">
        <v>34.2</v>
      </c>
      <c r="H80" s="10">
        <v>0</v>
      </c>
      <c r="I80" s="10">
        <v>0</v>
      </c>
      <c r="J80" s="10">
        <v>0</v>
      </c>
      <c r="K80" s="10">
        <v>0</v>
      </c>
      <c r="L80" s="10">
        <v>0</v>
      </c>
      <c r="M80" s="10">
        <f>E80+K80-I80-J80-L80</f>
        <v>900.0</v>
      </c>
    </row>
    <row r="81" spans="1:13" ht="25" customHeight="1">
      <c r="A81" s="6" t="s">
        <v>68</v>
      </c>
      <c r="B81" s="7" t="s">
        <v>396</v>
      </c>
      <c r="C81" s="7" t="s">
        <v>153</v>
      </c>
      <c r="D81" s="23">
        <v>1</v>
      </c>
      <c r="E81" s="9">
        <v>80</v>
      </c>
      <c r="F81" s="25">
        <v>0.05</v>
      </c>
      <c r="G81" s="9">
        <v>4</v>
      </c>
      <c r="H81" s="9">
        <v>16</v>
      </c>
      <c r="I81" s="9">
        <v>16</v>
      </c>
      <c r="J81" s="9">
        <v>0</v>
      </c>
      <c r="K81" s="9">
        <v>0</v>
      </c>
      <c r="L81" s="9">
        <v>0</v>
      </c>
      <c r="M81" s="9">
        <f>E81+K81-I81-J81-L81</f>
        <v>64.0</v>
      </c>
    </row>
    <row r="82" spans="1:13" ht="25" customHeight="1">
      <c r="A82" s="3" t="s">
        <v>68</v>
      </c>
      <c r="B82" s="4" t="s">
        <v>396</v>
      </c>
      <c r="C82" s="4" t="s">
        <v>198</v>
      </c>
      <c r="D82" s="24">
        <v>1</v>
      </c>
      <c r="E82" s="10">
        <v>350</v>
      </c>
      <c r="F82" s="26">
        <v>0.0475</v>
      </c>
      <c r="G82" s="10">
        <v>16.625</v>
      </c>
      <c r="H82" s="10">
        <v>0</v>
      </c>
      <c r="I82" s="10">
        <v>0</v>
      </c>
      <c r="J82" s="10">
        <v>0</v>
      </c>
      <c r="K82" s="10">
        <v>0</v>
      </c>
      <c r="L82" s="10">
        <v>0</v>
      </c>
      <c r="M82" s="10">
        <f>E82+K82-I82-J82-L82</f>
        <v>350.0</v>
      </c>
    </row>
    <row r="83" spans="1:13" ht="25" customHeight="1">
      <c r="A83" s="6" t="s">
        <v>68</v>
      </c>
      <c r="B83" s="7" t="s">
        <v>396</v>
      </c>
      <c r="C83" s="7" t="s">
        <v>394</v>
      </c>
      <c r="D83" s="23">
        <v>1</v>
      </c>
      <c r="E83" s="9">
        <v>1340.10152284264</v>
      </c>
      <c r="F83" s="25">
        <v>0.065</v>
      </c>
      <c r="G83" s="9">
        <v>87.10659898477158</v>
      </c>
      <c r="H83" s="9">
        <v>26.80203045685279</v>
      </c>
      <c r="I83" s="9">
        <v>26.80203045685279</v>
      </c>
      <c r="J83" s="9">
        <v>200.876847359362</v>
      </c>
      <c r="K83" s="9">
        <v>0</v>
      </c>
      <c r="L83" s="9">
        <v>0</v>
      </c>
      <c r="M83" s="9">
        <f>E83+K83-I83-J83-L83</f>
        <v>1112.4226450264248</v>
      </c>
    </row>
    <row r="84" spans="1:13" ht="25" customHeight="1">
      <c r="A84" s="3" t="s">
        <v>68</v>
      </c>
      <c r="B84" s="4" t="s">
        <v>396</v>
      </c>
      <c r="C84" s="4" t="s">
        <v>395</v>
      </c>
      <c r="D84" s="24">
        <v>1</v>
      </c>
      <c r="E84" s="10">
        <v>0</v>
      </c>
      <c r="F84" s="26">
        <v>0.0625</v>
      </c>
      <c r="G84" s="10">
        <v>0</v>
      </c>
      <c r="H84" s="10">
        <v>0</v>
      </c>
      <c r="I84" s="10">
        <v>0</v>
      </c>
      <c r="J84" s="10">
        <v>0</v>
      </c>
      <c r="K84" s="10">
        <v>0</v>
      </c>
      <c r="L84" s="10">
        <v>0</v>
      </c>
      <c r="M84" s="10">
        <f>E84+K84-I84-J84-L84</f>
        <v>0.0</v>
      </c>
    </row>
    <row r="85" spans="1:13" ht="25" customHeight="1">
      <c r="A85" s="6" t="s">
        <v>68</v>
      </c>
      <c r="B85" s="7" t="s">
        <v>396</v>
      </c>
      <c r="C85" s="7" t="s">
        <v>139</v>
      </c>
      <c r="D85" s="23">
        <v>2</v>
      </c>
      <c r="E85" s="9">
        <v>900</v>
      </c>
      <c r="F85" s="25">
        <v>0.038</v>
      </c>
      <c r="G85" s="9">
        <v>34.2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f>E85+K85-I85-J85-L85</f>
        <v>900.0</v>
      </c>
    </row>
    <row r="86" spans="1:13" ht="25" customHeight="1">
      <c r="A86" s="3" t="s">
        <v>68</v>
      </c>
      <c r="B86" s="4" t="s">
        <v>396</v>
      </c>
      <c r="C86" s="4" t="s">
        <v>153</v>
      </c>
      <c r="D86" s="24">
        <v>2</v>
      </c>
      <c r="E86" s="10">
        <v>64</v>
      </c>
      <c r="F86" s="26">
        <v>0.05</v>
      </c>
      <c r="G86" s="10">
        <v>3.2</v>
      </c>
      <c r="H86" s="10">
        <v>16</v>
      </c>
      <c r="I86" s="10">
        <v>16</v>
      </c>
      <c r="J86" s="10">
        <v>0</v>
      </c>
      <c r="K86" s="10">
        <v>0</v>
      </c>
      <c r="L86" s="10">
        <v>0</v>
      </c>
      <c r="M86" s="10">
        <f>E86+K86-I86-J86-L86</f>
        <v>48.0</v>
      </c>
    </row>
    <row r="87" spans="1:13" ht="25" customHeight="1">
      <c r="A87" s="6" t="s">
        <v>68</v>
      </c>
      <c r="B87" s="7" t="s">
        <v>396</v>
      </c>
      <c r="C87" s="7" t="s">
        <v>198</v>
      </c>
      <c r="D87" s="23">
        <v>2</v>
      </c>
      <c r="E87" s="9">
        <v>350</v>
      </c>
      <c r="F87" s="25">
        <v>0.0475</v>
      </c>
      <c r="G87" s="9">
        <v>16.625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9">
        <f>E87+K87-I87-J87-L87</f>
        <v>350.0</v>
      </c>
    </row>
    <row r="88" spans="1:13" ht="25" customHeight="1">
      <c r="A88" s="3" t="s">
        <v>68</v>
      </c>
      <c r="B88" s="4" t="s">
        <v>396</v>
      </c>
      <c r="C88" s="4" t="s">
        <v>394</v>
      </c>
      <c r="D88" s="24">
        <v>2</v>
      </c>
      <c r="E88" s="10">
        <v>1112.422645026425</v>
      </c>
      <c r="F88" s="26">
        <v>0.0625</v>
      </c>
      <c r="G88" s="10">
        <v>69.52641531415155</v>
      </c>
      <c r="H88" s="10">
        <v>26.80203045685279</v>
      </c>
      <c r="I88" s="10">
        <v>26.80203045685279</v>
      </c>
      <c r="J88" s="10">
        <v>223.1764348126715</v>
      </c>
      <c r="K88" s="10">
        <v>0</v>
      </c>
      <c r="L88" s="10">
        <v>0</v>
      </c>
      <c r="M88" s="10">
        <f>E88+K88-I88-J88-L88</f>
        <v>862.4441797569004</v>
      </c>
    </row>
    <row r="89" spans="1:13" ht="25" customHeight="1">
      <c r="A89" s="6" t="s">
        <v>68</v>
      </c>
      <c r="B89" s="7" t="s">
        <v>396</v>
      </c>
      <c r="C89" s="7" t="s">
        <v>395</v>
      </c>
      <c r="D89" s="23">
        <v>2</v>
      </c>
      <c r="E89" s="9">
        <v>0</v>
      </c>
      <c r="F89" s="25">
        <v>0.06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9">
        <f>E89+K89-I89-J89-L89</f>
        <v>0.0</v>
      </c>
    </row>
    <row r="90" spans="1:13" ht="25" customHeight="1">
      <c r="A90" s="3" t="s">
        <v>68</v>
      </c>
      <c r="B90" s="4" t="s">
        <v>396</v>
      </c>
      <c r="C90" s="4" t="s">
        <v>139</v>
      </c>
      <c r="D90" s="24">
        <v>3</v>
      </c>
      <c r="E90" s="10">
        <v>900</v>
      </c>
      <c r="F90" s="26">
        <v>0.038</v>
      </c>
      <c r="G90" s="10">
        <v>34.2</v>
      </c>
      <c r="H90" s="10">
        <v>0</v>
      </c>
      <c r="I90" s="10">
        <v>0</v>
      </c>
      <c r="J90" s="10">
        <v>0</v>
      </c>
      <c r="K90" s="10">
        <v>0</v>
      </c>
      <c r="L90" s="10">
        <v>0</v>
      </c>
      <c r="M90" s="10">
        <f>E90+K90-I90-J90-L90</f>
        <v>900.0</v>
      </c>
    </row>
    <row r="91" spans="1:13" ht="25" customHeight="1">
      <c r="A91" s="6" t="s">
        <v>68</v>
      </c>
      <c r="B91" s="7" t="s">
        <v>396</v>
      </c>
      <c r="C91" s="7" t="s">
        <v>153</v>
      </c>
      <c r="D91" s="23">
        <v>3</v>
      </c>
      <c r="E91" s="9">
        <v>48</v>
      </c>
      <c r="F91" s="25">
        <v>0.05</v>
      </c>
      <c r="G91" s="9">
        <v>2.4</v>
      </c>
      <c r="H91" s="9">
        <v>16</v>
      </c>
      <c r="I91" s="9">
        <v>16</v>
      </c>
      <c r="J91" s="9">
        <v>0</v>
      </c>
      <c r="K91" s="9">
        <v>0</v>
      </c>
      <c r="L91" s="9">
        <v>0</v>
      </c>
      <c r="M91" s="9">
        <f>E91+K91-I91-J91-L91</f>
        <v>32.0</v>
      </c>
    </row>
    <row r="92" spans="1:13" ht="25" customHeight="1">
      <c r="A92" s="3" t="s">
        <v>68</v>
      </c>
      <c r="B92" s="4" t="s">
        <v>396</v>
      </c>
      <c r="C92" s="4" t="s">
        <v>198</v>
      </c>
      <c r="D92" s="24">
        <v>3</v>
      </c>
      <c r="E92" s="10">
        <v>350</v>
      </c>
      <c r="F92" s="26">
        <v>0.0475</v>
      </c>
      <c r="G92" s="10">
        <v>16.625</v>
      </c>
      <c r="H92" s="10">
        <v>350</v>
      </c>
      <c r="I92" s="10">
        <v>350</v>
      </c>
      <c r="J92" s="10">
        <v>0</v>
      </c>
      <c r="K92" s="10">
        <v>0</v>
      </c>
      <c r="L92" s="10">
        <v>0</v>
      </c>
      <c r="M92" s="10">
        <f>E92+K92-I92-J92-L92</f>
        <v>0.0</v>
      </c>
    </row>
    <row r="93" spans="1:13" ht="25" customHeight="1">
      <c r="A93" s="6" t="s">
        <v>68</v>
      </c>
      <c r="B93" s="7" t="s">
        <v>396</v>
      </c>
      <c r="C93" s="7" t="s">
        <v>394</v>
      </c>
      <c r="D93" s="23">
        <v>3</v>
      </c>
      <c r="E93" s="9">
        <v>862.4441797569004</v>
      </c>
      <c r="F93" s="25">
        <v>0.06</v>
      </c>
      <c r="G93" s="9">
        <v>51.74665078541403</v>
      </c>
      <c r="H93" s="9">
        <v>26.80203045685279</v>
      </c>
      <c r="I93" s="9">
        <v>26.80203045685279</v>
      </c>
      <c r="J93" s="9">
        <v>0</v>
      </c>
      <c r="K93" s="9">
        <v>0</v>
      </c>
      <c r="L93" s="9">
        <v>0</v>
      </c>
      <c r="M93" s="9">
        <f>E93+K93-I93-J93-L93</f>
        <v>835.6421493000477</v>
      </c>
    </row>
    <row r="94" spans="1:13" ht="25" customHeight="1">
      <c r="A94" s="3" t="s">
        <v>68</v>
      </c>
      <c r="B94" s="4" t="s">
        <v>396</v>
      </c>
      <c r="C94" s="4" t="s">
        <v>395</v>
      </c>
      <c r="D94" s="24">
        <v>3</v>
      </c>
      <c r="E94" s="10">
        <v>0</v>
      </c>
      <c r="F94" s="26">
        <v>0.0575</v>
      </c>
      <c r="G94" s="10">
        <v>0</v>
      </c>
      <c r="H94" s="10">
        <v>0</v>
      </c>
      <c r="I94" s="10">
        <v>0</v>
      </c>
      <c r="J94" s="10">
        <v>0</v>
      </c>
      <c r="K94" s="10">
        <v>19.9962111218988</v>
      </c>
      <c r="L94" s="10">
        <v>0</v>
      </c>
      <c r="M94" s="10">
        <f>E94+K94-I94-J94-L94</f>
        <v>19.996211121898796</v>
      </c>
    </row>
    <row r="95" spans="1:13" ht="25" customHeight="1">
      <c r="A95" s="6" t="s">
        <v>68</v>
      </c>
      <c r="B95" s="7" t="s">
        <v>396</v>
      </c>
      <c r="C95" s="7" t="s">
        <v>139</v>
      </c>
      <c r="D95" s="23">
        <v>4</v>
      </c>
      <c r="E95" s="9">
        <v>900</v>
      </c>
      <c r="F95" s="25">
        <v>0.038</v>
      </c>
      <c r="G95" s="9">
        <v>34.2</v>
      </c>
      <c r="H95" s="9">
        <v>900</v>
      </c>
      <c r="I95" s="9">
        <v>900</v>
      </c>
      <c r="J95" s="9">
        <v>0</v>
      </c>
      <c r="K95" s="9">
        <v>0</v>
      </c>
      <c r="L95" s="9">
        <v>0</v>
      </c>
      <c r="M95" s="9">
        <f>E95+K95-I95-J95-L95</f>
        <v>0.0</v>
      </c>
    </row>
    <row r="96" spans="1:13" ht="25" customHeight="1">
      <c r="A96" s="3" t="s">
        <v>68</v>
      </c>
      <c r="B96" s="4" t="s">
        <v>396</v>
      </c>
      <c r="C96" s="4" t="s">
        <v>153</v>
      </c>
      <c r="D96" s="24">
        <v>4</v>
      </c>
      <c r="E96" s="10">
        <v>32</v>
      </c>
      <c r="F96" s="26">
        <v>0.05</v>
      </c>
      <c r="G96" s="10">
        <v>1.6</v>
      </c>
      <c r="H96" s="10">
        <v>16</v>
      </c>
      <c r="I96" s="10">
        <v>16</v>
      </c>
      <c r="J96" s="10">
        <v>0</v>
      </c>
      <c r="K96" s="10">
        <v>0</v>
      </c>
      <c r="L96" s="10">
        <v>0</v>
      </c>
      <c r="M96" s="10">
        <f>E96+K96-I96-J96-L96</f>
        <v>16.0</v>
      </c>
    </row>
    <row r="97" spans="1:13" ht="25" customHeight="1">
      <c r="A97" s="6" t="s">
        <v>68</v>
      </c>
      <c r="B97" s="7" t="s">
        <v>396</v>
      </c>
      <c r="C97" s="7" t="s">
        <v>198</v>
      </c>
      <c r="D97" s="23">
        <v>4</v>
      </c>
      <c r="E97" s="9">
        <v>0</v>
      </c>
      <c r="F97" s="25">
        <v>0.0475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f>E97+K97-I97-J97-L97</f>
        <v>0.0</v>
      </c>
    </row>
    <row r="98" spans="1:13" ht="25" customHeight="1">
      <c r="A98" s="3" t="s">
        <v>68</v>
      </c>
      <c r="B98" s="4" t="s">
        <v>396</v>
      </c>
      <c r="C98" s="4" t="s">
        <v>394</v>
      </c>
      <c r="D98" s="24">
        <v>4</v>
      </c>
      <c r="E98" s="10">
        <v>835.6421493000477</v>
      </c>
      <c r="F98" s="26">
        <v>0.06</v>
      </c>
      <c r="G98" s="10">
        <v>50.13852895800287</v>
      </c>
      <c r="H98" s="10">
        <v>26.80203045685279</v>
      </c>
      <c r="I98" s="10">
        <v>26.80203045685279</v>
      </c>
      <c r="J98" s="10">
        <v>0</v>
      </c>
      <c r="K98" s="10">
        <v>0</v>
      </c>
      <c r="L98" s="10">
        <v>0</v>
      </c>
      <c r="M98" s="10">
        <f>E98+K98-I98-J98-L98</f>
        <v>808.8401188431949</v>
      </c>
    </row>
    <row r="99" spans="1:13" ht="25" customHeight="1">
      <c r="A99" s="6" t="s">
        <v>68</v>
      </c>
      <c r="B99" s="7" t="s">
        <v>396</v>
      </c>
      <c r="C99" s="7" t="s">
        <v>395</v>
      </c>
      <c r="D99" s="23">
        <v>4</v>
      </c>
      <c r="E99" s="9">
        <v>19.9962111218988</v>
      </c>
      <c r="F99" s="25">
        <v>0.0575</v>
      </c>
      <c r="G99" s="9">
        <v>1.149782139509181</v>
      </c>
      <c r="H99" s="9">
        <v>0</v>
      </c>
      <c r="I99" s="9">
        <v>0</v>
      </c>
      <c r="J99" s="9">
        <v>0</v>
      </c>
      <c r="K99" s="9">
        <v>512.9378328203713</v>
      </c>
      <c r="L99" s="9">
        <v>0</v>
      </c>
      <c r="M99" s="9">
        <f>E99+K99-I99-J99-L99</f>
        <v>532.9340439422701</v>
      </c>
    </row>
    <row r="100" spans="1:13" ht="25" customHeight="1">
      <c r="A100" s="3" t="s">
        <v>68</v>
      </c>
      <c r="B100" s="4" t="s">
        <v>396</v>
      </c>
      <c r="C100" s="4" t="s">
        <v>139</v>
      </c>
      <c r="D100" s="24">
        <v>5</v>
      </c>
      <c r="E100" s="10">
        <v>0</v>
      </c>
      <c r="F100" s="26">
        <v>0.038</v>
      </c>
      <c r="G100" s="10">
        <v>0</v>
      </c>
      <c r="H100" s="10">
        <v>0</v>
      </c>
      <c r="I100" s="10">
        <v>0</v>
      </c>
      <c r="J100" s="10">
        <v>0</v>
      </c>
      <c r="K100" s="10">
        <v>0</v>
      </c>
      <c r="L100" s="10">
        <v>0</v>
      </c>
      <c r="M100" s="10">
        <f>E100+K100-I100-J100-L100</f>
        <v>0.0</v>
      </c>
    </row>
    <row r="101" spans="1:13" ht="25" customHeight="1">
      <c r="A101" s="6" t="s">
        <v>68</v>
      </c>
      <c r="B101" s="7" t="s">
        <v>396</v>
      </c>
      <c r="C101" s="7" t="s">
        <v>153</v>
      </c>
      <c r="D101" s="23">
        <v>5</v>
      </c>
      <c r="E101" s="9">
        <v>16</v>
      </c>
      <c r="F101" s="25">
        <v>0.05</v>
      </c>
      <c r="G101" s="9">
        <v>0.8</v>
      </c>
      <c r="H101" s="9">
        <v>16</v>
      </c>
      <c r="I101" s="9">
        <v>16</v>
      </c>
      <c r="J101" s="9">
        <v>0</v>
      </c>
      <c r="K101" s="9">
        <v>0</v>
      </c>
      <c r="L101" s="9">
        <v>0</v>
      </c>
      <c r="M101" s="9">
        <f>E101+K101-I101-J101-L101</f>
        <v>0.0</v>
      </c>
    </row>
    <row r="102" spans="1:13" ht="25" customHeight="1">
      <c r="A102" s="3" t="s">
        <v>68</v>
      </c>
      <c r="B102" s="4" t="s">
        <v>396</v>
      </c>
      <c r="C102" s="4" t="s">
        <v>198</v>
      </c>
      <c r="D102" s="24">
        <v>5</v>
      </c>
      <c r="E102" s="10">
        <v>0</v>
      </c>
      <c r="F102" s="26">
        <v>0.0475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  <c r="M102" s="10">
        <f>E102+K102-I102-J102-L102</f>
        <v>0.0</v>
      </c>
    </row>
    <row r="103" spans="1:13" ht="25" customHeight="1">
      <c r="A103" s="6" t="s">
        <v>68</v>
      </c>
      <c r="B103" s="7" t="s">
        <v>396</v>
      </c>
      <c r="C103" s="7" t="s">
        <v>394</v>
      </c>
      <c r="D103" s="23">
        <v>5</v>
      </c>
      <c r="E103" s="9">
        <v>808.8401188431949</v>
      </c>
      <c r="F103" s="25">
        <v>0.06</v>
      </c>
      <c r="G103" s="9">
        <v>48.5304071305917</v>
      </c>
      <c r="H103" s="9">
        <v>808.8401188431949</v>
      </c>
      <c r="I103" s="9">
        <v>808.8401188431949</v>
      </c>
      <c r="J103" s="9">
        <v>0</v>
      </c>
      <c r="K103" s="9">
        <v>0</v>
      </c>
      <c r="L103" s="9">
        <v>0</v>
      </c>
      <c r="M103" s="9">
        <f>E103+K103-I103-J103-L103</f>
        <v>0.0</v>
      </c>
    </row>
    <row r="104" spans="1:13" ht="25" customHeight="1">
      <c r="A104" s="3" t="s">
        <v>68</v>
      </c>
      <c r="B104" s="4" t="s">
        <v>396</v>
      </c>
      <c r="C104" s="4" t="s">
        <v>395</v>
      </c>
      <c r="D104" s="24">
        <v>5</v>
      </c>
      <c r="E104" s="10">
        <v>532.9340439422701</v>
      </c>
      <c r="F104" s="26">
        <v>0.0575</v>
      </c>
      <c r="G104" s="10">
        <v>30.64370752668053</v>
      </c>
      <c r="H104" s="10">
        <v>532.9340439422701</v>
      </c>
      <c r="I104" s="10">
        <v>384.7813966894564</v>
      </c>
      <c r="J104" s="10">
        <v>0</v>
      </c>
      <c r="K104" s="10">
        <v>0</v>
      </c>
      <c r="L104" s="10">
        <v>0</v>
      </c>
      <c r="M104" s="10">
        <f>E104+K104-I104-J104-L104</f>
        <v>148.15264725281372</v>
      </c>
    </row>
    <row r="105" spans="1:13" ht="25" customHeight="1">
      <c r="A105" s="6" t="s">
        <v>78</v>
      </c>
      <c r="B105" s="7" t="s">
        <v>396</v>
      </c>
      <c r="C105" s="7" t="s">
        <v>139</v>
      </c>
      <c r="D105" s="23">
        <v>1</v>
      </c>
      <c r="E105" s="9">
        <v>900</v>
      </c>
      <c r="F105" s="25">
        <v>0.038</v>
      </c>
      <c r="G105" s="9">
        <v>34.2</v>
      </c>
      <c r="H105" s="9">
        <v>0</v>
      </c>
      <c r="I105" s="9">
        <v>0</v>
      </c>
      <c r="J105" s="9">
        <v>0</v>
      </c>
      <c r="K105" s="9">
        <v>0</v>
      </c>
      <c r="L105" s="9">
        <v>0</v>
      </c>
      <c r="M105" s="9">
        <f>E105+K105-I105-J105-L105</f>
        <v>900.0</v>
      </c>
    </row>
    <row r="106" spans="1:13" ht="25" customHeight="1">
      <c r="A106" s="3" t="s">
        <v>78</v>
      </c>
      <c r="B106" s="4" t="s">
        <v>396</v>
      </c>
      <c r="C106" s="4" t="s">
        <v>153</v>
      </c>
      <c r="D106" s="24">
        <v>1</v>
      </c>
      <c r="E106" s="10">
        <v>80</v>
      </c>
      <c r="F106" s="26">
        <v>0.05</v>
      </c>
      <c r="G106" s="10">
        <v>4</v>
      </c>
      <c r="H106" s="10">
        <v>16</v>
      </c>
      <c r="I106" s="10">
        <v>16</v>
      </c>
      <c r="J106" s="10">
        <v>0</v>
      </c>
      <c r="K106" s="10">
        <v>0</v>
      </c>
      <c r="L106" s="10">
        <v>0</v>
      </c>
      <c r="M106" s="10">
        <f>E106+K106-I106-J106-L106</f>
        <v>64.0</v>
      </c>
    </row>
    <row r="107" spans="1:13" ht="25" customHeight="1">
      <c r="A107" s="6" t="s">
        <v>78</v>
      </c>
      <c r="B107" s="7" t="s">
        <v>396</v>
      </c>
      <c r="C107" s="7" t="s">
        <v>198</v>
      </c>
      <c r="D107" s="23">
        <v>1</v>
      </c>
      <c r="E107" s="9">
        <v>350</v>
      </c>
      <c r="F107" s="25">
        <v>0.0475</v>
      </c>
      <c r="G107" s="9">
        <v>16.625</v>
      </c>
      <c r="H107" s="9">
        <v>0</v>
      </c>
      <c r="I107" s="9">
        <v>0</v>
      </c>
      <c r="J107" s="9">
        <v>0</v>
      </c>
      <c r="K107" s="9">
        <v>0</v>
      </c>
      <c r="L107" s="9">
        <v>0</v>
      </c>
      <c r="M107" s="9">
        <f>E107+K107-I107-J107-L107</f>
        <v>350.0</v>
      </c>
    </row>
    <row r="108" spans="1:13" ht="25" customHeight="1">
      <c r="A108" s="3" t="s">
        <v>78</v>
      </c>
      <c r="B108" s="4" t="s">
        <v>396</v>
      </c>
      <c r="C108" s="4" t="s">
        <v>394</v>
      </c>
      <c r="D108" s="24">
        <v>1</v>
      </c>
      <c r="E108" s="10">
        <v>2223.350253807107</v>
      </c>
      <c r="F108" s="26">
        <v>0.065</v>
      </c>
      <c r="G108" s="10">
        <v>144.5177664974619</v>
      </c>
      <c r="H108" s="10">
        <v>44.46700507614213</v>
      </c>
      <c r="I108" s="10">
        <v>44.46700507614213</v>
      </c>
      <c r="J108" s="10">
        <v>1010.153497105555</v>
      </c>
      <c r="K108" s="10">
        <v>0</v>
      </c>
      <c r="L108" s="10">
        <v>0</v>
      </c>
      <c r="M108" s="10">
        <f>E108+K108-I108-J108-L108</f>
        <v>1168.7297516254098</v>
      </c>
    </row>
    <row r="109" spans="1:13" ht="25" customHeight="1">
      <c r="A109" s="6" t="s">
        <v>78</v>
      </c>
      <c r="B109" s="7" t="s">
        <v>396</v>
      </c>
      <c r="C109" s="7" t="s">
        <v>395</v>
      </c>
      <c r="D109" s="23">
        <v>1</v>
      </c>
      <c r="E109" s="9">
        <v>0</v>
      </c>
      <c r="F109" s="25">
        <v>0.0625</v>
      </c>
      <c r="G109" s="9">
        <v>0</v>
      </c>
      <c r="H109" s="9">
        <v>0</v>
      </c>
      <c r="I109" s="9">
        <v>0</v>
      </c>
      <c r="J109" s="9">
        <v>0</v>
      </c>
      <c r="K109" s="9">
        <v>0</v>
      </c>
      <c r="L109" s="9">
        <v>0</v>
      </c>
      <c r="M109" s="9">
        <f>E109+K109-I109-J109-L109</f>
        <v>0.0</v>
      </c>
    </row>
    <row r="110" spans="1:13" ht="25" customHeight="1">
      <c r="A110" s="3" t="s">
        <v>78</v>
      </c>
      <c r="B110" s="4" t="s">
        <v>396</v>
      </c>
      <c r="C110" s="4" t="s">
        <v>139</v>
      </c>
      <c r="D110" s="24">
        <v>2</v>
      </c>
      <c r="E110" s="10">
        <v>900</v>
      </c>
      <c r="F110" s="26">
        <v>0.038</v>
      </c>
      <c r="G110" s="10">
        <v>34.2</v>
      </c>
      <c r="H110" s="10">
        <v>0</v>
      </c>
      <c r="I110" s="10">
        <v>0</v>
      </c>
      <c r="J110" s="10">
        <v>0</v>
      </c>
      <c r="K110" s="10">
        <v>0</v>
      </c>
      <c r="L110" s="10">
        <v>0</v>
      </c>
      <c r="M110" s="10">
        <f>E110+K110-I110-J110-L110</f>
        <v>900.0</v>
      </c>
    </row>
    <row r="111" spans="1:13" ht="25" customHeight="1">
      <c r="A111" s="6" t="s">
        <v>78</v>
      </c>
      <c r="B111" s="7" t="s">
        <v>396</v>
      </c>
      <c r="C111" s="7" t="s">
        <v>153</v>
      </c>
      <c r="D111" s="23">
        <v>2</v>
      </c>
      <c r="E111" s="9">
        <v>64</v>
      </c>
      <c r="F111" s="25">
        <v>0.05</v>
      </c>
      <c r="G111" s="9">
        <v>3.2</v>
      </c>
      <c r="H111" s="9">
        <v>16</v>
      </c>
      <c r="I111" s="9">
        <v>16</v>
      </c>
      <c r="J111" s="9">
        <v>0</v>
      </c>
      <c r="K111" s="9">
        <v>0</v>
      </c>
      <c r="L111" s="9">
        <v>0</v>
      </c>
      <c r="M111" s="9">
        <f>E111+K111-I111-J111-L111</f>
        <v>48.0</v>
      </c>
    </row>
    <row r="112" spans="1:13" ht="25" customHeight="1">
      <c r="A112" s="3" t="s">
        <v>78</v>
      </c>
      <c r="B112" s="4" t="s">
        <v>396</v>
      </c>
      <c r="C112" s="4" t="s">
        <v>198</v>
      </c>
      <c r="D112" s="24">
        <v>2</v>
      </c>
      <c r="E112" s="10">
        <v>350</v>
      </c>
      <c r="F112" s="26">
        <v>0.0475</v>
      </c>
      <c r="G112" s="10">
        <v>16.625</v>
      </c>
      <c r="H112" s="10">
        <v>0</v>
      </c>
      <c r="I112" s="10">
        <v>0</v>
      </c>
      <c r="J112" s="10">
        <v>0</v>
      </c>
      <c r="K112" s="10">
        <v>0</v>
      </c>
      <c r="L112" s="10">
        <v>0</v>
      </c>
      <c r="M112" s="10">
        <f>E112+K112-I112-J112-L112</f>
        <v>350.0</v>
      </c>
    </row>
    <row r="113" spans="1:13" ht="25" customHeight="1">
      <c r="A113" s="6" t="s">
        <v>78</v>
      </c>
      <c r="B113" s="7" t="s">
        <v>396</v>
      </c>
      <c r="C113" s="7" t="s">
        <v>394</v>
      </c>
      <c r="D113" s="23">
        <v>2</v>
      </c>
      <c r="E113" s="9">
        <v>1168.72975162541</v>
      </c>
      <c r="F113" s="25">
        <v>0.0625</v>
      </c>
      <c r="G113" s="9">
        <v>73.04560947658811</v>
      </c>
      <c r="H113" s="9">
        <v>44.46700507614213</v>
      </c>
      <c r="I113" s="9">
        <v>44.46700507614213</v>
      </c>
      <c r="J113" s="9">
        <v>202.8720645715546</v>
      </c>
      <c r="K113" s="9">
        <v>0</v>
      </c>
      <c r="L113" s="9">
        <v>0</v>
      </c>
      <c r="M113" s="9">
        <f>E113+K113-I113-J113-L113</f>
        <v>921.390681977713</v>
      </c>
    </row>
    <row r="114" spans="1:13" ht="25" customHeight="1">
      <c r="A114" s="3" t="s">
        <v>78</v>
      </c>
      <c r="B114" s="4" t="s">
        <v>396</v>
      </c>
      <c r="C114" s="4" t="s">
        <v>395</v>
      </c>
      <c r="D114" s="24">
        <v>2</v>
      </c>
      <c r="E114" s="10">
        <v>0</v>
      </c>
      <c r="F114" s="26">
        <v>0.06</v>
      </c>
      <c r="G114" s="10">
        <v>0</v>
      </c>
      <c r="H114" s="10">
        <v>0</v>
      </c>
      <c r="I114" s="10">
        <v>0</v>
      </c>
      <c r="J114" s="10">
        <v>0</v>
      </c>
      <c r="K114" s="10">
        <v>0</v>
      </c>
      <c r="L114" s="10">
        <v>0</v>
      </c>
      <c r="M114" s="10">
        <f>E114+K114-I114-J114-L114</f>
        <v>0.0</v>
      </c>
    </row>
    <row r="115" spans="1:13" ht="25" customHeight="1">
      <c r="A115" s="6" t="s">
        <v>78</v>
      </c>
      <c r="B115" s="7" t="s">
        <v>396</v>
      </c>
      <c r="C115" s="7" t="s">
        <v>139</v>
      </c>
      <c r="D115" s="23">
        <v>3</v>
      </c>
      <c r="E115" s="9">
        <v>900</v>
      </c>
      <c r="F115" s="25">
        <v>0.038</v>
      </c>
      <c r="G115" s="9">
        <v>34.2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f>E115+K115-I115-J115-L115</f>
        <v>900.0</v>
      </c>
    </row>
    <row r="116" spans="1:13" ht="25" customHeight="1">
      <c r="A116" s="3" t="s">
        <v>78</v>
      </c>
      <c r="B116" s="4" t="s">
        <v>396</v>
      </c>
      <c r="C116" s="4" t="s">
        <v>153</v>
      </c>
      <c r="D116" s="24">
        <v>3</v>
      </c>
      <c r="E116" s="10">
        <v>48</v>
      </c>
      <c r="F116" s="26">
        <v>0.05</v>
      </c>
      <c r="G116" s="10">
        <v>2.4</v>
      </c>
      <c r="H116" s="10">
        <v>16</v>
      </c>
      <c r="I116" s="10">
        <v>16</v>
      </c>
      <c r="J116" s="10">
        <v>0</v>
      </c>
      <c r="K116" s="10">
        <v>0</v>
      </c>
      <c r="L116" s="10">
        <v>0</v>
      </c>
      <c r="M116" s="10">
        <f>E116+K116-I116-J116-L116</f>
        <v>32.0</v>
      </c>
    </row>
    <row r="117" spans="1:13" ht="25" customHeight="1">
      <c r="A117" s="6" t="s">
        <v>78</v>
      </c>
      <c r="B117" s="7" t="s">
        <v>396</v>
      </c>
      <c r="C117" s="7" t="s">
        <v>198</v>
      </c>
      <c r="D117" s="23">
        <v>3</v>
      </c>
      <c r="E117" s="9">
        <v>350</v>
      </c>
      <c r="F117" s="25">
        <v>0.0475</v>
      </c>
      <c r="G117" s="9">
        <v>16.625</v>
      </c>
      <c r="H117" s="9">
        <v>350</v>
      </c>
      <c r="I117" s="9">
        <v>350</v>
      </c>
      <c r="J117" s="9">
        <v>0</v>
      </c>
      <c r="K117" s="9">
        <v>0</v>
      </c>
      <c r="L117" s="9">
        <v>0</v>
      </c>
      <c r="M117" s="9">
        <f>E117+K117-I117-J117-L117</f>
        <v>0.0</v>
      </c>
    </row>
    <row r="118" spans="1:13" ht="25" customHeight="1">
      <c r="A118" s="3" t="s">
        <v>78</v>
      </c>
      <c r="B118" s="4" t="s">
        <v>396</v>
      </c>
      <c r="C118" s="4" t="s">
        <v>394</v>
      </c>
      <c r="D118" s="24">
        <v>3</v>
      </c>
      <c r="E118" s="10">
        <v>921.390681977713</v>
      </c>
      <c r="F118" s="26">
        <v>0.06</v>
      </c>
      <c r="G118" s="10">
        <v>55.28344091866278</v>
      </c>
      <c r="H118" s="10">
        <v>44.46700507614213</v>
      </c>
      <c r="I118" s="10">
        <v>44.46700507614213</v>
      </c>
      <c r="J118" s="10">
        <v>0</v>
      </c>
      <c r="K118" s="10">
        <v>0</v>
      </c>
      <c r="L118" s="10">
        <v>0</v>
      </c>
      <c r="M118" s="10">
        <f>E118+K118-I118-J118-L118</f>
        <v>876.9236769015708</v>
      </c>
    </row>
    <row r="119" spans="1:13" ht="25" customHeight="1">
      <c r="A119" s="6" t="s">
        <v>78</v>
      </c>
      <c r="B119" s="7" t="s">
        <v>396</v>
      </c>
      <c r="C119" s="7" t="s">
        <v>395</v>
      </c>
      <c r="D119" s="23">
        <v>3</v>
      </c>
      <c r="E119" s="9">
        <v>0</v>
      </c>
      <c r="F119" s="25">
        <v>0.0575</v>
      </c>
      <c r="G119" s="9">
        <v>0</v>
      </c>
      <c r="H119" s="9">
        <v>0</v>
      </c>
      <c r="I119" s="9">
        <v>0</v>
      </c>
      <c r="J119" s="9">
        <v>0</v>
      </c>
      <c r="K119" s="9">
        <v>40.31377834112504</v>
      </c>
      <c r="L119" s="9">
        <v>0</v>
      </c>
      <c r="M119" s="9">
        <f>E119+K119-I119-J119-L119</f>
        <v>40.313778341125044</v>
      </c>
    </row>
    <row r="120" spans="1:13" ht="25" customHeight="1">
      <c r="A120" s="3" t="s">
        <v>78</v>
      </c>
      <c r="B120" s="4" t="s">
        <v>396</v>
      </c>
      <c r="C120" s="4" t="s">
        <v>139</v>
      </c>
      <c r="D120" s="24">
        <v>4</v>
      </c>
      <c r="E120" s="10">
        <v>900</v>
      </c>
      <c r="F120" s="26">
        <v>0.038</v>
      </c>
      <c r="G120" s="10">
        <v>34.2</v>
      </c>
      <c r="H120" s="10">
        <v>900</v>
      </c>
      <c r="I120" s="10">
        <v>900</v>
      </c>
      <c r="J120" s="10">
        <v>0</v>
      </c>
      <c r="K120" s="10">
        <v>0</v>
      </c>
      <c r="L120" s="10">
        <v>0</v>
      </c>
      <c r="M120" s="10">
        <f>E120+K120-I120-J120-L120</f>
        <v>0.0</v>
      </c>
    </row>
    <row r="121" spans="1:13" ht="25" customHeight="1">
      <c r="A121" s="6" t="s">
        <v>78</v>
      </c>
      <c r="B121" s="7" t="s">
        <v>396</v>
      </c>
      <c r="C121" s="7" t="s">
        <v>153</v>
      </c>
      <c r="D121" s="23">
        <v>4</v>
      </c>
      <c r="E121" s="9">
        <v>32</v>
      </c>
      <c r="F121" s="25">
        <v>0.05</v>
      </c>
      <c r="G121" s="9">
        <v>1.6</v>
      </c>
      <c r="H121" s="9">
        <v>16</v>
      </c>
      <c r="I121" s="9">
        <v>16</v>
      </c>
      <c r="J121" s="9">
        <v>0</v>
      </c>
      <c r="K121" s="9">
        <v>0</v>
      </c>
      <c r="L121" s="9">
        <v>0</v>
      </c>
      <c r="M121" s="9">
        <f>E121+K121-I121-J121-L121</f>
        <v>16.0</v>
      </c>
    </row>
    <row r="122" spans="1:13" ht="25" customHeight="1">
      <c r="A122" s="3" t="s">
        <v>78</v>
      </c>
      <c r="B122" s="4" t="s">
        <v>396</v>
      </c>
      <c r="C122" s="4" t="s">
        <v>198</v>
      </c>
      <c r="D122" s="24">
        <v>4</v>
      </c>
      <c r="E122" s="10">
        <v>0</v>
      </c>
      <c r="F122" s="26">
        <v>0.0475</v>
      </c>
      <c r="G122" s="10">
        <v>0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f>E122+K122-I122-J122-L122</f>
        <v>0.0</v>
      </c>
    </row>
    <row r="123" spans="1:13" ht="25" customHeight="1">
      <c r="A123" s="6" t="s">
        <v>78</v>
      </c>
      <c r="B123" s="7" t="s">
        <v>396</v>
      </c>
      <c r="C123" s="7" t="s">
        <v>394</v>
      </c>
      <c r="D123" s="23">
        <v>4</v>
      </c>
      <c r="E123" s="9">
        <v>876.9236769015708</v>
      </c>
      <c r="F123" s="25">
        <v>0.06</v>
      </c>
      <c r="G123" s="9">
        <v>52.61542061409425</v>
      </c>
      <c r="H123" s="9">
        <v>44.46700507614213</v>
      </c>
      <c r="I123" s="9">
        <v>44.46700507614213</v>
      </c>
      <c r="J123" s="9">
        <v>0</v>
      </c>
      <c r="K123" s="9">
        <v>0</v>
      </c>
      <c r="L123" s="9">
        <v>0</v>
      </c>
      <c r="M123" s="9">
        <f>E123+K123-I123-J123-L123</f>
        <v>832.4566718254287</v>
      </c>
    </row>
    <row r="124" spans="1:13" ht="25" customHeight="1">
      <c r="A124" s="3" t="s">
        <v>78</v>
      </c>
      <c r="B124" s="4" t="s">
        <v>396</v>
      </c>
      <c r="C124" s="4" t="s">
        <v>395</v>
      </c>
      <c r="D124" s="24">
        <v>4</v>
      </c>
      <c r="E124" s="10">
        <v>40.31377834112504</v>
      </c>
      <c r="F124" s="26">
        <v>0.0575</v>
      </c>
      <c r="G124" s="10">
        <v>2.31804225461469</v>
      </c>
      <c r="H124" s="10">
        <v>0</v>
      </c>
      <c r="I124" s="10">
        <v>0</v>
      </c>
      <c r="J124" s="10">
        <v>0</v>
      </c>
      <c r="K124" s="10">
        <v>533.3366712680584</v>
      </c>
      <c r="L124" s="10">
        <v>0</v>
      </c>
      <c r="M124" s="10">
        <f>E124+K124-I124-J124-L124</f>
        <v>573.6504496091834</v>
      </c>
    </row>
    <row r="125" spans="1:13" ht="25" customHeight="1">
      <c r="A125" s="6" t="s">
        <v>78</v>
      </c>
      <c r="B125" s="7" t="s">
        <v>396</v>
      </c>
      <c r="C125" s="7" t="s">
        <v>139</v>
      </c>
      <c r="D125" s="23">
        <v>5</v>
      </c>
      <c r="E125" s="9">
        <v>0</v>
      </c>
      <c r="F125" s="25">
        <v>0.038</v>
      </c>
      <c r="G125" s="9">
        <v>0</v>
      </c>
      <c r="H125" s="9">
        <v>0</v>
      </c>
      <c r="I125" s="9">
        <v>0</v>
      </c>
      <c r="J125" s="9">
        <v>0</v>
      </c>
      <c r="K125" s="9">
        <v>0</v>
      </c>
      <c r="L125" s="9">
        <v>0</v>
      </c>
      <c r="M125" s="9">
        <f>E125+K125-I125-J125-L125</f>
        <v>0.0</v>
      </c>
    </row>
    <row r="126" spans="1:13" ht="25" customHeight="1">
      <c r="A126" s="3" t="s">
        <v>78</v>
      </c>
      <c r="B126" s="4" t="s">
        <v>396</v>
      </c>
      <c r="C126" s="4" t="s">
        <v>153</v>
      </c>
      <c r="D126" s="24">
        <v>5</v>
      </c>
      <c r="E126" s="10">
        <v>16</v>
      </c>
      <c r="F126" s="26">
        <v>0.05</v>
      </c>
      <c r="G126" s="10">
        <v>0.8</v>
      </c>
      <c r="H126" s="10">
        <v>16</v>
      </c>
      <c r="I126" s="10">
        <v>16</v>
      </c>
      <c r="J126" s="10">
        <v>0</v>
      </c>
      <c r="K126" s="10">
        <v>0</v>
      </c>
      <c r="L126" s="10">
        <v>0</v>
      </c>
      <c r="M126" s="10">
        <f>E126+K126-I126-J126-L126</f>
        <v>0.0</v>
      </c>
    </row>
    <row r="127" spans="1:13" ht="25" customHeight="1">
      <c r="A127" s="6" t="s">
        <v>78</v>
      </c>
      <c r="B127" s="7" t="s">
        <v>396</v>
      </c>
      <c r="C127" s="7" t="s">
        <v>198</v>
      </c>
      <c r="D127" s="23">
        <v>5</v>
      </c>
      <c r="E127" s="9">
        <v>0</v>
      </c>
      <c r="F127" s="25">
        <v>0.0475</v>
      </c>
      <c r="G127" s="9">
        <v>0</v>
      </c>
      <c r="H127" s="9">
        <v>0</v>
      </c>
      <c r="I127" s="9">
        <v>0</v>
      </c>
      <c r="J127" s="9">
        <v>0</v>
      </c>
      <c r="K127" s="9">
        <v>0</v>
      </c>
      <c r="L127" s="9">
        <v>0</v>
      </c>
      <c r="M127" s="9">
        <f>E127+K127-I127-J127-L127</f>
        <v>0.0</v>
      </c>
    </row>
    <row r="128" spans="1:13" ht="25" customHeight="1">
      <c r="A128" s="3" t="s">
        <v>78</v>
      </c>
      <c r="B128" s="4" t="s">
        <v>396</v>
      </c>
      <c r="C128" s="4" t="s">
        <v>394</v>
      </c>
      <c r="D128" s="24">
        <v>5</v>
      </c>
      <c r="E128" s="10">
        <v>832.4566718254287</v>
      </c>
      <c r="F128" s="26">
        <v>0.06</v>
      </c>
      <c r="G128" s="10">
        <v>49.94740030952573</v>
      </c>
      <c r="H128" s="10">
        <v>832.4566718254287</v>
      </c>
      <c r="I128" s="10">
        <v>832.4566718254287</v>
      </c>
      <c r="J128" s="10">
        <v>0</v>
      </c>
      <c r="K128" s="10">
        <v>0</v>
      </c>
      <c r="L128" s="10">
        <v>0</v>
      </c>
      <c r="M128" s="10">
        <f>E128+K128-I128-J128-L128</f>
        <v>0.0</v>
      </c>
    </row>
    <row r="129" spans="1:13" ht="25" customHeight="1">
      <c r="A129" s="6" t="s">
        <v>78</v>
      </c>
      <c r="B129" s="7" t="s">
        <v>396</v>
      </c>
      <c r="C129" s="7" t="s">
        <v>395</v>
      </c>
      <c r="D129" s="23">
        <v>5</v>
      </c>
      <c r="E129" s="9">
        <v>573.6504496091834</v>
      </c>
      <c r="F129" s="25">
        <v>0.0575</v>
      </c>
      <c r="G129" s="9">
        <v>32.98490085252805</v>
      </c>
      <c r="H129" s="9">
        <v>573.6504496091834</v>
      </c>
      <c r="I129" s="9">
        <v>358.3462038286366</v>
      </c>
      <c r="J129" s="9">
        <v>0</v>
      </c>
      <c r="K129" s="9">
        <v>0</v>
      </c>
      <c r="L129" s="9">
        <v>0</v>
      </c>
      <c r="M129" s="9">
        <f>E129+K129-I129-J129-L129</f>
        <v>215.3042457805468</v>
      </c>
    </row>
    <row r="130" spans="1:13" ht="25" customHeight="1">
      <c r="A130" s="3" t="s">
        <v>79</v>
      </c>
      <c r="B130" s="4" t="s">
        <v>396</v>
      </c>
      <c r="C130" s="4" t="s">
        <v>139</v>
      </c>
      <c r="D130" s="24">
        <v>1</v>
      </c>
      <c r="E130" s="10">
        <v>900</v>
      </c>
      <c r="F130" s="26">
        <v>0.038</v>
      </c>
      <c r="G130" s="10">
        <v>34.2</v>
      </c>
      <c r="H130" s="10">
        <v>0</v>
      </c>
      <c r="I130" s="10">
        <v>0</v>
      </c>
      <c r="J130" s="10">
        <v>0</v>
      </c>
      <c r="K130" s="10">
        <v>0</v>
      </c>
      <c r="L130" s="10">
        <v>0</v>
      </c>
      <c r="M130" s="10">
        <f>E130+K130-I130-J130-L130</f>
        <v>900.0</v>
      </c>
    </row>
    <row r="131" spans="1:13" ht="25" customHeight="1">
      <c r="A131" s="6" t="s">
        <v>79</v>
      </c>
      <c r="B131" s="7" t="s">
        <v>396</v>
      </c>
      <c r="C131" s="7" t="s">
        <v>153</v>
      </c>
      <c r="D131" s="23">
        <v>1</v>
      </c>
      <c r="E131" s="9">
        <v>80</v>
      </c>
      <c r="F131" s="25">
        <v>0.05</v>
      </c>
      <c r="G131" s="9">
        <v>4</v>
      </c>
      <c r="H131" s="9">
        <v>16</v>
      </c>
      <c r="I131" s="9">
        <v>16</v>
      </c>
      <c r="J131" s="9">
        <v>0</v>
      </c>
      <c r="K131" s="9">
        <v>0</v>
      </c>
      <c r="L131" s="9">
        <v>0</v>
      </c>
      <c r="M131" s="9">
        <f>E131+K131-I131-J131-L131</f>
        <v>64.0</v>
      </c>
    </row>
    <row r="132" spans="1:13" ht="25" customHeight="1">
      <c r="A132" s="3" t="s">
        <v>79</v>
      </c>
      <c r="B132" s="4" t="s">
        <v>396</v>
      </c>
      <c r="C132" s="4" t="s">
        <v>198</v>
      </c>
      <c r="D132" s="24">
        <v>1</v>
      </c>
      <c r="E132" s="10">
        <v>350</v>
      </c>
      <c r="F132" s="26">
        <v>0.0475</v>
      </c>
      <c r="G132" s="10">
        <v>16.625</v>
      </c>
      <c r="H132" s="10">
        <v>0</v>
      </c>
      <c r="I132" s="10">
        <v>0</v>
      </c>
      <c r="J132" s="10">
        <v>0</v>
      </c>
      <c r="K132" s="10">
        <v>0</v>
      </c>
      <c r="L132" s="10">
        <v>0</v>
      </c>
      <c r="M132" s="10">
        <f>E132+K132-I132-J132-L132</f>
        <v>350.0</v>
      </c>
    </row>
    <row r="133" spans="1:13" ht="25" customHeight="1">
      <c r="A133" s="6" t="s">
        <v>79</v>
      </c>
      <c r="B133" s="7" t="s">
        <v>396</v>
      </c>
      <c r="C133" s="7" t="s">
        <v>394</v>
      </c>
      <c r="D133" s="23">
        <v>1</v>
      </c>
      <c r="E133" s="9">
        <v>304.5685279187817</v>
      </c>
      <c r="F133" s="25">
        <v>0.065</v>
      </c>
      <c r="G133" s="9">
        <v>19.79695431472081</v>
      </c>
      <c r="H133" s="9">
        <v>6.091370558375635</v>
      </c>
      <c r="I133" s="9">
        <v>6.091370558375635</v>
      </c>
      <c r="J133" s="9">
        <v>272.0697407603772</v>
      </c>
      <c r="K133" s="9">
        <v>0</v>
      </c>
      <c r="L133" s="9">
        <v>0</v>
      </c>
      <c r="M133" s="9">
        <f>E133+K133-I133-J133-L133</f>
        <v>26.407416600028967</v>
      </c>
    </row>
    <row r="134" spans="1:13" ht="25" customHeight="1">
      <c r="A134" s="3" t="s">
        <v>79</v>
      </c>
      <c r="B134" s="4" t="s">
        <v>396</v>
      </c>
      <c r="C134" s="4" t="s">
        <v>395</v>
      </c>
      <c r="D134" s="24">
        <v>1</v>
      </c>
      <c r="E134" s="10">
        <v>0</v>
      </c>
      <c r="F134" s="26">
        <v>0.0625</v>
      </c>
      <c r="G134" s="10">
        <v>0</v>
      </c>
      <c r="H134" s="10">
        <v>0</v>
      </c>
      <c r="I134" s="10">
        <v>0</v>
      </c>
      <c r="J134" s="10">
        <v>0</v>
      </c>
      <c r="K134" s="10">
        <v>0</v>
      </c>
      <c r="L134" s="10">
        <v>0</v>
      </c>
      <c r="M134" s="10">
        <f>E134+K134-I134-J134-L134</f>
        <v>0.0</v>
      </c>
    </row>
    <row r="135" spans="1:13" ht="25" customHeight="1">
      <c r="A135" s="6" t="s">
        <v>79</v>
      </c>
      <c r="B135" s="7" t="s">
        <v>396</v>
      </c>
      <c r="C135" s="7" t="s">
        <v>139</v>
      </c>
      <c r="D135" s="23">
        <v>2</v>
      </c>
      <c r="E135" s="9">
        <v>900</v>
      </c>
      <c r="F135" s="25">
        <v>0.038</v>
      </c>
      <c r="G135" s="9">
        <v>34.2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f>E135+K135-I135-J135-L135</f>
        <v>900.0</v>
      </c>
    </row>
    <row r="136" spans="1:13" ht="25" customHeight="1">
      <c r="A136" s="3" t="s">
        <v>79</v>
      </c>
      <c r="B136" s="4" t="s">
        <v>396</v>
      </c>
      <c r="C136" s="4" t="s">
        <v>153</v>
      </c>
      <c r="D136" s="24">
        <v>2</v>
      </c>
      <c r="E136" s="10">
        <v>64</v>
      </c>
      <c r="F136" s="26">
        <v>0.05</v>
      </c>
      <c r="G136" s="10">
        <v>3.2</v>
      </c>
      <c r="H136" s="10">
        <v>16</v>
      </c>
      <c r="I136" s="10">
        <v>16</v>
      </c>
      <c r="J136" s="10">
        <v>48</v>
      </c>
      <c r="K136" s="10">
        <v>0</v>
      </c>
      <c r="L136" s="10">
        <v>0</v>
      </c>
      <c r="M136" s="10">
        <f>E136+K136-I136-J136-L136</f>
        <v>0.0</v>
      </c>
    </row>
    <row r="137" spans="1:13" ht="25" customHeight="1">
      <c r="A137" s="6" t="s">
        <v>79</v>
      </c>
      <c r="B137" s="7" t="s">
        <v>396</v>
      </c>
      <c r="C137" s="7" t="s">
        <v>198</v>
      </c>
      <c r="D137" s="23">
        <v>2</v>
      </c>
      <c r="E137" s="9">
        <v>350</v>
      </c>
      <c r="F137" s="25">
        <v>0.0475</v>
      </c>
      <c r="G137" s="9">
        <v>16.625</v>
      </c>
      <c r="H137" s="9">
        <v>0</v>
      </c>
      <c r="I137" s="9">
        <v>0</v>
      </c>
      <c r="J137" s="9">
        <v>226.4780125019825</v>
      </c>
      <c r="K137" s="9">
        <v>0</v>
      </c>
      <c r="L137" s="9">
        <v>0</v>
      </c>
      <c r="M137" s="9">
        <f>E137+K137-I137-J137-L137</f>
        <v>123.5219874980175</v>
      </c>
    </row>
    <row r="138" spans="1:13" ht="25" customHeight="1">
      <c r="A138" s="3" t="s">
        <v>79</v>
      </c>
      <c r="B138" s="4" t="s">
        <v>396</v>
      </c>
      <c r="C138" s="4" t="s">
        <v>394</v>
      </c>
      <c r="D138" s="24">
        <v>2</v>
      </c>
      <c r="E138" s="10">
        <v>26.40741660002897</v>
      </c>
      <c r="F138" s="26">
        <v>0.0625</v>
      </c>
      <c r="G138" s="10">
        <v>1.65046353750181</v>
      </c>
      <c r="H138" s="10">
        <v>6.091370558375635</v>
      </c>
      <c r="I138" s="10">
        <v>6.091370558375635</v>
      </c>
      <c r="J138" s="10">
        <v>20.31604604165333</v>
      </c>
      <c r="K138" s="10">
        <v>0</v>
      </c>
      <c r="L138" s="10">
        <v>0</v>
      </c>
      <c r="M138" s="10">
        <f>E138+K138-I138-J138-L138</f>
        <v>0.0</v>
      </c>
    </row>
    <row r="139" spans="1:13" ht="25" customHeight="1">
      <c r="A139" s="6" t="s">
        <v>79</v>
      </c>
      <c r="B139" s="7" t="s">
        <v>396</v>
      </c>
      <c r="C139" s="7" t="s">
        <v>395</v>
      </c>
      <c r="D139" s="23">
        <v>2</v>
      </c>
      <c r="E139" s="9">
        <v>0</v>
      </c>
      <c r="F139" s="25">
        <v>0.06</v>
      </c>
      <c r="G139" s="9">
        <v>0</v>
      </c>
      <c r="H139" s="9">
        <v>0</v>
      </c>
      <c r="I139" s="9">
        <v>0</v>
      </c>
      <c r="J139" s="9">
        <v>0</v>
      </c>
      <c r="K139" s="9">
        <v>0</v>
      </c>
      <c r="L139" s="9">
        <v>0</v>
      </c>
      <c r="M139" s="9">
        <f>E139+K139-I139-J139-L139</f>
        <v>0.0</v>
      </c>
    </row>
    <row r="140" spans="1:13" ht="25" customHeight="1">
      <c r="A140" s="3" t="s">
        <v>79</v>
      </c>
      <c r="B140" s="4" t="s">
        <v>396</v>
      </c>
      <c r="C140" s="4" t="s">
        <v>139</v>
      </c>
      <c r="D140" s="24">
        <v>3</v>
      </c>
      <c r="E140" s="10">
        <v>900</v>
      </c>
      <c r="F140" s="26">
        <v>0.038</v>
      </c>
      <c r="G140" s="10">
        <v>34.2</v>
      </c>
      <c r="H140" s="10">
        <v>0</v>
      </c>
      <c r="I140" s="10">
        <v>0</v>
      </c>
      <c r="J140" s="10">
        <v>297.9620991213797</v>
      </c>
      <c r="K140" s="10">
        <v>0</v>
      </c>
      <c r="L140" s="10">
        <v>0</v>
      </c>
      <c r="M140" s="10">
        <f>E140+K140-I140-J140-L140</f>
        <v>602.0379008786203</v>
      </c>
    </row>
    <row r="141" spans="1:13" ht="25" customHeight="1">
      <c r="A141" s="6" t="s">
        <v>79</v>
      </c>
      <c r="B141" s="7" t="s">
        <v>396</v>
      </c>
      <c r="C141" s="7" t="s">
        <v>153</v>
      </c>
      <c r="D141" s="23">
        <v>3</v>
      </c>
      <c r="E141" s="9">
        <v>0</v>
      </c>
      <c r="F141" s="25">
        <v>0.05</v>
      </c>
      <c r="G141" s="9">
        <v>0</v>
      </c>
      <c r="H141" s="9">
        <v>0</v>
      </c>
      <c r="I141" s="9">
        <v>0</v>
      </c>
      <c r="J141" s="9">
        <v>0</v>
      </c>
      <c r="K141" s="9">
        <v>0</v>
      </c>
      <c r="L141" s="9">
        <v>0</v>
      </c>
      <c r="M141" s="9">
        <f>E141+K141-I141-J141-L141</f>
        <v>0.0</v>
      </c>
    </row>
    <row r="142" spans="1:13" ht="25" customHeight="1">
      <c r="A142" s="3" t="s">
        <v>79</v>
      </c>
      <c r="B142" s="4" t="s">
        <v>396</v>
      </c>
      <c r="C142" s="4" t="s">
        <v>198</v>
      </c>
      <c r="D142" s="24">
        <v>3</v>
      </c>
      <c r="E142" s="10">
        <v>123.5219874980175</v>
      </c>
      <c r="F142" s="26">
        <v>0.0475</v>
      </c>
      <c r="G142" s="10">
        <v>5.867294406155831</v>
      </c>
      <c r="H142" s="10">
        <v>123.5219874980175</v>
      </c>
      <c r="I142" s="10">
        <v>123.5219874980175</v>
      </c>
      <c r="J142" s="10">
        <v>0</v>
      </c>
      <c r="K142" s="10">
        <v>0</v>
      </c>
      <c r="L142" s="10">
        <v>0</v>
      </c>
      <c r="M142" s="10">
        <f>E142+K142-I142-J142-L142</f>
        <v>0.0</v>
      </c>
    </row>
    <row r="143" spans="1:13" ht="25" customHeight="1">
      <c r="A143" s="6" t="s">
        <v>79</v>
      </c>
      <c r="B143" s="7" t="s">
        <v>396</v>
      </c>
      <c r="C143" s="7" t="s">
        <v>394</v>
      </c>
      <c r="D143" s="23">
        <v>3</v>
      </c>
      <c r="E143" s="9">
        <v>0</v>
      </c>
      <c r="F143" s="25">
        <v>0.06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f>E143+K143-I143-J143-L143</f>
        <v>0.0</v>
      </c>
    </row>
    <row r="144" spans="1:13" ht="25" customHeight="1">
      <c r="A144" s="3" t="s">
        <v>79</v>
      </c>
      <c r="B144" s="4" t="s">
        <v>396</v>
      </c>
      <c r="C144" s="4" t="s">
        <v>395</v>
      </c>
      <c r="D144" s="24">
        <v>3</v>
      </c>
      <c r="E144" s="10">
        <v>0</v>
      </c>
      <c r="F144" s="26">
        <v>0.0575</v>
      </c>
      <c r="G144" s="10">
        <v>0</v>
      </c>
      <c r="H144" s="10">
        <v>0</v>
      </c>
      <c r="I144" s="10">
        <v>0</v>
      </c>
      <c r="J144" s="10">
        <v>0</v>
      </c>
      <c r="K144" s="10">
        <v>0</v>
      </c>
      <c r="L144" s="10">
        <v>0</v>
      </c>
      <c r="M144" s="10">
        <f>E144+K144-I144-J144-L144</f>
        <v>0.0</v>
      </c>
    </row>
    <row r="145" spans="1:13" ht="25" customHeight="1">
      <c r="A145" s="6" t="s">
        <v>79</v>
      </c>
      <c r="B145" s="7" t="s">
        <v>396</v>
      </c>
      <c r="C145" s="7" t="s">
        <v>139</v>
      </c>
      <c r="D145" s="23">
        <v>4</v>
      </c>
      <c r="E145" s="9">
        <v>602.0379008786203</v>
      </c>
      <c r="F145" s="25">
        <v>0.038</v>
      </c>
      <c r="G145" s="9">
        <v>22.87744023338757</v>
      </c>
      <c r="H145" s="9">
        <v>602.0379008786203</v>
      </c>
      <c r="I145" s="9">
        <v>602.0379008786203</v>
      </c>
      <c r="J145" s="9">
        <v>0</v>
      </c>
      <c r="K145" s="9">
        <v>0</v>
      </c>
      <c r="L145" s="9">
        <v>0</v>
      </c>
      <c r="M145" s="9">
        <f>E145+K145-I145-J145-L145</f>
        <v>0.0</v>
      </c>
    </row>
    <row r="146" spans="1:13" ht="25" customHeight="1">
      <c r="A146" s="3" t="s">
        <v>79</v>
      </c>
      <c r="B146" s="4" t="s">
        <v>396</v>
      </c>
      <c r="C146" s="4" t="s">
        <v>153</v>
      </c>
      <c r="D146" s="24">
        <v>4</v>
      </c>
      <c r="E146" s="10">
        <v>0</v>
      </c>
      <c r="F146" s="26">
        <v>0.05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f>E146+K146-I146-J146-L146</f>
        <v>0.0</v>
      </c>
    </row>
    <row r="147" spans="1:13" ht="25" customHeight="1">
      <c r="A147" s="6" t="s">
        <v>79</v>
      </c>
      <c r="B147" s="7" t="s">
        <v>396</v>
      </c>
      <c r="C147" s="7" t="s">
        <v>198</v>
      </c>
      <c r="D147" s="23">
        <v>4</v>
      </c>
      <c r="E147" s="9">
        <v>0</v>
      </c>
      <c r="F147" s="25">
        <v>0.0475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f>E147+K147-I147-J147-L147</f>
        <v>0.0</v>
      </c>
    </row>
    <row r="148" spans="1:13" ht="25" customHeight="1">
      <c r="A148" s="3" t="s">
        <v>79</v>
      </c>
      <c r="B148" s="4" t="s">
        <v>396</v>
      </c>
      <c r="C148" s="4" t="s">
        <v>394</v>
      </c>
      <c r="D148" s="24">
        <v>4</v>
      </c>
      <c r="E148" s="10">
        <v>0</v>
      </c>
      <c r="F148" s="26">
        <v>0.06</v>
      </c>
      <c r="G148" s="10">
        <v>0</v>
      </c>
      <c r="H148" s="10">
        <v>0</v>
      </c>
      <c r="I148" s="10">
        <v>0</v>
      </c>
      <c r="J148" s="10">
        <v>0</v>
      </c>
      <c r="K148" s="10">
        <v>0</v>
      </c>
      <c r="L148" s="10">
        <v>0</v>
      </c>
      <c r="M148" s="10">
        <f>E148+K148-I148-J148-L148</f>
        <v>0.0</v>
      </c>
    </row>
    <row r="149" spans="1:13" ht="25" customHeight="1">
      <c r="A149" s="6" t="s">
        <v>79</v>
      </c>
      <c r="B149" s="7" t="s">
        <v>396</v>
      </c>
      <c r="C149" s="7" t="s">
        <v>395</v>
      </c>
      <c r="D149" s="23">
        <v>4</v>
      </c>
      <c r="E149" s="9">
        <v>0</v>
      </c>
      <c r="F149" s="25">
        <v>0.0575</v>
      </c>
      <c r="G149" s="9">
        <v>0</v>
      </c>
      <c r="H149" s="9">
        <v>0</v>
      </c>
      <c r="I149" s="9">
        <v>0</v>
      </c>
      <c r="J149" s="9">
        <v>0</v>
      </c>
      <c r="K149" s="9">
        <v>124.0155500940455</v>
      </c>
      <c r="L149" s="9">
        <v>0</v>
      </c>
      <c r="M149" s="9">
        <f>E149+K149-I149-J149-L149</f>
        <v>124.01555009404547</v>
      </c>
    </row>
    <row r="150" spans="1:13" ht="25" customHeight="1">
      <c r="A150" s="3" t="s">
        <v>79</v>
      </c>
      <c r="B150" s="4" t="s">
        <v>396</v>
      </c>
      <c r="C150" s="4" t="s">
        <v>139</v>
      </c>
      <c r="D150" s="24">
        <v>5</v>
      </c>
      <c r="E150" s="10">
        <v>0</v>
      </c>
      <c r="F150" s="26">
        <v>0.038</v>
      </c>
      <c r="G150" s="10">
        <v>0</v>
      </c>
      <c r="H150" s="10">
        <v>0</v>
      </c>
      <c r="I150" s="10">
        <v>0</v>
      </c>
      <c r="J150" s="10">
        <v>0</v>
      </c>
      <c r="K150" s="10">
        <v>0</v>
      </c>
      <c r="L150" s="10">
        <v>0</v>
      </c>
      <c r="M150" s="10">
        <f>E150+K150-I150-J150-L150</f>
        <v>0.0</v>
      </c>
    </row>
    <row r="151" spans="1:13" ht="25" customHeight="1">
      <c r="A151" s="6" t="s">
        <v>79</v>
      </c>
      <c r="B151" s="7" t="s">
        <v>396</v>
      </c>
      <c r="C151" s="7" t="s">
        <v>153</v>
      </c>
      <c r="D151" s="23">
        <v>5</v>
      </c>
      <c r="E151" s="9">
        <v>0</v>
      </c>
      <c r="F151" s="25">
        <v>0.05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f>E151+K151-I151-J151-L151</f>
        <v>0.0</v>
      </c>
    </row>
    <row r="152" spans="1:13" ht="25" customHeight="1">
      <c r="A152" s="3" t="s">
        <v>79</v>
      </c>
      <c r="B152" s="4" t="s">
        <v>396</v>
      </c>
      <c r="C152" s="4" t="s">
        <v>198</v>
      </c>
      <c r="D152" s="24">
        <v>5</v>
      </c>
      <c r="E152" s="10">
        <v>0</v>
      </c>
      <c r="F152" s="26">
        <v>0.0475</v>
      </c>
      <c r="G152" s="10">
        <v>0</v>
      </c>
      <c r="H152" s="10">
        <v>0</v>
      </c>
      <c r="I152" s="10">
        <v>0</v>
      </c>
      <c r="J152" s="10">
        <v>0</v>
      </c>
      <c r="K152" s="10">
        <v>0</v>
      </c>
      <c r="L152" s="10">
        <v>0</v>
      </c>
      <c r="M152" s="10">
        <f>E152+K152-I152-J152-L152</f>
        <v>0.0</v>
      </c>
    </row>
    <row r="153" spans="1:13" ht="25" customHeight="1">
      <c r="A153" s="6" t="s">
        <v>79</v>
      </c>
      <c r="B153" s="7" t="s">
        <v>396</v>
      </c>
      <c r="C153" s="7" t="s">
        <v>394</v>
      </c>
      <c r="D153" s="23">
        <v>5</v>
      </c>
      <c r="E153" s="9">
        <v>0</v>
      </c>
      <c r="F153" s="25">
        <v>0.06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f>E153+K153-I153-J153-L153</f>
        <v>0.0</v>
      </c>
    </row>
    <row r="154" spans="1:13" ht="25" customHeight="1">
      <c r="A154" s="3" t="s">
        <v>79</v>
      </c>
      <c r="B154" s="4" t="s">
        <v>396</v>
      </c>
      <c r="C154" s="4" t="s">
        <v>395</v>
      </c>
      <c r="D154" s="24">
        <v>5</v>
      </c>
      <c r="E154" s="10">
        <v>124.0155500940455</v>
      </c>
      <c r="F154" s="26">
        <v>0.0575</v>
      </c>
      <c r="G154" s="10">
        <v>7.130894130407615</v>
      </c>
      <c r="H154" s="10">
        <v>124.0155500940455</v>
      </c>
      <c r="I154" s="10">
        <v>124.0155500940455</v>
      </c>
      <c r="J154" s="10">
        <v>0</v>
      </c>
      <c r="K154" s="10">
        <v>0</v>
      </c>
      <c r="L154" s="10">
        <v>0</v>
      </c>
      <c r="M154" s="10">
        <f>E154+K154-I154-J154-L154</f>
        <v>0.0</v>
      </c>
    </row>
    <row r="155" spans="1:13" ht="25" customHeight="1">
      <c r="A155" s="6" t="s">
        <v>68</v>
      </c>
      <c r="B155" s="7" t="s">
        <v>397</v>
      </c>
      <c r="C155" s="7" t="s">
        <v>139</v>
      </c>
      <c r="D155" s="23">
        <v>1</v>
      </c>
      <c r="E155" s="9">
        <v>900</v>
      </c>
      <c r="F155" s="25">
        <v>0.038</v>
      </c>
      <c r="G155" s="9">
        <v>34.2</v>
      </c>
      <c r="H155" s="9">
        <v>0</v>
      </c>
      <c r="I155" s="9">
        <v>0</v>
      </c>
      <c r="J155" s="9">
        <v>0</v>
      </c>
      <c r="K155" s="9">
        <v>0</v>
      </c>
      <c r="L155" s="9">
        <v>0</v>
      </c>
      <c r="M155" s="9">
        <f>E155+K155-I155-J155-L155</f>
        <v>900.0</v>
      </c>
    </row>
    <row r="156" spans="1:13" ht="25" customHeight="1">
      <c r="A156" s="3" t="s">
        <v>68</v>
      </c>
      <c r="B156" s="4" t="s">
        <v>397</v>
      </c>
      <c r="C156" s="4" t="s">
        <v>153</v>
      </c>
      <c r="D156" s="24">
        <v>1</v>
      </c>
      <c r="E156" s="10">
        <v>80</v>
      </c>
      <c r="F156" s="26">
        <v>0.05</v>
      </c>
      <c r="G156" s="10">
        <v>4</v>
      </c>
      <c r="H156" s="10">
        <v>16</v>
      </c>
      <c r="I156" s="10">
        <v>16</v>
      </c>
      <c r="J156" s="10">
        <v>0</v>
      </c>
      <c r="K156" s="10">
        <v>0</v>
      </c>
      <c r="L156" s="10">
        <v>0</v>
      </c>
      <c r="M156" s="10">
        <f>E156+K156-I156-J156-L156</f>
        <v>64.0</v>
      </c>
    </row>
    <row r="157" spans="1:13" ht="25" customHeight="1">
      <c r="A157" s="6" t="s">
        <v>68</v>
      </c>
      <c r="B157" s="7" t="s">
        <v>397</v>
      </c>
      <c r="C157" s="7" t="s">
        <v>198</v>
      </c>
      <c r="D157" s="23">
        <v>1</v>
      </c>
      <c r="E157" s="9">
        <v>350</v>
      </c>
      <c r="F157" s="25">
        <v>0.0475</v>
      </c>
      <c r="G157" s="9">
        <v>16.625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f>E157+K157-I157-J157-L157</f>
        <v>350.0</v>
      </c>
    </row>
    <row r="158" spans="1:13" ht="25" customHeight="1">
      <c r="A158" s="3" t="s">
        <v>68</v>
      </c>
      <c r="B158" s="4" t="s">
        <v>397</v>
      </c>
      <c r="C158" s="4" t="s">
        <v>394</v>
      </c>
      <c r="D158" s="24">
        <v>1</v>
      </c>
      <c r="E158" s="10">
        <v>1340.10152284264</v>
      </c>
      <c r="F158" s="26">
        <v>0.065</v>
      </c>
      <c r="G158" s="10">
        <v>87.10659898477158</v>
      </c>
      <c r="H158" s="10">
        <v>26.80203045685279</v>
      </c>
      <c r="I158" s="10">
        <v>26.80203045685279</v>
      </c>
      <c r="J158" s="10">
        <v>116.4193045511428</v>
      </c>
      <c r="K158" s="10">
        <v>0</v>
      </c>
      <c r="L158" s="10">
        <v>0</v>
      </c>
      <c r="M158" s="10">
        <f>E158+K158-I158-J158-L158</f>
        <v>1196.880187834644</v>
      </c>
    </row>
    <row r="159" spans="1:13" ht="25" customHeight="1">
      <c r="A159" s="6" t="s">
        <v>68</v>
      </c>
      <c r="B159" s="7" t="s">
        <v>397</v>
      </c>
      <c r="C159" s="7" t="s">
        <v>395</v>
      </c>
      <c r="D159" s="23">
        <v>1</v>
      </c>
      <c r="E159" s="9">
        <v>0</v>
      </c>
      <c r="F159" s="25">
        <v>0.0625</v>
      </c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f>E159+K159-I159-J159-L159</f>
        <v>0.0</v>
      </c>
    </row>
    <row r="160" spans="1:13" ht="25" customHeight="1">
      <c r="A160" s="3" t="s">
        <v>68</v>
      </c>
      <c r="B160" s="4" t="s">
        <v>397</v>
      </c>
      <c r="C160" s="4" t="s">
        <v>139</v>
      </c>
      <c r="D160" s="24">
        <v>2</v>
      </c>
      <c r="E160" s="10">
        <v>900</v>
      </c>
      <c r="F160" s="26">
        <v>0.038</v>
      </c>
      <c r="G160" s="10">
        <v>34.2</v>
      </c>
      <c r="H160" s="10">
        <v>0</v>
      </c>
      <c r="I160" s="10">
        <v>0</v>
      </c>
      <c r="J160" s="10">
        <v>0</v>
      </c>
      <c r="K160" s="10">
        <v>0</v>
      </c>
      <c r="L160" s="10">
        <v>0</v>
      </c>
      <c r="M160" s="10">
        <f>E160+K160-I160-J160-L160</f>
        <v>900.0</v>
      </c>
    </row>
    <row r="161" spans="1:13" ht="25" customHeight="1">
      <c r="A161" s="6" t="s">
        <v>68</v>
      </c>
      <c r="B161" s="7" t="s">
        <v>397</v>
      </c>
      <c r="C161" s="7" t="s">
        <v>153</v>
      </c>
      <c r="D161" s="23">
        <v>2</v>
      </c>
      <c r="E161" s="9">
        <v>64</v>
      </c>
      <c r="F161" s="25">
        <v>0.05</v>
      </c>
      <c r="G161" s="9">
        <v>3.2</v>
      </c>
      <c r="H161" s="9">
        <v>16</v>
      </c>
      <c r="I161" s="9">
        <v>16</v>
      </c>
      <c r="J161" s="9">
        <v>0</v>
      </c>
      <c r="K161" s="9">
        <v>0</v>
      </c>
      <c r="L161" s="9">
        <v>0</v>
      </c>
      <c r="M161" s="9">
        <f>E161+K161-I161-J161-L161</f>
        <v>48.0</v>
      </c>
    </row>
    <row r="162" spans="1:13" ht="25" customHeight="1">
      <c r="A162" s="3" t="s">
        <v>68</v>
      </c>
      <c r="B162" s="4" t="s">
        <v>397</v>
      </c>
      <c r="C162" s="4" t="s">
        <v>198</v>
      </c>
      <c r="D162" s="24">
        <v>2</v>
      </c>
      <c r="E162" s="10">
        <v>350</v>
      </c>
      <c r="F162" s="26">
        <v>0.0475</v>
      </c>
      <c r="G162" s="10">
        <v>16.625</v>
      </c>
      <c r="H162" s="10">
        <v>0</v>
      </c>
      <c r="I162" s="10">
        <v>0</v>
      </c>
      <c r="J162" s="10">
        <v>0</v>
      </c>
      <c r="K162" s="10">
        <v>0</v>
      </c>
      <c r="L162" s="10">
        <v>0</v>
      </c>
      <c r="M162" s="10">
        <f>E162+K162-I162-J162-L162</f>
        <v>350.0</v>
      </c>
    </row>
    <row r="163" spans="1:13" ht="25" customHeight="1">
      <c r="A163" s="6" t="s">
        <v>68</v>
      </c>
      <c r="B163" s="7" t="s">
        <v>397</v>
      </c>
      <c r="C163" s="7" t="s">
        <v>394</v>
      </c>
      <c r="D163" s="23">
        <v>2</v>
      </c>
      <c r="E163" s="9">
        <v>1196.880187834644</v>
      </c>
      <c r="F163" s="25">
        <v>0.0625</v>
      </c>
      <c r="G163" s="9">
        <v>74.80501173966525</v>
      </c>
      <c r="H163" s="9">
        <v>26.80203045685279</v>
      </c>
      <c r="I163" s="9">
        <v>26.80203045685279</v>
      </c>
      <c r="J163" s="9">
        <v>214.005423923329</v>
      </c>
      <c r="K163" s="9">
        <v>0</v>
      </c>
      <c r="L163" s="9">
        <v>0</v>
      </c>
      <c r="M163" s="9">
        <f>E163+K163-I163-J163-L163</f>
        <v>956.0727334544621</v>
      </c>
    </row>
    <row r="164" spans="1:13" ht="25" customHeight="1">
      <c r="A164" s="3" t="s">
        <v>68</v>
      </c>
      <c r="B164" s="4" t="s">
        <v>397</v>
      </c>
      <c r="C164" s="4" t="s">
        <v>395</v>
      </c>
      <c r="D164" s="24">
        <v>2</v>
      </c>
      <c r="E164" s="10">
        <v>0</v>
      </c>
      <c r="F164" s="26">
        <v>0.06</v>
      </c>
      <c r="G164" s="10">
        <v>0</v>
      </c>
      <c r="H164" s="10">
        <v>0</v>
      </c>
      <c r="I164" s="10">
        <v>0</v>
      </c>
      <c r="J164" s="10">
        <v>0</v>
      </c>
      <c r="K164" s="10">
        <v>0</v>
      </c>
      <c r="L164" s="10">
        <v>0</v>
      </c>
      <c r="M164" s="10">
        <f>E164+K164-I164-J164-L164</f>
        <v>0.0</v>
      </c>
    </row>
    <row r="165" spans="1:13" ht="25" customHeight="1">
      <c r="A165" s="6" t="s">
        <v>68</v>
      </c>
      <c r="B165" s="7" t="s">
        <v>397</v>
      </c>
      <c r="C165" s="7" t="s">
        <v>139</v>
      </c>
      <c r="D165" s="23">
        <v>3</v>
      </c>
      <c r="E165" s="9">
        <v>900</v>
      </c>
      <c r="F165" s="25">
        <v>0.038</v>
      </c>
      <c r="G165" s="9">
        <v>34.2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f>E165+K165-I165-J165-L165</f>
        <v>900.0</v>
      </c>
    </row>
    <row r="166" spans="1:13" ht="25" customHeight="1">
      <c r="A166" s="3" t="s">
        <v>68</v>
      </c>
      <c r="B166" s="4" t="s">
        <v>397</v>
      </c>
      <c r="C166" s="4" t="s">
        <v>153</v>
      </c>
      <c r="D166" s="24">
        <v>3</v>
      </c>
      <c r="E166" s="10">
        <v>48</v>
      </c>
      <c r="F166" s="26">
        <v>0.05</v>
      </c>
      <c r="G166" s="10">
        <v>2.4</v>
      </c>
      <c r="H166" s="10">
        <v>16</v>
      </c>
      <c r="I166" s="10">
        <v>16</v>
      </c>
      <c r="J166" s="10">
        <v>0</v>
      </c>
      <c r="K166" s="10">
        <v>0</v>
      </c>
      <c r="L166" s="10">
        <v>0</v>
      </c>
      <c r="M166" s="10">
        <f>E166+K166-I166-J166-L166</f>
        <v>32.0</v>
      </c>
    </row>
    <row r="167" spans="1:13" ht="25" customHeight="1">
      <c r="A167" s="6" t="s">
        <v>68</v>
      </c>
      <c r="B167" s="7" t="s">
        <v>397</v>
      </c>
      <c r="C167" s="7" t="s">
        <v>198</v>
      </c>
      <c r="D167" s="23">
        <v>3</v>
      </c>
      <c r="E167" s="9">
        <v>350</v>
      </c>
      <c r="F167" s="25">
        <v>0.0475</v>
      </c>
      <c r="G167" s="9">
        <v>16.625</v>
      </c>
      <c r="H167" s="9">
        <v>350</v>
      </c>
      <c r="I167" s="9">
        <v>350</v>
      </c>
      <c r="J167" s="9">
        <v>0</v>
      </c>
      <c r="K167" s="9">
        <v>0</v>
      </c>
      <c r="L167" s="9">
        <v>0</v>
      </c>
      <c r="M167" s="9">
        <f>E167+K167-I167-J167-L167</f>
        <v>0.0</v>
      </c>
    </row>
    <row r="168" spans="1:13" ht="25" customHeight="1">
      <c r="A168" s="3" t="s">
        <v>68</v>
      </c>
      <c r="B168" s="4" t="s">
        <v>397</v>
      </c>
      <c r="C168" s="4" t="s">
        <v>394</v>
      </c>
      <c r="D168" s="24">
        <v>3</v>
      </c>
      <c r="E168" s="10">
        <v>956.0727334544621</v>
      </c>
      <c r="F168" s="26">
        <v>0.06</v>
      </c>
      <c r="G168" s="10">
        <v>57.36436400726773</v>
      </c>
      <c r="H168" s="10">
        <v>26.80203045685279</v>
      </c>
      <c r="I168" s="10">
        <v>26.80203045685279</v>
      </c>
      <c r="J168" s="10">
        <v>0</v>
      </c>
      <c r="K168" s="10">
        <v>0</v>
      </c>
      <c r="L168" s="10">
        <v>0</v>
      </c>
      <c r="M168" s="10">
        <f>E168+K168-I168-J168-L168</f>
        <v>929.2707029976093</v>
      </c>
    </row>
    <row r="169" spans="1:13" ht="25" customHeight="1">
      <c r="A169" s="6" t="s">
        <v>68</v>
      </c>
      <c r="B169" s="7" t="s">
        <v>397</v>
      </c>
      <c r="C169" s="7" t="s">
        <v>395</v>
      </c>
      <c r="D169" s="23">
        <v>3</v>
      </c>
      <c r="E169" s="9">
        <v>0</v>
      </c>
      <c r="F169" s="25">
        <v>0.0575</v>
      </c>
      <c r="G169" s="9">
        <v>0</v>
      </c>
      <c r="H169" s="9">
        <v>0</v>
      </c>
      <c r="I169" s="9">
        <v>0</v>
      </c>
      <c r="J169" s="9">
        <v>0</v>
      </c>
      <c r="K169" s="9">
        <v>29.55186119774999</v>
      </c>
      <c r="L169" s="9">
        <v>0</v>
      </c>
      <c r="M169" s="9">
        <f>E169+K169-I169-J169-L169</f>
        <v>29.551861197749986</v>
      </c>
    </row>
    <row r="170" spans="1:13" ht="25" customHeight="1">
      <c r="A170" s="3" t="s">
        <v>68</v>
      </c>
      <c r="B170" s="4" t="s">
        <v>397</v>
      </c>
      <c r="C170" s="4" t="s">
        <v>139</v>
      </c>
      <c r="D170" s="24">
        <v>4</v>
      </c>
      <c r="E170" s="10">
        <v>900</v>
      </c>
      <c r="F170" s="26">
        <v>0.038</v>
      </c>
      <c r="G170" s="10">
        <v>34.2</v>
      </c>
      <c r="H170" s="10">
        <v>900</v>
      </c>
      <c r="I170" s="10">
        <v>900</v>
      </c>
      <c r="J170" s="10">
        <v>0</v>
      </c>
      <c r="K170" s="10">
        <v>0</v>
      </c>
      <c r="L170" s="10">
        <v>0</v>
      </c>
      <c r="M170" s="10">
        <f>E170+K170-I170-J170-L170</f>
        <v>0.0</v>
      </c>
    </row>
    <row r="171" spans="1:13" ht="25" customHeight="1">
      <c r="A171" s="6" t="s">
        <v>68</v>
      </c>
      <c r="B171" s="7" t="s">
        <v>397</v>
      </c>
      <c r="C171" s="7" t="s">
        <v>153</v>
      </c>
      <c r="D171" s="23">
        <v>4</v>
      </c>
      <c r="E171" s="9">
        <v>32</v>
      </c>
      <c r="F171" s="25">
        <v>0.05</v>
      </c>
      <c r="G171" s="9">
        <v>1.6</v>
      </c>
      <c r="H171" s="9">
        <v>16</v>
      </c>
      <c r="I171" s="9">
        <v>16</v>
      </c>
      <c r="J171" s="9">
        <v>0</v>
      </c>
      <c r="K171" s="9">
        <v>0</v>
      </c>
      <c r="L171" s="9">
        <v>0</v>
      </c>
      <c r="M171" s="9">
        <f>E171+K171-I171-J171-L171</f>
        <v>16.0</v>
      </c>
    </row>
    <row r="172" spans="1:13" ht="25" customHeight="1">
      <c r="A172" s="3" t="s">
        <v>68</v>
      </c>
      <c r="B172" s="4" t="s">
        <v>397</v>
      </c>
      <c r="C172" s="4" t="s">
        <v>198</v>
      </c>
      <c r="D172" s="24">
        <v>4</v>
      </c>
      <c r="E172" s="10">
        <v>0</v>
      </c>
      <c r="F172" s="26">
        <v>0.0475</v>
      </c>
      <c r="G172" s="10">
        <v>0</v>
      </c>
      <c r="H172" s="10">
        <v>0</v>
      </c>
      <c r="I172" s="10">
        <v>0</v>
      </c>
      <c r="J172" s="10">
        <v>0</v>
      </c>
      <c r="K172" s="10">
        <v>0</v>
      </c>
      <c r="L172" s="10">
        <v>0</v>
      </c>
      <c r="M172" s="10">
        <f>E172+K172-I172-J172-L172</f>
        <v>0.0</v>
      </c>
    </row>
    <row r="173" spans="1:13" ht="25" customHeight="1">
      <c r="A173" s="6" t="s">
        <v>68</v>
      </c>
      <c r="B173" s="7" t="s">
        <v>397</v>
      </c>
      <c r="C173" s="7" t="s">
        <v>394</v>
      </c>
      <c r="D173" s="23">
        <v>4</v>
      </c>
      <c r="E173" s="9">
        <v>929.2707029976093</v>
      </c>
      <c r="F173" s="25">
        <v>0.06</v>
      </c>
      <c r="G173" s="9">
        <v>55.75624217985656</v>
      </c>
      <c r="H173" s="9">
        <v>26.80203045685279</v>
      </c>
      <c r="I173" s="9">
        <v>26.80203045685279</v>
      </c>
      <c r="J173" s="9">
        <v>0</v>
      </c>
      <c r="K173" s="9">
        <v>0</v>
      </c>
      <c r="L173" s="9">
        <v>0</v>
      </c>
      <c r="M173" s="9">
        <f>E173+K173-I173-J173-L173</f>
        <v>902.4686725407565</v>
      </c>
    </row>
    <row r="174" spans="1:13" ht="25" customHeight="1">
      <c r="A174" s="3" t="s">
        <v>68</v>
      </c>
      <c r="B174" s="4" t="s">
        <v>397</v>
      </c>
      <c r="C174" s="4" t="s">
        <v>395</v>
      </c>
      <c r="D174" s="24">
        <v>4</v>
      </c>
      <c r="E174" s="10">
        <v>29.55186119774999</v>
      </c>
      <c r="F174" s="26">
        <v>0.0575</v>
      </c>
      <c r="G174" s="10">
        <v>1.699232018870624</v>
      </c>
      <c r="H174" s="10">
        <v>0</v>
      </c>
      <c r="I174" s="10">
        <v>0</v>
      </c>
      <c r="J174" s="10">
        <v>0</v>
      </c>
      <c r="K174" s="10">
        <v>523.0391294347312</v>
      </c>
      <c r="L174" s="10">
        <v>0</v>
      </c>
      <c r="M174" s="10">
        <f>E174+K174-I174-J174-L174</f>
        <v>552.5909906324812</v>
      </c>
    </row>
    <row r="175" spans="1:13" ht="25" customHeight="1">
      <c r="A175" s="6" t="s">
        <v>68</v>
      </c>
      <c r="B175" s="7" t="s">
        <v>397</v>
      </c>
      <c r="C175" s="7" t="s">
        <v>139</v>
      </c>
      <c r="D175" s="23">
        <v>5</v>
      </c>
      <c r="E175" s="9">
        <v>0</v>
      </c>
      <c r="F175" s="25">
        <v>0.038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f>E175+K175-I175-J175-L175</f>
        <v>0.0</v>
      </c>
    </row>
    <row r="176" spans="1:13" ht="25" customHeight="1">
      <c r="A176" s="3" t="s">
        <v>68</v>
      </c>
      <c r="B176" s="4" t="s">
        <v>397</v>
      </c>
      <c r="C176" s="4" t="s">
        <v>153</v>
      </c>
      <c r="D176" s="24">
        <v>5</v>
      </c>
      <c r="E176" s="10">
        <v>16</v>
      </c>
      <c r="F176" s="26">
        <v>0.05</v>
      </c>
      <c r="G176" s="10">
        <v>0.8</v>
      </c>
      <c r="H176" s="10">
        <v>16</v>
      </c>
      <c r="I176" s="10">
        <v>16</v>
      </c>
      <c r="J176" s="10">
        <v>0</v>
      </c>
      <c r="K176" s="10">
        <v>0</v>
      </c>
      <c r="L176" s="10">
        <v>0</v>
      </c>
      <c r="M176" s="10">
        <f>E176+K176-I176-J176-L176</f>
        <v>0.0</v>
      </c>
    </row>
    <row r="177" spans="1:13" ht="25" customHeight="1">
      <c r="A177" s="6" t="s">
        <v>68</v>
      </c>
      <c r="B177" s="7" t="s">
        <v>397</v>
      </c>
      <c r="C177" s="7" t="s">
        <v>198</v>
      </c>
      <c r="D177" s="23">
        <v>5</v>
      </c>
      <c r="E177" s="9">
        <v>0</v>
      </c>
      <c r="F177" s="25">
        <v>0.0475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f>E177+K177-I177-J177-L177</f>
        <v>0.0</v>
      </c>
    </row>
    <row r="178" spans="1:13" ht="25" customHeight="1">
      <c r="A178" s="3" t="s">
        <v>68</v>
      </c>
      <c r="B178" s="4" t="s">
        <v>397</v>
      </c>
      <c r="C178" s="4" t="s">
        <v>394</v>
      </c>
      <c r="D178" s="24">
        <v>5</v>
      </c>
      <c r="E178" s="10">
        <v>902.4686725407565</v>
      </c>
      <c r="F178" s="26">
        <v>0.06</v>
      </c>
      <c r="G178" s="10">
        <v>54.1481203524454</v>
      </c>
      <c r="H178" s="10">
        <v>902.4686725407565</v>
      </c>
      <c r="I178" s="10">
        <v>902.4686725407565</v>
      </c>
      <c r="J178" s="10">
        <v>0</v>
      </c>
      <c r="K178" s="10">
        <v>0</v>
      </c>
      <c r="L178" s="10">
        <v>0</v>
      </c>
      <c r="M178" s="10">
        <f>E178+K178-I178-J178-L178</f>
        <v>0.0</v>
      </c>
    </row>
    <row r="179" spans="1:13" ht="25" customHeight="1">
      <c r="A179" s="6" t="s">
        <v>68</v>
      </c>
      <c r="B179" s="7" t="s">
        <v>397</v>
      </c>
      <c r="C179" s="7" t="s">
        <v>395</v>
      </c>
      <c r="D179" s="23">
        <v>5</v>
      </c>
      <c r="E179" s="9">
        <v>552.5909906324812</v>
      </c>
      <c r="F179" s="25">
        <v>0.0575</v>
      </c>
      <c r="G179" s="9">
        <v>31.77398196136767</v>
      </c>
      <c r="H179" s="9">
        <v>552.5909906324812</v>
      </c>
      <c r="I179" s="9">
        <v>280.479029853829</v>
      </c>
      <c r="J179" s="9">
        <v>0</v>
      </c>
      <c r="K179" s="9">
        <v>0</v>
      </c>
      <c r="L179" s="9">
        <v>0</v>
      </c>
      <c r="M179" s="9">
        <f>E179+K179-I179-J179-L179</f>
        <v>272.11196077865213</v>
      </c>
    </row>
    <row r="180" spans="1:13" ht="25" customHeight="1">
      <c r="A180" s="3" t="s">
        <v>78</v>
      </c>
      <c r="B180" s="4" t="s">
        <v>397</v>
      </c>
      <c r="C180" s="4" t="s">
        <v>139</v>
      </c>
      <c r="D180" s="24">
        <v>1</v>
      </c>
      <c r="E180" s="10">
        <v>900</v>
      </c>
      <c r="F180" s="26">
        <v>0.038</v>
      </c>
      <c r="G180" s="10">
        <v>34.2</v>
      </c>
      <c r="H180" s="10">
        <v>0</v>
      </c>
      <c r="I180" s="10">
        <v>0</v>
      </c>
      <c r="J180" s="10">
        <v>0</v>
      </c>
      <c r="K180" s="10">
        <v>0</v>
      </c>
      <c r="L180" s="10">
        <v>0</v>
      </c>
      <c r="M180" s="10">
        <f>E180+K180-I180-J180-L180</f>
        <v>900.0</v>
      </c>
    </row>
    <row r="181" spans="1:13" ht="25" customHeight="1">
      <c r="A181" s="6" t="s">
        <v>78</v>
      </c>
      <c r="B181" s="7" t="s">
        <v>397</v>
      </c>
      <c r="C181" s="7" t="s">
        <v>153</v>
      </c>
      <c r="D181" s="23">
        <v>1</v>
      </c>
      <c r="E181" s="9">
        <v>80</v>
      </c>
      <c r="F181" s="25">
        <v>0.05</v>
      </c>
      <c r="G181" s="9">
        <v>4</v>
      </c>
      <c r="H181" s="9">
        <v>16</v>
      </c>
      <c r="I181" s="9">
        <v>16</v>
      </c>
      <c r="J181" s="9">
        <v>0</v>
      </c>
      <c r="K181" s="9">
        <v>0</v>
      </c>
      <c r="L181" s="9">
        <v>0</v>
      </c>
      <c r="M181" s="9">
        <f>E181+K181-I181-J181-L181</f>
        <v>64.0</v>
      </c>
    </row>
    <row r="182" spans="1:13" ht="25" customHeight="1">
      <c r="A182" s="3" t="s">
        <v>78</v>
      </c>
      <c r="B182" s="4" t="s">
        <v>397</v>
      </c>
      <c r="C182" s="4" t="s">
        <v>198</v>
      </c>
      <c r="D182" s="24">
        <v>1</v>
      </c>
      <c r="E182" s="10">
        <v>350</v>
      </c>
      <c r="F182" s="26">
        <v>0.0475</v>
      </c>
      <c r="G182" s="10">
        <v>16.625</v>
      </c>
      <c r="H182" s="10">
        <v>0</v>
      </c>
      <c r="I182" s="10">
        <v>0</v>
      </c>
      <c r="J182" s="10">
        <v>0</v>
      </c>
      <c r="K182" s="10">
        <v>0</v>
      </c>
      <c r="L182" s="10">
        <v>0</v>
      </c>
      <c r="M182" s="10">
        <f>E182+K182-I182-J182-L182</f>
        <v>350.0</v>
      </c>
    </row>
    <row r="183" spans="1:13" ht="25" customHeight="1">
      <c r="A183" s="6" t="s">
        <v>78</v>
      </c>
      <c r="B183" s="7" t="s">
        <v>397</v>
      </c>
      <c r="C183" s="7" t="s">
        <v>394</v>
      </c>
      <c r="D183" s="23">
        <v>1</v>
      </c>
      <c r="E183" s="9">
        <v>2223.350253807107</v>
      </c>
      <c r="F183" s="25">
        <v>0.065</v>
      </c>
      <c r="G183" s="9">
        <v>144.5177664974619</v>
      </c>
      <c r="H183" s="9">
        <v>44.46700507614213</v>
      </c>
      <c r="I183" s="9">
        <v>44.46700507614213</v>
      </c>
      <c r="J183" s="9">
        <v>925.6959542973357</v>
      </c>
      <c r="K183" s="9">
        <v>0</v>
      </c>
      <c r="L183" s="9">
        <v>0</v>
      </c>
      <c r="M183" s="9">
        <f>E183+K183-I183-J183-L183</f>
        <v>1253.187294433629</v>
      </c>
    </row>
    <row r="184" spans="1:13" ht="25" customHeight="1">
      <c r="A184" s="3" t="s">
        <v>78</v>
      </c>
      <c r="B184" s="4" t="s">
        <v>397</v>
      </c>
      <c r="C184" s="4" t="s">
        <v>395</v>
      </c>
      <c r="D184" s="24">
        <v>1</v>
      </c>
      <c r="E184" s="10">
        <v>0</v>
      </c>
      <c r="F184" s="26">
        <v>0.0625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f>E184+K184-I184-J184-L184</f>
        <v>0.0</v>
      </c>
    </row>
    <row r="185" spans="1:13" ht="25" customHeight="1">
      <c r="A185" s="6" t="s">
        <v>78</v>
      </c>
      <c r="B185" s="7" t="s">
        <v>397</v>
      </c>
      <c r="C185" s="7" t="s">
        <v>139</v>
      </c>
      <c r="D185" s="23">
        <v>2</v>
      </c>
      <c r="E185" s="9">
        <v>900</v>
      </c>
      <c r="F185" s="25">
        <v>0.038</v>
      </c>
      <c r="G185" s="9">
        <v>34.2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f>E185+K185-I185-J185-L185</f>
        <v>900.0</v>
      </c>
    </row>
    <row r="186" spans="1:13" ht="25" customHeight="1">
      <c r="A186" s="3" t="s">
        <v>78</v>
      </c>
      <c r="B186" s="4" t="s">
        <v>397</v>
      </c>
      <c r="C186" s="4" t="s">
        <v>153</v>
      </c>
      <c r="D186" s="24">
        <v>2</v>
      </c>
      <c r="E186" s="10">
        <v>64</v>
      </c>
      <c r="F186" s="26">
        <v>0.05</v>
      </c>
      <c r="G186" s="10">
        <v>3.2</v>
      </c>
      <c r="H186" s="10">
        <v>16</v>
      </c>
      <c r="I186" s="10">
        <v>16</v>
      </c>
      <c r="J186" s="10">
        <v>0</v>
      </c>
      <c r="K186" s="10">
        <v>0</v>
      </c>
      <c r="L186" s="10">
        <v>0</v>
      </c>
      <c r="M186" s="10">
        <f>E186+K186-I186-J186-L186</f>
        <v>48.0</v>
      </c>
    </row>
    <row r="187" spans="1:13" ht="25" customHeight="1">
      <c r="A187" s="6" t="s">
        <v>78</v>
      </c>
      <c r="B187" s="7" t="s">
        <v>397</v>
      </c>
      <c r="C187" s="7" t="s">
        <v>198</v>
      </c>
      <c r="D187" s="23">
        <v>2</v>
      </c>
      <c r="E187" s="9">
        <v>350</v>
      </c>
      <c r="F187" s="25">
        <v>0.0475</v>
      </c>
      <c r="G187" s="9">
        <v>16.625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f>E187+K187-I187-J187-L187</f>
        <v>350.0</v>
      </c>
    </row>
    <row r="188" spans="1:13" ht="25" customHeight="1">
      <c r="A188" s="3" t="s">
        <v>78</v>
      </c>
      <c r="B188" s="4" t="s">
        <v>397</v>
      </c>
      <c r="C188" s="4" t="s">
        <v>394</v>
      </c>
      <c r="D188" s="24">
        <v>2</v>
      </c>
      <c r="E188" s="10">
        <v>1253.187294433629</v>
      </c>
      <c r="F188" s="26">
        <v>0.0625</v>
      </c>
      <c r="G188" s="10">
        <v>78.32420590210181</v>
      </c>
      <c r="H188" s="10">
        <v>44.46700507614213</v>
      </c>
      <c r="I188" s="10">
        <v>44.46700507614213</v>
      </c>
      <c r="J188" s="10">
        <v>193.7010536822122</v>
      </c>
      <c r="K188" s="10">
        <v>0</v>
      </c>
      <c r="L188" s="10">
        <v>0</v>
      </c>
      <c r="M188" s="10">
        <f>E188+K188-I188-J188-L188</f>
        <v>1015.0192356752746</v>
      </c>
    </row>
    <row r="189" spans="1:13" ht="25" customHeight="1">
      <c r="A189" s="6" t="s">
        <v>78</v>
      </c>
      <c r="B189" s="7" t="s">
        <v>397</v>
      </c>
      <c r="C189" s="7" t="s">
        <v>395</v>
      </c>
      <c r="D189" s="23">
        <v>2</v>
      </c>
      <c r="E189" s="9">
        <v>0</v>
      </c>
      <c r="F189" s="25">
        <v>0.06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f>E189+K189-I189-J189-L189</f>
        <v>0.0</v>
      </c>
    </row>
    <row r="190" spans="1:13" ht="25" customHeight="1">
      <c r="A190" s="3" t="s">
        <v>78</v>
      </c>
      <c r="B190" s="4" t="s">
        <v>397</v>
      </c>
      <c r="C190" s="4" t="s">
        <v>139</v>
      </c>
      <c r="D190" s="24">
        <v>3</v>
      </c>
      <c r="E190" s="10">
        <v>900</v>
      </c>
      <c r="F190" s="26">
        <v>0.038</v>
      </c>
      <c r="G190" s="10">
        <v>34.2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f>E190+K190-I190-J190-L190</f>
        <v>900.0</v>
      </c>
    </row>
    <row r="191" spans="1:13" ht="25" customHeight="1">
      <c r="A191" s="6" t="s">
        <v>78</v>
      </c>
      <c r="B191" s="7" t="s">
        <v>397</v>
      </c>
      <c r="C191" s="7" t="s">
        <v>153</v>
      </c>
      <c r="D191" s="23">
        <v>3</v>
      </c>
      <c r="E191" s="9">
        <v>48</v>
      </c>
      <c r="F191" s="25">
        <v>0.05</v>
      </c>
      <c r="G191" s="9">
        <v>2.4</v>
      </c>
      <c r="H191" s="9">
        <v>16</v>
      </c>
      <c r="I191" s="9">
        <v>16</v>
      </c>
      <c r="J191" s="9">
        <v>0</v>
      </c>
      <c r="K191" s="9">
        <v>0</v>
      </c>
      <c r="L191" s="9">
        <v>0</v>
      </c>
      <c r="M191" s="9">
        <f>E191+K191-I191-J191-L191</f>
        <v>32.0</v>
      </c>
    </row>
    <row r="192" spans="1:13" ht="25" customHeight="1">
      <c r="A192" s="3" t="s">
        <v>78</v>
      </c>
      <c r="B192" s="4" t="s">
        <v>397</v>
      </c>
      <c r="C192" s="4" t="s">
        <v>198</v>
      </c>
      <c r="D192" s="24">
        <v>3</v>
      </c>
      <c r="E192" s="10">
        <v>350</v>
      </c>
      <c r="F192" s="26">
        <v>0.0475</v>
      </c>
      <c r="G192" s="10">
        <v>16.625</v>
      </c>
      <c r="H192" s="10">
        <v>350</v>
      </c>
      <c r="I192" s="10">
        <v>350</v>
      </c>
      <c r="J192" s="10">
        <v>0</v>
      </c>
      <c r="K192" s="10">
        <v>0</v>
      </c>
      <c r="L192" s="10">
        <v>0</v>
      </c>
      <c r="M192" s="10">
        <f>E192+K192-I192-J192-L192</f>
        <v>0.0</v>
      </c>
    </row>
    <row r="193" spans="1:13" ht="25" customHeight="1">
      <c r="A193" s="6" t="s">
        <v>78</v>
      </c>
      <c r="B193" s="7" t="s">
        <v>397</v>
      </c>
      <c r="C193" s="7" t="s">
        <v>394</v>
      </c>
      <c r="D193" s="23">
        <v>3</v>
      </c>
      <c r="E193" s="9">
        <v>1015.019235675275</v>
      </c>
      <c r="F193" s="25">
        <v>0.06</v>
      </c>
      <c r="G193" s="9">
        <v>60.90115414051647</v>
      </c>
      <c r="H193" s="9">
        <v>44.46700507614213</v>
      </c>
      <c r="I193" s="9">
        <v>44.46700507614213</v>
      </c>
      <c r="J193" s="9">
        <v>0</v>
      </c>
      <c r="K193" s="9">
        <v>0</v>
      </c>
      <c r="L193" s="9">
        <v>0</v>
      </c>
      <c r="M193" s="9">
        <f>E193+K193-I193-J193-L193</f>
        <v>970.5522305991324</v>
      </c>
    </row>
    <row r="194" spans="1:13" ht="25" customHeight="1">
      <c r="A194" s="3" t="s">
        <v>78</v>
      </c>
      <c r="B194" s="4" t="s">
        <v>397</v>
      </c>
      <c r="C194" s="4" t="s">
        <v>395</v>
      </c>
      <c r="D194" s="24">
        <v>3</v>
      </c>
      <c r="E194" s="10">
        <v>0</v>
      </c>
      <c r="F194" s="26">
        <v>0.0575</v>
      </c>
      <c r="G194" s="10">
        <v>0</v>
      </c>
      <c r="H194" s="10">
        <v>0</v>
      </c>
      <c r="I194" s="10">
        <v>0</v>
      </c>
      <c r="J194" s="10">
        <v>0</v>
      </c>
      <c r="K194" s="10">
        <v>49.86942841697623</v>
      </c>
      <c r="L194" s="10">
        <v>0</v>
      </c>
      <c r="M194" s="10">
        <f>E194+K194-I194-J194-L194</f>
        <v>49.869428416976234</v>
      </c>
    </row>
    <row r="195" spans="1:13" ht="25" customHeight="1">
      <c r="A195" s="6" t="s">
        <v>78</v>
      </c>
      <c r="B195" s="7" t="s">
        <v>397</v>
      </c>
      <c r="C195" s="7" t="s">
        <v>139</v>
      </c>
      <c r="D195" s="23">
        <v>4</v>
      </c>
      <c r="E195" s="9">
        <v>900</v>
      </c>
      <c r="F195" s="25">
        <v>0.038</v>
      </c>
      <c r="G195" s="9">
        <v>34.2</v>
      </c>
      <c r="H195" s="9">
        <v>900</v>
      </c>
      <c r="I195" s="9">
        <v>900</v>
      </c>
      <c r="J195" s="9">
        <v>0</v>
      </c>
      <c r="K195" s="9">
        <v>0</v>
      </c>
      <c r="L195" s="9">
        <v>0</v>
      </c>
      <c r="M195" s="9">
        <f>E195+K195-I195-J195-L195</f>
        <v>0.0</v>
      </c>
    </row>
    <row r="196" spans="1:13" ht="25" customHeight="1">
      <c r="A196" s="3" t="s">
        <v>78</v>
      </c>
      <c r="B196" s="4" t="s">
        <v>397</v>
      </c>
      <c r="C196" s="4" t="s">
        <v>153</v>
      </c>
      <c r="D196" s="24">
        <v>4</v>
      </c>
      <c r="E196" s="10">
        <v>32</v>
      </c>
      <c r="F196" s="26">
        <v>0.05</v>
      </c>
      <c r="G196" s="10">
        <v>1.6</v>
      </c>
      <c r="H196" s="10">
        <v>16</v>
      </c>
      <c r="I196" s="10">
        <v>16</v>
      </c>
      <c r="J196" s="10">
        <v>0</v>
      </c>
      <c r="K196" s="10">
        <v>0</v>
      </c>
      <c r="L196" s="10">
        <v>0</v>
      </c>
      <c r="M196" s="10">
        <f>E196+K196-I196-J196-L196</f>
        <v>16.0</v>
      </c>
    </row>
    <row r="197" spans="1:13" ht="25" customHeight="1">
      <c r="A197" s="6" t="s">
        <v>78</v>
      </c>
      <c r="B197" s="7" t="s">
        <v>397</v>
      </c>
      <c r="C197" s="7" t="s">
        <v>198</v>
      </c>
      <c r="D197" s="23">
        <v>4</v>
      </c>
      <c r="E197" s="9">
        <v>0</v>
      </c>
      <c r="F197" s="25">
        <v>0.0475</v>
      </c>
      <c r="G197" s="9">
        <v>0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f>E197+K197-I197-J197-L197</f>
        <v>0.0</v>
      </c>
    </row>
    <row r="198" spans="1:13" ht="25" customHeight="1">
      <c r="A198" s="3" t="s">
        <v>78</v>
      </c>
      <c r="B198" s="4" t="s">
        <v>397</v>
      </c>
      <c r="C198" s="4" t="s">
        <v>394</v>
      </c>
      <c r="D198" s="24">
        <v>4</v>
      </c>
      <c r="E198" s="10">
        <v>970.5522305991324</v>
      </c>
      <c r="F198" s="26">
        <v>0.06</v>
      </c>
      <c r="G198" s="10">
        <v>58.23313383594795</v>
      </c>
      <c r="H198" s="10">
        <v>44.46700507614213</v>
      </c>
      <c r="I198" s="10">
        <v>44.46700507614213</v>
      </c>
      <c r="J198" s="10">
        <v>0</v>
      </c>
      <c r="K198" s="10">
        <v>0</v>
      </c>
      <c r="L198" s="10">
        <v>0</v>
      </c>
      <c r="M198" s="10">
        <f>E198+K198-I198-J198-L198</f>
        <v>926.0852255229902</v>
      </c>
    </row>
    <row r="199" spans="1:13" ht="25" customHeight="1">
      <c r="A199" s="6" t="s">
        <v>78</v>
      </c>
      <c r="B199" s="7" t="s">
        <v>397</v>
      </c>
      <c r="C199" s="7" t="s">
        <v>395</v>
      </c>
      <c r="D199" s="23">
        <v>4</v>
      </c>
      <c r="E199" s="9">
        <v>49.86942841697623</v>
      </c>
      <c r="F199" s="25">
        <v>0.0575</v>
      </c>
      <c r="G199" s="9">
        <v>2.867492133976134</v>
      </c>
      <c r="H199" s="9">
        <v>0</v>
      </c>
      <c r="I199" s="9">
        <v>0</v>
      </c>
      <c r="J199" s="9">
        <v>0</v>
      </c>
      <c r="K199" s="9">
        <v>543.4379678824184</v>
      </c>
      <c r="L199" s="9">
        <v>0</v>
      </c>
      <c r="M199" s="9">
        <f>E199+K199-I199-J199-L199</f>
        <v>593.3073962993947</v>
      </c>
    </row>
    <row r="200" spans="1:13" ht="25" customHeight="1">
      <c r="A200" s="3" t="s">
        <v>78</v>
      </c>
      <c r="B200" s="4" t="s">
        <v>397</v>
      </c>
      <c r="C200" s="4" t="s">
        <v>139</v>
      </c>
      <c r="D200" s="24">
        <v>5</v>
      </c>
      <c r="E200" s="10">
        <v>0</v>
      </c>
      <c r="F200" s="26">
        <v>0.038</v>
      </c>
      <c r="G200" s="10">
        <v>0</v>
      </c>
      <c r="H200" s="10">
        <v>0</v>
      </c>
      <c r="I200" s="10">
        <v>0</v>
      </c>
      <c r="J200" s="10">
        <v>0</v>
      </c>
      <c r="K200" s="10">
        <v>0</v>
      </c>
      <c r="L200" s="10">
        <v>0</v>
      </c>
      <c r="M200" s="10">
        <f>E200+K200-I200-J200-L200</f>
        <v>0.0</v>
      </c>
    </row>
    <row r="201" spans="1:13" ht="25" customHeight="1">
      <c r="A201" s="6" t="s">
        <v>78</v>
      </c>
      <c r="B201" s="7" t="s">
        <v>397</v>
      </c>
      <c r="C201" s="7" t="s">
        <v>153</v>
      </c>
      <c r="D201" s="23">
        <v>5</v>
      </c>
      <c r="E201" s="9">
        <v>16</v>
      </c>
      <c r="F201" s="25">
        <v>0.05</v>
      </c>
      <c r="G201" s="9">
        <v>0.8</v>
      </c>
      <c r="H201" s="9">
        <v>16</v>
      </c>
      <c r="I201" s="9">
        <v>16</v>
      </c>
      <c r="J201" s="9">
        <v>0</v>
      </c>
      <c r="K201" s="9">
        <v>0</v>
      </c>
      <c r="L201" s="9">
        <v>0</v>
      </c>
      <c r="M201" s="9">
        <f>E201+K201-I201-J201-L201</f>
        <v>0.0</v>
      </c>
    </row>
    <row r="202" spans="1:13" ht="25" customHeight="1">
      <c r="A202" s="3" t="s">
        <v>78</v>
      </c>
      <c r="B202" s="4" t="s">
        <v>397</v>
      </c>
      <c r="C202" s="4" t="s">
        <v>198</v>
      </c>
      <c r="D202" s="24">
        <v>5</v>
      </c>
      <c r="E202" s="10">
        <v>0</v>
      </c>
      <c r="F202" s="26">
        <v>0.0475</v>
      </c>
      <c r="G202" s="10">
        <v>0</v>
      </c>
      <c r="H202" s="10">
        <v>0</v>
      </c>
      <c r="I202" s="10">
        <v>0</v>
      </c>
      <c r="J202" s="10">
        <v>0</v>
      </c>
      <c r="K202" s="10">
        <v>0</v>
      </c>
      <c r="L202" s="10">
        <v>0</v>
      </c>
      <c r="M202" s="10">
        <f>E202+K202-I202-J202-L202</f>
        <v>0.0</v>
      </c>
    </row>
    <row r="203" spans="1:13" ht="25" customHeight="1">
      <c r="A203" s="6" t="s">
        <v>78</v>
      </c>
      <c r="B203" s="7" t="s">
        <v>397</v>
      </c>
      <c r="C203" s="7" t="s">
        <v>394</v>
      </c>
      <c r="D203" s="23">
        <v>5</v>
      </c>
      <c r="E203" s="9">
        <v>926.0852255229902</v>
      </c>
      <c r="F203" s="25">
        <v>0.06</v>
      </c>
      <c r="G203" s="9">
        <v>55.56511353137942</v>
      </c>
      <c r="H203" s="9">
        <v>926.0852255229902</v>
      </c>
      <c r="I203" s="9">
        <v>926.0852255229902</v>
      </c>
      <c r="J203" s="9">
        <v>0</v>
      </c>
      <c r="K203" s="9">
        <v>0</v>
      </c>
      <c r="L203" s="9">
        <v>0</v>
      </c>
      <c r="M203" s="9">
        <f>E203+K203-I203-J203-L203</f>
        <v>0.0</v>
      </c>
    </row>
    <row r="204" spans="1:13" ht="25" customHeight="1">
      <c r="A204" s="3" t="s">
        <v>78</v>
      </c>
      <c r="B204" s="4" t="s">
        <v>397</v>
      </c>
      <c r="C204" s="4" t="s">
        <v>395</v>
      </c>
      <c r="D204" s="24">
        <v>5</v>
      </c>
      <c r="E204" s="10">
        <v>593.3073962993947</v>
      </c>
      <c r="F204" s="26">
        <v>0.0575</v>
      </c>
      <c r="G204" s="10">
        <v>34.11517528721519</v>
      </c>
      <c r="H204" s="10">
        <v>593.3073962993947</v>
      </c>
      <c r="I204" s="10">
        <v>254.0438369930093</v>
      </c>
      <c r="J204" s="10">
        <v>0</v>
      </c>
      <c r="K204" s="10">
        <v>0</v>
      </c>
      <c r="L204" s="10">
        <v>0</v>
      </c>
      <c r="M204" s="10">
        <f>E204+K204-I204-J204-L204</f>
        <v>339.26355930638533</v>
      </c>
    </row>
    <row r="205" spans="1:13" ht="25" customHeight="1">
      <c r="A205" s="6" t="s">
        <v>79</v>
      </c>
      <c r="B205" s="7" t="s">
        <v>397</v>
      </c>
      <c r="C205" s="7" t="s">
        <v>139</v>
      </c>
      <c r="D205" s="23">
        <v>1</v>
      </c>
      <c r="E205" s="9">
        <v>900</v>
      </c>
      <c r="F205" s="25">
        <v>0.038</v>
      </c>
      <c r="G205" s="9">
        <v>34.2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f>E205+K205-I205-J205-L205</f>
        <v>900.0</v>
      </c>
    </row>
    <row r="206" spans="1:13" ht="25" customHeight="1">
      <c r="A206" s="3" t="s">
        <v>79</v>
      </c>
      <c r="B206" s="4" t="s">
        <v>397</v>
      </c>
      <c r="C206" s="4" t="s">
        <v>153</v>
      </c>
      <c r="D206" s="24">
        <v>1</v>
      </c>
      <c r="E206" s="10">
        <v>80</v>
      </c>
      <c r="F206" s="26">
        <v>0.05</v>
      </c>
      <c r="G206" s="10">
        <v>4</v>
      </c>
      <c r="H206" s="10">
        <v>16</v>
      </c>
      <c r="I206" s="10">
        <v>16</v>
      </c>
      <c r="J206" s="10">
        <v>0</v>
      </c>
      <c r="K206" s="10">
        <v>0</v>
      </c>
      <c r="L206" s="10">
        <v>0</v>
      </c>
      <c r="M206" s="10">
        <f>E206+K206-I206-J206-L206</f>
        <v>64.0</v>
      </c>
    </row>
    <row r="207" spans="1:13" ht="25" customHeight="1">
      <c r="A207" s="6" t="s">
        <v>79</v>
      </c>
      <c r="B207" s="7" t="s">
        <v>397</v>
      </c>
      <c r="C207" s="7" t="s">
        <v>198</v>
      </c>
      <c r="D207" s="23">
        <v>1</v>
      </c>
      <c r="E207" s="9">
        <v>350</v>
      </c>
      <c r="F207" s="25">
        <v>0.0475</v>
      </c>
      <c r="G207" s="9">
        <v>16.625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f>E207+K207-I207-J207-L207</f>
        <v>350.0</v>
      </c>
    </row>
    <row r="208" spans="1:13" ht="25" customHeight="1">
      <c r="A208" s="3" t="s">
        <v>79</v>
      </c>
      <c r="B208" s="4" t="s">
        <v>397</v>
      </c>
      <c r="C208" s="4" t="s">
        <v>394</v>
      </c>
      <c r="D208" s="24">
        <v>1</v>
      </c>
      <c r="E208" s="10">
        <v>304.5685279187817</v>
      </c>
      <c r="F208" s="26">
        <v>0.065</v>
      </c>
      <c r="G208" s="10">
        <v>19.79695431472081</v>
      </c>
      <c r="H208" s="10">
        <v>6.091370558375635</v>
      </c>
      <c r="I208" s="10">
        <v>6.091370558375635</v>
      </c>
      <c r="J208" s="10">
        <v>187.6121979521581</v>
      </c>
      <c r="K208" s="10">
        <v>0</v>
      </c>
      <c r="L208" s="10">
        <v>0</v>
      </c>
      <c r="M208" s="10">
        <f>E208+K208-I208-J208-L208</f>
        <v>110.86495940824801</v>
      </c>
    </row>
    <row r="209" spans="1:13" ht="25" customHeight="1">
      <c r="A209" s="6" t="s">
        <v>79</v>
      </c>
      <c r="B209" s="7" t="s">
        <v>397</v>
      </c>
      <c r="C209" s="7" t="s">
        <v>395</v>
      </c>
      <c r="D209" s="23">
        <v>1</v>
      </c>
      <c r="E209" s="9">
        <v>0</v>
      </c>
      <c r="F209" s="25">
        <v>0.0625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f>E209+K209-I209-J209-L209</f>
        <v>0.0</v>
      </c>
    </row>
    <row r="210" spans="1:13" ht="25" customHeight="1">
      <c r="A210" s="3" t="s">
        <v>79</v>
      </c>
      <c r="B210" s="4" t="s">
        <v>397</v>
      </c>
      <c r="C210" s="4" t="s">
        <v>139</v>
      </c>
      <c r="D210" s="24">
        <v>2</v>
      </c>
      <c r="E210" s="10">
        <v>900</v>
      </c>
      <c r="F210" s="26">
        <v>0.038</v>
      </c>
      <c r="G210" s="10">
        <v>34.2</v>
      </c>
      <c r="H210" s="10">
        <v>0</v>
      </c>
      <c r="I210" s="10">
        <v>0</v>
      </c>
      <c r="J210" s="10">
        <v>0</v>
      </c>
      <c r="K210" s="10">
        <v>0</v>
      </c>
      <c r="L210" s="10">
        <v>0</v>
      </c>
      <c r="M210" s="10">
        <f>E210+K210-I210-J210-L210</f>
        <v>900.0</v>
      </c>
    </row>
    <row r="211" spans="1:13" ht="25" customHeight="1">
      <c r="A211" s="6" t="s">
        <v>79</v>
      </c>
      <c r="B211" s="7" t="s">
        <v>397</v>
      </c>
      <c r="C211" s="7" t="s">
        <v>153</v>
      </c>
      <c r="D211" s="23">
        <v>2</v>
      </c>
      <c r="E211" s="9">
        <v>64</v>
      </c>
      <c r="F211" s="25">
        <v>0.05</v>
      </c>
      <c r="G211" s="9">
        <v>3.2</v>
      </c>
      <c r="H211" s="9">
        <v>16</v>
      </c>
      <c r="I211" s="9">
        <v>16</v>
      </c>
      <c r="J211" s="9">
        <v>48</v>
      </c>
      <c r="K211" s="9">
        <v>0</v>
      </c>
      <c r="L211" s="9">
        <v>0</v>
      </c>
      <c r="M211" s="9">
        <f>E211+K211-I211-J211-L211</f>
        <v>0.0</v>
      </c>
    </row>
    <row r="212" spans="1:13" ht="25" customHeight="1">
      <c r="A212" s="3" t="s">
        <v>79</v>
      </c>
      <c r="B212" s="4" t="s">
        <v>397</v>
      </c>
      <c r="C212" s="4" t="s">
        <v>198</v>
      </c>
      <c r="D212" s="24">
        <v>2</v>
      </c>
      <c r="E212" s="10">
        <v>350</v>
      </c>
      <c r="F212" s="26">
        <v>0.0475</v>
      </c>
      <c r="G212" s="10">
        <v>16.625</v>
      </c>
      <c r="H212" s="10">
        <v>0</v>
      </c>
      <c r="I212" s="10">
        <v>0</v>
      </c>
      <c r="J212" s="10">
        <v>132.8494588044211</v>
      </c>
      <c r="K212" s="10">
        <v>0</v>
      </c>
      <c r="L212" s="10">
        <v>0</v>
      </c>
      <c r="M212" s="10">
        <f>E212+K212-I212-J212-L212</f>
        <v>217.1505411955789</v>
      </c>
    </row>
    <row r="213" spans="1:13" ht="25" customHeight="1">
      <c r="A213" s="6" t="s">
        <v>79</v>
      </c>
      <c r="B213" s="7" t="s">
        <v>397</v>
      </c>
      <c r="C213" s="7" t="s">
        <v>394</v>
      </c>
      <c r="D213" s="23">
        <v>2</v>
      </c>
      <c r="E213" s="9">
        <v>110.864959408248</v>
      </c>
      <c r="F213" s="25">
        <v>0.0625</v>
      </c>
      <c r="G213" s="9">
        <v>6.929059963015501</v>
      </c>
      <c r="H213" s="9">
        <v>6.091370558375635</v>
      </c>
      <c r="I213" s="9">
        <v>6.091370558375635</v>
      </c>
      <c r="J213" s="9">
        <v>104.7735888498724</v>
      </c>
      <c r="K213" s="9">
        <v>0</v>
      </c>
      <c r="L213" s="9">
        <v>0</v>
      </c>
      <c r="M213" s="9">
        <f>E213+K213-I213-J213-L213</f>
        <v>0.0</v>
      </c>
    </row>
    <row r="214" spans="1:13" ht="25" customHeight="1">
      <c r="A214" s="3" t="s">
        <v>79</v>
      </c>
      <c r="B214" s="4" t="s">
        <v>397</v>
      </c>
      <c r="C214" s="4" t="s">
        <v>395</v>
      </c>
      <c r="D214" s="24">
        <v>2</v>
      </c>
      <c r="E214" s="10">
        <v>0</v>
      </c>
      <c r="F214" s="26">
        <v>0.06</v>
      </c>
      <c r="G214" s="10">
        <v>0</v>
      </c>
      <c r="H214" s="10">
        <v>0</v>
      </c>
      <c r="I214" s="10">
        <v>0</v>
      </c>
      <c r="J214" s="10">
        <v>0</v>
      </c>
      <c r="K214" s="10">
        <v>0</v>
      </c>
      <c r="L214" s="10">
        <v>0</v>
      </c>
      <c r="M214" s="10">
        <f>E214+K214-I214-J214-L214</f>
        <v>0.0</v>
      </c>
    </row>
    <row r="215" spans="1:13" ht="25" customHeight="1">
      <c r="A215" s="6" t="s">
        <v>79</v>
      </c>
      <c r="B215" s="7" t="s">
        <v>397</v>
      </c>
      <c r="C215" s="7" t="s">
        <v>139</v>
      </c>
      <c r="D215" s="23">
        <v>3</v>
      </c>
      <c r="E215" s="9">
        <v>900</v>
      </c>
      <c r="F215" s="25">
        <v>0.038</v>
      </c>
      <c r="G215" s="9">
        <v>34.2</v>
      </c>
      <c r="H215" s="9">
        <v>0</v>
      </c>
      <c r="I215" s="9">
        <v>0</v>
      </c>
      <c r="J215" s="9">
        <v>195.655663038882</v>
      </c>
      <c r="K215" s="9">
        <v>0</v>
      </c>
      <c r="L215" s="9">
        <v>0</v>
      </c>
      <c r="M215" s="9">
        <f>E215+K215-I215-J215-L215</f>
        <v>704.344336961118</v>
      </c>
    </row>
    <row r="216" spans="1:13" ht="25" customHeight="1">
      <c r="A216" s="3" t="s">
        <v>79</v>
      </c>
      <c r="B216" s="4" t="s">
        <v>397</v>
      </c>
      <c r="C216" s="4" t="s">
        <v>153</v>
      </c>
      <c r="D216" s="24">
        <v>3</v>
      </c>
      <c r="E216" s="10">
        <v>0</v>
      </c>
      <c r="F216" s="26">
        <v>0.05</v>
      </c>
      <c r="G216" s="10">
        <v>0</v>
      </c>
      <c r="H216" s="10">
        <v>0</v>
      </c>
      <c r="I216" s="10">
        <v>0</v>
      </c>
      <c r="J216" s="10">
        <v>0</v>
      </c>
      <c r="K216" s="10">
        <v>0</v>
      </c>
      <c r="L216" s="10">
        <v>0</v>
      </c>
      <c r="M216" s="10">
        <f>E216+K216-I216-J216-L216</f>
        <v>0.0</v>
      </c>
    </row>
    <row r="217" spans="1:13" ht="25" customHeight="1">
      <c r="A217" s="6" t="s">
        <v>79</v>
      </c>
      <c r="B217" s="7" t="s">
        <v>397</v>
      </c>
      <c r="C217" s="7" t="s">
        <v>198</v>
      </c>
      <c r="D217" s="23">
        <v>3</v>
      </c>
      <c r="E217" s="9">
        <v>217.1505411955789</v>
      </c>
      <c r="F217" s="25">
        <v>0.0475</v>
      </c>
      <c r="G217" s="9">
        <v>10.31465070679</v>
      </c>
      <c r="H217" s="9">
        <v>217.1505411955789</v>
      </c>
      <c r="I217" s="9">
        <v>217.1505411955789</v>
      </c>
      <c r="J217" s="9">
        <v>0</v>
      </c>
      <c r="K217" s="9">
        <v>0</v>
      </c>
      <c r="L217" s="9">
        <v>0</v>
      </c>
      <c r="M217" s="9">
        <f>E217+K217-I217-J217-L217</f>
        <v>0.0</v>
      </c>
    </row>
    <row r="218" spans="1:13" ht="25" customHeight="1">
      <c r="A218" s="3" t="s">
        <v>79</v>
      </c>
      <c r="B218" s="4" t="s">
        <v>397</v>
      </c>
      <c r="C218" s="4" t="s">
        <v>394</v>
      </c>
      <c r="D218" s="24">
        <v>3</v>
      </c>
      <c r="E218" s="10">
        <v>0</v>
      </c>
      <c r="F218" s="26">
        <v>0.06</v>
      </c>
      <c r="G218" s="10">
        <v>0</v>
      </c>
      <c r="H218" s="10">
        <v>0</v>
      </c>
      <c r="I218" s="10">
        <v>0</v>
      </c>
      <c r="J218" s="10">
        <v>0</v>
      </c>
      <c r="K218" s="10">
        <v>0</v>
      </c>
      <c r="L218" s="10">
        <v>0</v>
      </c>
      <c r="M218" s="10">
        <f>E218+K218-I218-J218-L218</f>
        <v>0.0</v>
      </c>
    </row>
    <row r="219" spans="1:13" ht="25" customHeight="1">
      <c r="A219" s="6" t="s">
        <v>79</v>
      </c>
      <c r="B219" s="7" t="s">
        <v>397</v>
      </c>
      <c r="C219" s="7" t="s">
        <v>395</v>
      </c>
      <c r="D219" s="23">
        <v>3</v>
      </c>
      <c r="E219" s="9">
        <v>0</v>
      </c>
      <c r="F219" s="25">
        <v>0.0575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f>E219+K219-I219-J219-L219</f>
        <v>0.0</v>
      </c>
    </row>
    <row r="220" spans="1:13" ht="25" customHeight="1">
      <c r="A220" s="3" t="s">
        <v>79</v>
      </c>
      <c r="B220" s="4" t="s">
        <v>397</v>
      </c>
      <c r="C220" s="4" t="s">
        <v>139</v>
      </c>
      <c r="D220" s="24">
        <v>4</v>
      </c>
      <c r="E220" s="10">
        <v>704.344336961118</v>
      </c>
      <c r="F220" s="26">
        <v>0.038</v>
      </c>
      <c r="G220" s="10">
        <v>26.76508480452248</v>
      </c>
      <c r="H220" s="10">
        <v>704.344336961118</v>
      </c>
      <c r="I220" s="10">
        <v>704.344336961118</v>
      </c>
      <c r="J220" s="10">
        <v>0</v>
      </c>
      <c r="K220" s="10">
        <v>0</v>
      </c>
      <c r="L220" s="10">
        <v>0</v>
      </c>
      <c r="M220" s="10">
        <f>E220+K220-I220-J220-L220</f>
        <v>0.0</v>
      </c>
    </row>
    <row r="221" spans="1:13" ht="25" customHeight="1">
      <c r="A221" s="6" t="s">
        <v>79</v>
      </c>
      <c r="B221" s="7" t="s">
        <v>397</v>
      </c>
      <c r="C221" s="7" t="s">
        <v>153</v>
      </c>
      <c r="D221" s="23">
        <v>4</v>
      </c>
      <c r="E221" s="9">
        <v>0</v>
      </c>
      <c r="F221" s="25">
        <v>0.05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0</v>
      </c>
      <c r="M221" s="9">
        <f>E221+K221-I221-J221-L221</f>
        <v>0.0</v>
      </c>
    </row>
    <row r="222" spans="1:13" ht="25" customHeight="1">
      <c r="A222" s="3" t="s">
        <v>79</v>
      </c>
      <c r="B222" s="4" t="s">
        <v>397</v>
      </c>
      <c r="C222" s="4" t="s">
        <v>198</v>
      </c>
      <c r="D222" s="24">
        <v>4</v>
      </c>
      <c r="E222" s="10">
        <v>0</v>
      </c>
      <c r="F222" s="26">
        <v>0.0475</v>
      </c>
      <c r="G222" s="10">
        <v>0</v>
      </c>
      <c r="H222" s="10">
        <v>0</v>
      </c>
      <c r="I222" s="10">
        <v>0</v>
      </c>
      <c r="J222" s="10">
        <v>0</v>
      </c>
      <c r="K222" s="10">
        <v>0</v>
      </c>
      <c r="L222" s="10">
        <v>0</v>
      </c>
      <c r="M222" s="10">
        <f>E222+K222-I222-J222-L222</f>
        <v>0.0</v>
      </c>
    </row>
    <row r="223" spans="1:13" ht="25" customHeight="1">
      <c r="A223" s="6" t="s">
        <v>79</v>
      </c>
      <c r="B223" s="7" t="s">
        <v>397</v>
      </c>
      <c r="C223" s="7" t="s">
        <v>394</v>
      </c>
      <c r="D223" s="23">
        <v>4</v>
      </c>
      <c r="E223" s="9">
        <v>0</v>
      </c>
      <c r="F223" s="25">
        <v>0.06</v>
      </c>
      <c r="G223" s="9">
        <v>0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f>E223+K223-I223-J223-L223</f>
        <v>0.0</v>
      </c>
    </row>
    <row r="224" spans="1:13" ht="25" customHeight="1">
      <c r="A224" s="3" t="s">
        <v>79</v>
      </c>
      <c r="B224" s="4" t="s">
        <v>397</v>
      </c>
      <c r="C224" s="4" t="s">
        <v>395</v>
      </c>
      <c r="D224" s="24">
        <v>4</v>
      </c>
      <c r="E224" s="10">
        <v>0</v>
      </c>
      <c r="F224" s="26">
        <v>0.0575</v>
      </c>
      <c r="G224" s="10">
        <v>0</v>
      </c>
      <c r="H224" s="10">
        <v>0</v>
      </c>
      <c r="I224" s="10">
        <v>0</v>
      </c>
      <c r="J224" s="10">
        <v>0</v>
      </c>
      <c r="K224" s="10">
        <v>234.7136438933428</v>
      </c>
      <c r="L224" s="10">
        <v>0</v>
      </c>
      <c r="M224" s="10">
        <f>E224+K224-I224-J224-L224</f>
        <v>234.7136438933428</v>
      </c>
    </row>
    <row r="225" spans="1:13" ht="25" customHeight="1">
      <c r="A225" s="6" t="s">
        <v>79</v>
      </c>
      <c r="B225" s="7" t="s">
        <v>397</v>
      </c>
      <c r="C225" s="7" t="s">
        <v>139</v>
      </c>
      <c r="D225" s="23">
        <v>5</v>
      </c>
      <c r="E225" s="9">
        <v>0</v>
      </c>
      <c r="F225" s="25">
        <v>0.038</v>
      </c>
      <c r="G225" s="9">
        <v>0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f>E225+K225-I225-J225-L225</f>
        <v>0.0</v>
      </c>
    </row>
    <row r="226" spans="1:13" ht="25" customHeight="1">
      <c r="A226" s="3" t="s">
        <v>79</v>
      </c>
      <c r="B226" s="4" t="s">
        <v>397</v>
      </c>
      <c r="C226" s="4" t="s">
        <v>153</v>
      </c>
      <c r="D226" s="24">
        <v>5</v>
      </c>
      <c r="E226" s="10">
        <v>0</v>
      </c>
      <c r="F226" s="26">
        <v>0.05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>
        <v>0</v>
      </c>
      <c r="M226" s="10">
        <f>E226+K226-I226-J226-L226</f>
        <v>0.0</v>
      </c>
    </row>
    <row r="227" spans="1:13" ht="25" customHeight="1">
      <c r="A227" s="6" t="s">
        <v>79</v>
      </c>
      <c r="B227" s="7" t="s">
        <v>397</v>
      </c>
      <c r="C227" s="7" t="s">
        <v>198</v>
      </c>
      <c r="D227" s="23">
        <v>5</v>
      </c>
      <c r="E227" s="9">
        <v>0</v>
      </c>
      <c r="F227" s="25">
        <v>0.0475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f>E227+K227-I227-J227-L227</f>
        <v>0.0</v>
      </c>
    </row>
    <row r="228" spans="1:13" ht="25" customHeight="1">
      <c r="A228" s="3" t="s">
        <v>79</v>
      </c>
      <c r="B228" s="4" t="s">
        <v>397</v>
      </c>
      <c r="C228" s="4" t="s">
        <v>394</v>
      </c>
      <c r="D228" s="24">
        <v>5</v>
      </c>
      <c r="E228" s="10">
        <v>0</v>
      </c>
      <c r="F228" s="26">
        <v>0.06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f>E228+K228-I228-J228-L228</f>
        <v>0.0</v>
      </c>
    </row>
    <row r="229" spans="1:13" ht="25" customHeight="1">
      <c r="A229" s="6" t="s">
        <v>79</v>
      </c>
      <c r="B229" s="7" t="s">
        <v>397</v>
      </c>
      <c r="C229" s="7" t="s">
        <v>395</v>
      </c>
      <c r="D229" s="23">
        <v>5</v>
      </c>
      <c r="E229" s="9">
        <v>234.7136438933428</v>
      </c>
      <c r="F229" s="25">
        <v>0.0575</v>
      </c>
      <c r="G229" s="9">
        <v>13.49603452386721</v>
      </c>
      <c r="H229" s="9">
        <v>234.7136438933428</v>
      </c>
      <c r="I229" s="9">
        <v>234.7136438933428</v>
      </c>
      <c r="J229" s="9">
        <v>0</v>
      </c>
      <c r="K229" s="9">
        <v>0</v>
      </c>
      <c r="L229" s="9">
        <v>0</v>
      </c>
      <c r="M229" s="9">
        <f>E229+K229-I229-J229-L229</f>
        <v>0.0</v>
      </c>
    </row>
    <row r="230" spans="1:13" ht="25" customHeight="1">
      <c r="A230" s="3" t="s">
        <v>68</v>
      </c>
      <c r="B230" s="4" t="s">
        <v>398</v>
      </c>
      <c r="C230" s="4" t="s">
        <v>139</v>
      </c>
      <c r="D230" s="24">
        <v>1</v>
      </c>
      <c r="E230" s="10">
        <v>900</v>
      </c>
      <c r="F230" s="26">
        <v>0.038</v>
      </c>
      <c r="G230" s="10">
        <v>34.2</v>
      </c>
      <c r="H230" s="10">
        <v>0</v>
      </c>
      <c r="I230" s="10">
        <v>0</v>
      </c>
      <c r="J230" s="10">
        <v>0</v>
      </c>
      <c r="K230" s="10">
        <v>0</v>
      </c>
      <c r="L230" s="10">
        <v>0</v>
      </c>
      <c r="M230" s="10">
        <f>E230+K230-I230-J230-L230</f>
        <v>900.0</v>
      </c>
    </row>
    <row r="231" spans="1:13" ht="25" customHeight="1">
      <c r="A231" s="6" t="s">
        <v>68</v>
      </c>
      <c r="B231" s="7" t="s">
        <v>398</v>
      </c>
      <c r="C231" s="7" t="s">
        <v>153</v>
      </c>
      <c r="D231" s="23">
        <v>1</v>
      </c>
      <c r="E231" s="9">
        <v>80</v>
      </c>
      <c r="F231" s="25">
        <v>0.05</v>
      </c>
      <c r="G231" s="9">
        <v>4</v>
      </c>
      <c r="H231" s="9">
        <v>16</v>
      </c>
      <c r="I231" s="9">
        <v>16</v>
      </c>
      <c r="J231" s="9">
        <v>0</v>
      </c>
      <c r="K231" s="9">
        <v>0</v>
      </c>
      <c r="L231" s="9">
        <v>0</v>
      </c>
      <c r="M231" s="9">
        <f>E231+K231-I231-J231-L231</f>
        <v>64.0</v>
      </c>
    </row>
    <row r="232" spans="1:13" ht="25" customHeight="1">
      <c r="A232" s="3" t="s">
        <v>68</v>
      </c>
      <c r="B232" s="4" t="s">
        <v>398</v>
      </c>
      <c r="C232" s="4" t="s">
        <v>198</v>
      </c>
      <c r="D232" s="24">
        <v>1</v>
      </c>
      <c r="E232" s="10">
        <v>350</v>
      </c>
      <c r="F232" s="26">
        <v>0.0475</v>
      </c>
      <c r="G232" s="10">
        <v>16.625</v>
      </c>
      <c r="H232" s="10">
        <v>0</v>
      </c>
      <c r="I232" s="10">
        <v>0</v>
      </c>
      <c r="J232" s="10">
        <v>0</v>
      </c>
      <c r="K232" s="10">
        <v>0</v>
      </c>
      <c r="L232" s="10">
        <v>0</v>
      </c>
      <c r="M232" s="10">
        <f>E232+K232-I232-J232-L232</f>
        <v>350.0</v>
      </c>
    </row>
    <row r="233" spans="1:13" ht="25" customHeight="1">
      <c r="A233" s="6" t="s">
        <v>68</v>
      </c>
      <c r="B233" s="7" t="s">
        <v>398</v>
      </c>
      <c r="C233" s="7" t="s">
        <v>394</v>
      </c>
      <c r="D233" s="23">
        <v>1</v>
      </c>
      <c r="E233" s="9">
        <v>1340.10152284264</v>
      </c>
      <c r="F233" s="25">
        <v>0.065</v>
      </c>
      <c r="G233" s="9">
        <v>87.10659898477158</v>
      </c>
      <c r="H233" s="9">
        <v>26.80203045685279</v>
      </c>
      <c r="I233" s="9">
        <v>26.80203045685279</v>
      </c>
      <c r="J233" s="9">
        <v>0</v>
      </c>
      <c r="K233" s="9">
        <v>0</v>
      </c>
      <c r="L233" s="9">
        <v>0</v>
      </c>
      <c r="M233" s="9">
        <f>E233+K233-I233-J233-L233</f>
        <v>1313.2994923857868</v>
      </c>
    </row>
    <row r="234" spans="1:13" ht="25" customHeight="1">
      <c r="A234" s="3" t="s">
        <v>68</v>
      </c>
      <c r="B234" s="4" t="s">
        <v>398</v>
      </c>
      <c r="C234" s="4" t="s">
        <v>395</v>
      </c>
      <c r="D234" s="24">
        <v>1</v>
      </c>
      <c r="E234" s="10">
        <v>0</v>
      </c>
      <c r="F234" s="26">
        <v>0.0625</v>
      </c>
      <c r="G234" s="10">
        <v>0</v>
      </c>
      <c r="H234" s="10">
        <v>0</v>
      </c>
      <c r="I234" s="10">
        <v>0</v>
      </c>
      <c r="J234" s="10">
        <v>0</v>
      </c>
      <c r="K234" s="10">
        <v>48.38103791460992</v>
      </c>
      <c r="L234" s="10">
        <v>0</v>
      </c>
      <c r="M234" s="10">
        <f>E234+K234-I234-J234-L234</f>
        <v>48.38103791460992</v>
      </c>
    </row>
    <row r="235" spans="1:13" ht="25" customHeight="1">
      <c r="A235" s="6" t="s">
        <v>68</v>
      </c>
      <c r="B235" s="7" t="s">
        <v>398</v>
      </c>
      <c r="C235" s="7" t="s">
        <v>139</v>
      </c>
      <c r="D235" s="23">
        <v>2</v>
      </c>
      <c r="E235" s="9">
        <v>900</v>
      </c>
      <c r="F235" s="25">
        <v>0.038</v>
      </c>
      <c r="G235" s="9">
        <v>34.2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f>E235+K235-I235-J235-L235</f>
        <v>900.0</v>
      </c>
    </row>
    <row r="236" spans="1:13" ht="25" customHeight="1">
      <c r="A236" s="3" t="s">
        <v>68</v>
      </c>
      <c r="B236" s="4" t="s">
        <v>398</v>
      </c>
      <c r="C236" s="4" t="s">
        <v>153</v>
      </c>
      <c r="D236" s="24">
        <v>2</v>
      </c>
      <c r="E236" s="10">
        <v>64</v>
      </c>
      <c r="F236" s="26">
        <v>0.05</v>
      </c>
      <c r="G236" s="10">
        <v>3.2</v>
      </c>
      <c r="H236" s="10">
        <v>16</v>
      </c>
      <c r="I236" s="10">
        <v>16</v>
      </c>
      <c r="J236" s="10">
        <v>0</v>
      </c>
      <c r="K236" s="10">
        <v>0</v>
      </c>
      <c r="L236" s="10">
        <v>0</v>
      </c>
      <c r="M236" s="10">
        <f>E236+K236-I236-J236-L236</f>
        <v>48.0</v>
      </c>
    </row>
    <row r="237" spans="1:13" ht="25" customHeight="1">
      <c r="A237" s="6" t="s">
        <v>68</v>
      </c>
      <c r="B237" s="7" t="s">
        <v>398</v>
      </c>
      <c r="C237" s="7" t="s">
        <v>198</v>
      </c>
      <c r="D237" s="23">
        <v>2</v>
      </c>
      <c r="E237" s="9">
        <v>350</v>
      </c>
      <c r="F237" s="25">
        <v>0.0475</v>
      </c>
      <c r="G237" s="9">
        <v>16.625</v>
      </c>
      <c r="H237" s="9">
        <v>0</v>
      </c>
      <c r="I237" s="9">
        <v>0</v>
      </c>
      <c r="J237" s="9">
        <v>0</v>
      </c>
      <c r="K237" s="9">
        <v>0</v>
      </c>
      <c r="L237" s="9">
        <v>0</v>
      </c>
      <c r="M237" s="9">
        <f>E237+K237-I237-J237-L237</f>
        <v>350.0</v>
      </c>
    </row>
    <row r="238" spans="1:13" ht="25" customHeight="1">
      <c r="A238" s="3" t="s">
        <v>68</v>
      </c>
      <c r="B238" s="4" t="s">
        <v>398</v>
      </c>
      <c r="C238" s="4" t="s">
        <v>394</v>
      </c>
      <c r="D238" s="24">
        <v>2</v>
      </c>
      <c r="E238" s="10">
        <v>1313.299492385787</v>
      </c>
      <c r="F238" s="26">
        <v>0.0625</v>
      </c>
      <c r="G238" s="10">
        <v>82.08121827411168</v>
      </c>
      <c r="H238" s="10">
        <v>26.80203045685279</v>
      </c>
      <c r="I238" s="10">
        <v>26.80203045685279</v>
      </c>
      <c r="J238" s="10">
        <v>279.9450758400818</v>
      </c>
      <c r="K238" s="10">
        <v>0</v>
      </c>
      <c r="L238" s="10">
        <v>0</v>
      </c>
      <c r="M238" s="10">
        <f>E238+K238-I238-J238-L238</f>
        <v>1006.5523860888521</v>
      </c>
    </row>
    <row r="239" spans="1:13" ht="25" customHeight="1">
      <c r="A239" s="6" t="s">
        <v>68</v>
      </c>
      <c r="B239" s="7" t="s">
        <v>398</v>
      </c>
      <c r="C239" s="7" t="s">
        <v>395</v>
      </c>
      <c r="D239" s="23">
        <v>2</v>
      </c>
      <c r="E239" s="9">
        <v>48.38103791460992</v>
      </c>
      <c r="F239" s="25">
        <v>0.06</v>
      </c>
      <c r="G239" s="9">
        <v>2.902862274876595</v>
      </c>
      <c r="H239" s="9">
        <v>0</v>
      </c>
      <c r="I239" s="9">
        <v>0</v>
      </c>
      <c r="J239" s="9">
        <v>48.38103791460992</v>
      </c>
      <c r="K239" s="9">
        <v>0</v>
      </c>
      <c r="L239" s="9">
        <v>0</v>
      </c>
      <c r="M239" s="9">
        <f>E239+K239-I239-J239-L239</f>
        <v>0.0</v>
      </c>
    </row>
    <row r="240" spans="1:13" ht="25" customHeight="1">
      <c r="A240" s="3" t="s">
        <v>68</v>
      </c>
      <c r="B240" s="4" t="s">
        <v>398</v>
      </c>
      <c r="C240" s="4" t="s">
        <v>139</v>
      </c>
      <c r="D240" s="24">
        <v>3</v>
      </c>
      <c r="E240" s="10">
        <v>900</v>
      </c>
      <c r="F240" s="26">
        <v>0.038</v>
      </c>
      <c r="G240" s="10">
        <v>34.2</v>
      </c>
      <c r="H240" s="10">
        <v>0</v>
      </c>
      <c r="I240" s="10">
        <v>0</v>
      </c>
      <c r="J240" s="10">
        <v>0</v>
      </c>
      <c r="K240" s="10">
        <v>0</v>
      </c>
      <c r="L240" s="10">
        <v>0</v>
      </c>
      <c r="M240" s="10">
        <f>E240+K240-I240-J240-L240</f>
        <v>900.0</v>
      </c>
    </row>
    <row r="241" spans="1:13" ht="25" customHeight="1">
      <c r="A241" s="6" t="s">
        <v>68</v>
      </c>
      <c r="B241" s="7" t="s">
        <v>398</v>
      </c>
      <c r="C241" s="7" t="s">
        <v>153</v>
      </c>
      <c r="D241" s="23">
        <v>3</v>
      </c>
      <c r="E241" s="9">
        <v>48</v>
      </c>
      <c r="F241" s="25">
        <v>0.05</v>
      </c>
      <c r="G241" s="9">
        <v>2.4</v>
      </c>
      <c r="H241" s="9">
        <v>16</v>
      </c>
      <c r="I241" s="9">
        <v>16</v>
      </c>
      <c r="J241" s="9">
        <v>0</v>
      </c>
      <c r="K241" s="9">
        <v>0</v>
      </c>
      <c r="L241" s="9">
        <v>0</v>
      </c>
      <c r="M241" s="9">
        <f>E241+K241-I241-J241-L241</f>
        <v>32.0</v>
      </c>
    </row>
    <row r="242" spans="1:13" ht="25" customHeight="1">
      <c r="A242" s="3" t="s">
        <v>68</v>
      </c>
      <c r="B242" s="4" t="s">
        <v>398</v>
      </c>
      <c r="C242" s="4" t="s">
        <v>198</v>
      </c>
      <c r="D242" s="24">
        <v>3</v>
      </c>
      <c r="E242" s="10">
        <v>350</v>
      </c>
      <c r="F242" s="26">
        <v>0.0475</v>
      </c>
      <c r="G242" s="10">
        <v>16.625</v>
      </c>
      <c r="H242" s="10">
        <v>350</v>
      </c>
      <c r="I242" s="10">
        <v>350</v>
      </c>
      <c r="J242" s="10">
        <v>0</v>
      </c>
      <c r="K242" s="10">
        <v>0</v>
      </c>
      <c r="L242" s="10">
        <v>0</v>
      </c>
      <c r="M242" s="10">
        <f>E242+K242-I242-J242-L242</f>
        <v>0.0</v>
      </c>
    </row>
    <row r="243" spans="1:13" ht="25" customHeight="1">
      <c r="A243" s="6" t="s">
        <v>68</v>
      </c>
      <c r="B243" s="7" t="s">
        <v>398</v>
      </c>
      <c r="C243" s="7" t="s">
        <v>394</v>
      </c>
      <c r="D243" s="23">
        <v>3</v>
      </c>
      <c r="E243" s="9">
        <v>1006.552386088852</v>
      </c>
      <c r="F243" s="25">
        <v>0.06</v>
      </c>
      <c r="G243" s="9">
        <v>60.39314316533113</v>
      </c>
      <c r="H243" s="9">
        <v>26.80203045685279</v>
      </c>
      <c r="I243" s="9">
        <v>26.80203045685279</v>
      </c>
      <c r="J243" s="9">
        <v>93.18042065801762</v>
      </c>
      <c r="K243" s="9">
        <v>0</v>
      </c>
      <c r="L243" s="9">
        <v>0</v>
      </c>
      <c r="M243" s="9">
        <f>E243+K243-I243-J243-L243</f>
        <v>886.5699349739817</v>
      </c>
    </row>
    <row r="244" spans="1:13" ht="25" customHeight="1">
      <c r="A244" s="3" t="s">
        <v>68</v>
      </c>
      <c r="B244" s="4" t="s">
        <v>398</v>
      </c>
      <c r="C244" s="4" t="s">
        <v>395</v>
      </c>
      <c r="D244" s="24">
        <v>3</v>
      </c>
      <c r="E244" s="10">
        <v>0</v>
      </c>
      <c r="F244" s="26">
        <v>0.0575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f>E244+K244-I244-J244-L244</f>
        <v>0.0</v>
      </c>
    </row>
    <row r="245" spans="1:13" ht="25" customHeight="1">
      <c r="A245" s="6" t="s">
        <v>68</v>
      </c>
      <c r="B245" s="7" t="s">
        <v>398</v>
      </c>
      <c r="C245" s="7" t="s">
        <v>139</v>
      </c>
      <c r="D245" s="23">
        <v>4</v>
      </c>
      <c r="E245" s="9">
        <v>900</v>
      </c>
      <c r="F245" s="25">
        <v>0.038</v>
      </c>
      <c r="G245" s="9">
        <v>34.2</v>
      </c>
      <c r="H245" s="9">
        <v>900</v>
      </c>
      <c r="I245" s="9">
        <v>900</v>
      </c>
      <c r="J245" s="9">
        <v>0</v>
      </c>
      <c r="K245" s="9">
        <v>0</v>
      </c>
      <c r="L245" s="9">
        <v>0</v>
      </c>
      <c r="M245" s="9">
        <f>E245+K245-I245-J245-L245</f>
        <v>0.0</v>
      </c>
    </row>
    <row r="246" spans="1:13" ht="25" customHeight="1">
      <c r="A246" s="3" t="s">
        <v>68</v>
      </c>
      <c r="B246" s="4" t="s">
        <v>398</v>
      </c>
      <c r="C246" s="4" t="s">
        <v>153</v>
      </c>
      <c r="D246" s="24">
        <v>4</v>
      </c>
      <c r="E246" s="10">
        <v>32</v>
      </c>
      <c r="F246" s="26">
        <v>0.05</v>
      </c>
      <c r="G246" s="10">
        <v>1.6</v>
      </c>
      <c r="H246" s="10">
        <v>16</v>
      </c>
      <c r="I246" s="10">
        <v>16</v>
      </c>
      <c r="J246" s="10">
        <v>0</v>
      </c>
      <c r="K246" s="10">
        <v>0</v>
      </c>
      <c r="L246" s="10">
        <v>0</v>
      </c>
      <c r="M246" s="10">
        <f>E246+K246-I246-J246-L246</f>
        <v>16.0</v>
      </c>
    </row>
    <row r="247" spans="1:13" ht="25" customHeight="1">
      <c r="A247" s="6" t="s">
        <v>68</v>
      </c>
      <c r="B247" s="7" t="s">
        <v>398</v>
      </c>
      <c r="C247" s="7" t="s">
        <v>198</v>
      </c>
      <c r="D247" s="23">
        <v>4</v>
      </c>
      <c r="E247" s="9">
        <v>0</v>
      </c>
      <c r="F247" s="25">
        <v>0.0475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f>E247+K247-I247-J247-L247</f>
        <v>0.0</v>
      </c>
    </row>
    <row r="248" spans="1:13" ht="25" customHeight="1">
      <c r="A248" s="3" t="s">
        <v>68</v>
      </c>
      <c r="B248" s="4" t="s">
        <v>398</v>
      </c>
      <c r="C248" s="4" t="s">
        <v>394</v>
      </c>
      <c r="D248" s="24">
        <v>4</v>
      </c>
      <c r="E248" s="10">
        <v>886.5699349739817</v>
      </c>
      <c r="F248" s="26">
        <v>0.06</v>
      </c>
      <c r="G248" s="10">
        <v>53.19419609843891</v>
      </c>
      <c r="H248" s="10">
        <v>26.80203045685279</v>
      </c>
      <c r="I248" s="10">
        <v>26.80203045685279</v>
      </c>
      <c r="J248" s="10">
        <v>0</v>
      </c>
      <c r="K248" s="10">
        <v>0</v>
      </c>
      <c r="L248" s="10">
        <v>0</v>
      </c>
      <c r="M248" s="10">
        <f>E248+K248-I248-J248-L248</f>
        <v>859.767904517129</v>
      </c>
    </row>
    <row r="249" spans="1:13" ht="25" customHeight="1">
      <c r="A249" s="6" t="s">
        <v>68</v>
      </c>
      <c r="B249" s="7" t="s">
        <v>398</v>
      </c>
      <c r="C249" s="7" t="s">
        <v>395</v>
      </c>
      <c r="D249" s="23">
        <v>4</v>
      </c>
      <c r="E249" s="9">
        <v>0</v>
      </c>
      <c r="F249" s="25">
        <v>0.0575</v>
      </c>
      <c r="G249" s="9">
        <v>0</v>
      </c>
      <c r="H249" s="9">
        <v>0</v>
      </c>
      <c r="I249" s="9">
        <v>0</v>
      </c>
      <c r="J249" s="9">
        <v>0</v>
      </c>
      <c r="K249" s="9">
        <v>391.7142079795919</v>
      </c>
      <c r="L249" s="9">
        <v>0</v>
      </c>
      <c r="M249" s="9">
        <f>E249+K249-I249-J249-L249</f>
        <v>391.71420797959195</v>
      </c>
    </row>
    <row r="250" spans="1:13" ht="25" customHeight="1">
      <c r="A250" s="3" t="s">
        <v>68</v>
      </c>
      <c r="B250" s="4" t="s">
        <v>398</v>
      </c>
      <c r="C250" s="4" t="s">
        <v>139</v>
      </c>
      <c r="D250" s="24">
        <v>5</v>
      </c>
      <c r="E250" s="10">
        <v>0</v>
      </c>
      <c r="F250" s="26">
        <v>0.038</v>
      </c>
      <c r="G250" s="10">
        <v>0</v>
      </c>
      <c r="H250" s="10">
        <v>0</v>
      </c>
      <c r="I250" s="10">
        <v>0</v>
      </c>
      <c r="J250" s="10">
        <v>0</v>
      </c>
      <c r="K250" s="10">
        <v>0</v>
      </c>
      <c r="L250" s="10">
        <v>0</v>
      </c>
      <c r="M250" s="10">
        <f>E250+K250-I250-J250-L250</f>
        <v>0.0</v>
      </c>
    </row>
    <row r="251" spans="1:13" ht="25" customHeight="1">
      <c r="A251" s="6" t="s">
        <v>68</v>
      </c>
      <c r="B251" s="7" t="s">
        <v>398</v>
      </c>
      <c r="C251" s="7" t="s">
        <v>153</v>
      </c>
      <c r="D251" s="23">
        <v>5</v>
      </c>
      <c r="E251" s="9">
        <v>16</v>
      </c>
      <c r="F251" s="25">
        <v>0.05</v>
      </c>
      <c r="G251" s="9">
        <v>0.8</v>
      </c>
      <c r="H251" s="9">
        <v>16</v>
      </c>
      <c r="I251" s="9">
        <v>16</v>
      </c>
      <c r="J251" s="9">
        <v>0</v>
      </c>
      <c r="K251" s="9">
        <v>0</v>
      </c>
      <c r="L251" s="9">
        <v>0</v>
      </c>
      <c r="M251" s="9">
        <f>E251+K251-I251-J251-L251</f>
        <v>0.0</v>
      </c>
    </row>
    <row r="252" spans="1:13" ht="25" customHeight="1">
      <c r="A252" s="3" t="s">
        <v>68</v>
      </c>
      <c r="B252" s="4" t="s">
        <v>398</v>
      </c>
      <c r="C252" s="4" t="s">
        <v>198</v>
      </c>
      <c r="D252" s="24">
        <v>5</v>
      </c>
      <c r="E252" s="10">
        <v>0</v>
      </c>
      <c r="F252" s="26">
        <v>0.0475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f>E252+K252-I252-J252-L252</f>
        <v>0.0</v>
      </c>
    </row>
    <row r="253" spans="1:13" ht="25" customHeight="1">
      <c r="A253" s="6" t="s">
        <v>68</v>
      </c>
      <c r="B253" s="7" t="s">
        <v>398</v>
      </c>
      <c r="C253" s="7" t="s">
        <v>394</v>
      </c>
      <c r="D253" s="23">
        <v>5</v>
      </c>
      <c r="E253" s="9">
        <v>859.767904517129</v>
      </c>
      <c r="F253" s="25">
        <v>0.06</v>
      </c>
      <c r="G253" s="9">
        <v>51.58607427102774</v>
      </c>
      <c r="H253" s="9">
        <v>859.767904517129</v>
      </c>
      <c r="I253" s="9">
        <v>859.767904517129</v>
      </c>
      <c r="J253" s="9">
        <v>0</v>
      </c>
      <c r="K253" s="9">
        <v>0</v>
      </c>
      <c r="L253" s="9">
        <v>0</v>
      </c>
      <c r="M253" s="9">
        <f>E253+K253-I253-J253-L253</f>
        <v>0.0</v>
      </c>
    </row>
    <row r="254" spans="1:13" ht="25" customHeight="1">
      <c r="A254" s="3" t="s">
        <v>68</v>
      </c>
      <c r="B254" s="4" t="s">
        <v>398</v>
      </c>
      <c r="C254" s="4" t="s">
        <v>395</v>
      </c>
      <c r="D254" s="24">
        <v>5</v>
      </c>
      <c r="E254" s="10">
        <v>391.7142079795919</v>
      </c>
      <c r="F254" s="26">
        <v>0.0575</v>
      </c>
      <c r="G254" s="10">
        <v>22.52356695882654</v>
      </c>
      <c r="H254" s="10">
        <v>391.7142079795919</v>
      </c>
      <c r="I254" s="10">
        <v>391.7142079795919</v>
      </c>
      <c r="J254" s="10">
        <v>0</v>
      </c>
      <c r="K254" s="10">
        <v>0</v>
      </c>
      <c r="L254" s="10">
        <v>0</v>
      </c>
      <c r="M254" s="10">
        <f>E254+K254-I254-J254-L254</f>
        <v>0.0</v>
      </c>
    </row>
    <row r="255" spans="1:13" ht="25" customHeight="1">
      <c r="A255" s="6" t="s">
        <v>78</v>
      </c>
      <c r="B255" s="7" t="s">
        <v>398</v>
      </c>
      <c r="C255" s="7" t="s">
        <v>139</v>
      </c>
      <c r="D255" s="23">
        <v>1</v>
      </c>
      <c r="E255" s="9">
        <v>900</v>
      </c>
      <c r="F255" s="25">
        <v>0.038</v>
      </c>
      <c r="G255" s="9">
        <v>34.2</v>
      </c>
      <c r="H255" s="9">
        <v>0</v>
      </c>
      <c r="I255" s="9">
        <v>0</v>
      </c>
      <c r="J255" s="9">
        <v>0</v>
      </c>
      <c r="K255" s="9">
        <v>0</v>
      </c>
      <c r="L255" s="9">
        <v>0</v>
      </c>
      <c r="M255" s="9">
        <f>E255+K255-I255-J255-L255</f>
        <v>900.0</v>
      </c>
    </row>
    <row r="256" spans="1:13" ht="25" customHeight="1">
      <c r="A256" s="3" t="s">
        <v>78</v>
      </c>
      <c r="B256" s="4" t="s">
        <v>398</v>
      </c>
      <c r="C256" s="4" t="s">
        <v>153</v>
      </c>
      <c r="D256" s="24">
        <v>1</v>
      </c>
      <c r="E256" s="10">
        <v>80</v>
      </c>
      <c r="F256" s="26">
        <v>0.05</v>
      </c>
      <c r="G256" s="10">
        <v>4</v>
      </c>
      <c r="H256" s="10">
        <v>16</v>
      </c>
      <c r="I256" s="10">
        <v>16</v>
      </c>
      <c r="J256" s="10">
        <v>0</v>
      </c>
      <c r="K256" s="10">
        <v>0</v>
      </c>
      <c r="L256" s="10">
        <v>0</v>
      </c>
      <c r="M256" s="10">
        <f>E256+K256-I256-J256-L256</f>
        <v>64.0</v>
      </c>
    </row>
    <row r="257" spans="1:13" ht="25" customHeight="1">
      <c r="A257" s="6" t="s">
        <v>78</v>
      </c>
      <c r="B257" s="7" t="s">
        <v>398</v>
      </c>
      <c r="C257" s="7" t="s">
        <v>198</v>
      </c>
      <c r="D257" s="23">
        <v>1</v>
      </c>
      <c r="E257" s="9">
        <v>350</v>
      </c>
      <c r="F257" s="25">
        <v>0.0475</v>
      </c>
      <c r="G257" s="9">
        <v>16.625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f>E257+K257-I257-J257-L257</f>
        <v>350.0</v>
      </c>
    </row>
    <row r="258" spans="1:13" ht="25" customHeight="1">
      <c r="A258" s="3" t="s">
        <v>78</v>
      </c>
      <c r="B258" s="4" t="s">
        <v>398</v>
      </c>
      <c r="C258" s="4" t="s">
        <v>394</v>
      </c>
      <c r="D258" s="24">
        <v>1</v>
      </c>
      <c r="E258" s="10">
        <v>2223.350253807107</v>
      </c>
      <c r="F258" s="26">
        <v>0.065</v>
      </c>
      <c r="G258" s="10">
        <v>144.5177664974619</v>
      </c>
      <c r="H258" s="10">
        <v>44.46700507614213</v>
      </c>
      <c r="I258" s="10">
        <v>44.46700507614213</v>
      </c>
      <c r="J258" s="10">
        <v>760.895611831583</v>
      </c>
      <c r="K258" s="10">
        <v>0</v>
      </c>
      <c r="L258" s="10">
        <v>0</v>
      </c>
      <c r="M258" s="10">
        <f>E258+K258-I258-J258-L258</f>
        <v>1417.9876368993816</v>
      </c>
    </row>
    <row r="259" spans="1:13" ht="25" customHeight="1">
      <c r="A259" s="6" t="s">
        <v>78</v>
      </c>
      <c r="B259" s="7" t="s">
        <v>398</v>
      </c>
      <c r="C259" s="7" t="s">
        <v>395</v>
      </c>
      <c r="D259" s="23">
        <v>1</v>
      </c>
      <c r="E259" s="9">
        <v>0</v>
      </c>
      <c r="F259" s="25">
        <v>0.0625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f>E259+K259-I259-J259-L259</f>
        <v>0.0</v>
      </c>
    </row>
    <row r="260" spans="1:13" ht="25" customHeight="1">
      <c r="A260" s="3" t="s">
        <v>78</v>
      </c>
      <c r="B260" s="4" t="s">
        <v>398</v>
      </c>
      <c r="C260" s="4" t="s">
        <v>139</v>
      </c>
      <c r="D260" s="24">
        <v>2</v>
      </c>
      <c r="E260" s="10">
        <v>900</v>
      </c>
      <c r="F260" s="26">
        <v>0.038</v>
      </c>
      <c r="G260" s="10">
        <v>34.2</v>
      </c>
      <c r="H260" s="10">
        <v>0</v>
      </c>
      <c r="I260" s="10">
        <v>0</v>
      </c>
      <c r="J260" s="10">
        <v>0</v>
      </c>
      <c r="K260" s="10">
        <v>0</v>
      </c>
      <c r="L260" s="10">
        <v>0</v>
      </c>
      <c r="M260" s="10">
        <f>E260+K260-I260-J260-L260</f>
        <v>900.0</v>
      </c>
    </row>
    <row r="261" spans="1:13" ht="25" customHeight="1">
      <c r="A261" s="6" t="s">
        <v>78</v>
      </c>
      <c r="B261" s="7" t="s">
        <v>398</v>
      </c>
      <c r="C261" s="7" t="s">
        <v>153</v>
      </c>
      <c r="D261" s="23">
        <v>2</v>
      </c>
      <c r="E261" s="9">
        <v>64</v>
      </c>
      <c r="F261" s="25">
        <v>0.05</v>
      </c>
      <c r="G261" s="9">
        <v>3.2</v>
      </c>
      <c r="H261" s="9">
        <v>16</v>
      </c>
      <c r="I261" s="9">
        <v>16</v>
      </c>
      <c r="J261" s="9">
        <v>0</v>
      </c>
      <c r="K261" s="9">
        <v>0</v>
      </c>
      <c r="L261" s="9">
        <v>0</v>
      </c>
      <c r="M261" s="9">
        <f>E261+K261-I261-J261-L261</f>
        <v>48.0</v>
      </c>
    </row>
    <row r="262" spans="1:13" ht="25" customHeight="1">
      <c r="A262" s="3" t="s">
        <v>78</v>
      </c>
      <c r="B262" s="4" t="s">
        <v>398</v>
      </c>
      <c r="C262" s="4" t="s">
        <v>198</v>
      </c>
      <c r="D262" s="24">
        <v>2</v>
      </c>
      <c r="E262" s="10">
        <v>350</v>
      </c>
      <c r="F262" s="26">
        <v>0.0475</v>
      </c>
      <c r="G262" s="10">
        <v>16.625</v>
      </c>
      <c r="H262" s="10">
        <v>0</v>
      </c>
      <c r="I262" s="10">
        <v>0</v>
      </c>
      <c r="J262" s="10">
        <v>0</v>
      </c>
      <c r="K262" s="10">
        <v>0</v>
      </c>
      <c r="L262" s="10">
        <v>0</v>
      </c>
      <c r="M262" s="10">
        <f>E262+K262-I262-J262-L262</f>
        <v>350.0</v>
      </c>
    </row>
    <row r="263" spans="1:13" ht="25" customHeight="1">
      <c r="A263" s="6" t="s">
        <v>78</v>
      </c>
      <c r="B263" s="7" t="s">
        <v>398</v>
      </c>
      <c r="C263" s="7" t="s">
        <v>394</v>
      </c>
      <c r="D263" s="23">
        <v>2</v>
      </c>
      <c r="E263" s="9">
        <v>1417.987636899382</v>
      </c>
      <c r="F263" s="25">
        <v>0.0625</v>
      </c>
      <c r="G263" s="9">
        <v>88.62422730621135</v>
      </c>
      <c r="H263" s="9">
        <v>44.46700507614213</v>
      </c>
      <c r="I263" s="9">
        <v>44.46700507614213</v>
      </c>
      <c r="J263" s="9">
        <v>307.9310290674853</v>
      </c>
      <c r="K263" s="9">
        <v>0</v>
      </c>
      <c r="L263" s="9">
        <v>0</v>
      </c>
      <c r="M263" s="9">
        <f>E263+K263-I263-J263-L263</f>
        <v>1065.5896027557542</v>
      </c>
    </row>
    <row r="264" spans="1:13" ht="25" customHeight="1">
      <c r="A264" s="3" t="s">
        <v>78</v>
      </c>
      <c r="B264" s="4" t="s">
        <v>398</v>
      </c>
      <c r="C264" s="4" t="s">
        <v>395</v>
      </c>
      <c r="D264" s="24">
        <v>2</v>
      </c>
      <c r="E264" s="10">
        <v>0</v>
      </c>
      <c r="F264" s="26">
        <v>0.06</v>
      </c>
      <c r="G264" s="10">
        <v>0</v>
      </c>
      <c r="H264" s="10">
        <v>0</v>
      </c>
      <c r="I264" s="10">
        <v>0</v>
      </c>
      <c r="J264" s="10">
        <v>0</v>
      </c>
      <c r="K264" s="10">
        <v>0</v>
      </c>
      <c r="L264" s="10">
        <v>0</v>
      </c>
      <c r="M264" s="10">
        <f>E264+K264-I264-J264-L264</f>
        <v>0.0</v>
      </c>
    </row>
    <row r="265" spans="1:13" ht="25" customHeight="1">
      <c r="A265" s="6" t="s">
        <v>78</v>
      </c>
      <c r="B265" s="7" t="s">
        <v>398</v>
      </c>
      <c r="C265" s="7" t="s">
        <v>139</v>
      </c>
      <c r="D265" s="23">
        <v>3</v>
      </c>
      <c r="E265" s="9">
        <v>900</v>
      </c>
      <c r="F265" s="25">
        <v>0.038</v>
      </c>
      <c r="G265" s="9">
        <v>34.2</v>
      </c>
      <c r="H265" s="9">
        <v>0</v>
      </c>
      <c r="I265" s="9">
        <v>0</v>
      </c>
      <c r="J265" s="9">
        <v>0</v>
      </c>
      <c r="K265" s="9">
        <v>0</v>
      </c>
      <c r="L265" s="9">
        <v>0</v>
      </c>
      <c r="M265" s="9">
        <f>E265+K265-I265-J265-L265</f>
        <v>900.0</v>
      </c>
    </row>
    <row r="266" spans="1:13" ht="25" customHeight="1">
      <c r="A266" s="3" t="s">
        <v>78</v>
      </c>
      <c r="B266" s="4" t="s">
        <v>398</v>
      </c>
      <c r="C266" s="4" t="s">
        <v>153</v>
      </c>
      <c r="D266" s="24">
        <v>3</v>
      </c>
      <c r="E266" s="10">
        <v>48</v>
      </c>
      <c r="F266" s="26">
        <v>0.05</v>
      </c>
      <c r="G266" s="10">
        <v>2.4</v>
      </c>
      <c r="H266" s="10">
        <v>16</v>
      </c>
      <c r="I266" s="10">
        <v>16</v>
      </c>
      <c r="J266" s="10">
        <v>0</v>
      </c>
      <c r="K266" s="10">
        <v>0</v>
      </c>
      <c r="L266" s="10">
        <v>0</v>
      </c>
      <c r="M266" s="10">
        <f>E266+K266-I266-J266-L266</f>
        <v>32.0</v>
      </c>
    </row>
    <row r="267" spans="1:13" ht="25" customHeight="1">
      <c r="A267" s="6" t="s">
        <v>78</v>
      </c>
      <c r="B267" s="7" t="s">
        <v>398</v>
      </c>
      <c r="C267" s="7" t="s">
        <v>198</v>
      </c>
      <c r="D267" s="23">
        <v>3</v>
      </c>
      <c r="E267" s="9">
        <v>350</v>
      </c>
      <c r="F267" s="25">
        <v>0.0475</v>
      </c>
      <c r="G267" s="9">
        <v>16.625</v>
      </c>
      <c r="H267" s="9">
        <v>350</v>
      </c>
      <c r="I267" s="9">
        <v>350</v>
      </c>
      <c r="J267" s="9">
        <v>0</v>
      </c>
      <c r="K267" s="9">
        <v>0</v>
      </c>
      <c r="L267" s="9">
        <v>0</v>
      </c>
      <c r="M267" s="9">
        <f>E267+K267-I267-J267-L267</f>
        <v>0.0</v>
      </c>
    </row>
    <row r="268" spans="1:13" ht="25" customHeight="1">
      <c r="A268" s="3" t="s">
        <v>78</v>
      </c>
      <c r="B268" s="4" t="s">
        <v>398</v>
      </c>
      <c r="C268" s="4" t="s">
        <v>394</v>
      </c>
      <c r="D268" s="24">
        <v>3</v>
      </c>
      <c r="E268" s="10">
        <v>1065.589602755754</v>
      </c>
      <c r="F268" s="26">
        <v>0.06</v>
      </c>
      <c r="G268" s="10">
        <v>63.93537616534525</v>
      </c>
      <c r="H268" s="10">
        <v>44.46700507614213</v>
      </c>
      <c r="I268" s="10">
        <v>44.46700507614213</v>
      </c>
      <c r="J268" s="10">
        <v>72.85877128871812</v>
      </c>
      <c r="K268" s="10">
        <v>0</v>
      </c>
      <c r="L268" s="10">
        <v>0</v>
      </c>
      <c r="M268" s="10">
        <f>E268+K268-I268-J268-L268</f>
        <v>948.2638263908939</v>
      </c>
    </row>
    <row r="269" spans="1:13" ht="25" customHeight="1">
      <c r="A269" s="6" t="s">
        <v>78</v>
      </c>
      <c r="B269" s="7" t="s">
        <v>398</v>
      </c>
      <c r="C269" s="7" t="s">
        <v>395</v>
      </c>
      <c r="D269" s="23">
        <v>3</v>
      </c>
      <c r="E269" s="9">
        <v>0</v>
      </c>
      <c r="F269" s="25">
        <v>0.0575</v>
      </c>
      <c r="G269" s="9">
        <v>0</v>
      </c>
      <c r="H269" s="9">
        <v>0</v>
      </c>
      <c r="I269" s="9">
        <v>0</v>
      </c>
      <c r="J269" s="9">
        <v>0</v>
      </c>
      <c r="K269" s="9">
        <v>0</v>
      </c>
      <c r="L269" s="9">
        <v>0</v>
      </c>
      <c r="M269" s="9">
        <f>E269+K269-I269-J269-L269</f>
        <v>0.0</v>
      </c>
    </row>
    <row r="270" spans="1:13" ht="25" customHeight="1">
      <c r="A270" s="3" t="s">
        <v>78</v>
      </c>
      <c r="B270" s="4" t="s">
        <v>398</v>
      </c>
      <c r="C270" s="4" t="s">
        <v>139</v>
      </c>
      <c r="D270" s="24">
        <v>4</v>
      </c>
      <c r="E270" s="10">
        <v>900</v>
      </c>
      <c r="F270" s="26">
        <v>0.038</v>
      </c>
      <c r="G270" s="10">
        <v>34.2</v>
      </c>
      <c r="H270" s="10">
        <v>900</v>
      </c>
      <c r="I270" s="10">
        <v>900</v>
      </c>
      <c r="J270" s="10">
        <v>0</v>
      </c>
      <c r="K270" s="10">
        <v>0</v>
      </c>
      <c r="L270" s="10">
        <v>0</v>
      </c>
      <c r="M270" s="10">
        <f>E270+K270-I270-J270-L270</f>
        <v>0.0</v>
      </c>
    </row>
    <row r="271" spans="1:13" ht="25" customHeight="1">
      <c r="A271" s="6" t="s">
        <v>78</v>
      </c>
      <c r="B271" s="7" t="s">
        <v>398</v>
      </c>
      <c r="C271" s="7" t="s">
        <v>153</v>
      </c>
      <c r="D271" s="23">
        <v>4</v>
      </c>
      <c r="E271" s="9">
        <v>32</v>
      </c>
      <c r="F271" s="25">
        <v>0.05</v>
      </c>
      <c r="G271" s="9">
        <v>1.6</v>
      </c>
      <c r="H271" s="9">
        <v>16</v>
      </c>
      <c r="I271" s="9">
        <v>16</v>
      </c>
      <c r="J271" s="9">
        <v>0</v>
      </c>
      <c r="K271" s="9">
        <v>0</v>
      </c>
      <c r="L271" s="9">
        <v>0</v>
      </c>
      <c r="M271" s="9">
        <f>E271+K271-I271-J271-L271</f>
        <v>16.0</v>
      </c>
    </row>
    <row r="272" spans="1:13" ht="25" customHeight="1">
      <c r="A272" s="3" t="s">
        <v>78</v>
      </c>
      <c r="B272" s="4" t="s">
        <v>398</v>
      </c>
      <c r="C272" s="4" t="s">
        <v>198</v>
      </c>
      <c r="D272" s="24">
        <v>4</v>
      </c>
      <c r="E272" s="10">
        <v>0</v>
      </c>
      <c r="F272" s="26">
        <v>0.0475</v>
      </c>
      <c r="G272" s="10">
        <v>0</v>
      </c>
      <c r="H272" s="10">
        <v>0</v>
      </c>
      <c r="I272" s="10">
        <v>0</v>
      </c>
      <c r="J272" s="10">
        <v>0</v>
      </c>
      <c r="K272" s="10">
        <v>0</v>
      </c>
      <c r="L272" s="10">
        <v>0</v>
      </c>
      <c r="M272" s="10">
        <f>E272+K272-I272-J272-L272</f>
        <v>0.0</v>
      </c>
    </row>
    <row r="273" spans="1:13" ht="25" customHeight="1">
      <c r="A273" s="6" t="s">
        <v>78</v>
      </c>
      <c r="B273" s="7" t="s">
        <v>398</v>
      </c>
      <c r="C273" s="7" t="s">
        <v>394</v>
      </c>
      <c r="D273" s="23">
        <v>4</v>
      </c>
      <c r="E273" s="9">
        <v>948.2638263908939</v>
      </c>
      <c r="F273" s="25">
        <v>0.06</v>
      </c>
      <c r="G273" s="9">
        <v>56.89582958345364</v>
      </c>
      <c r="H273" s="9">
        <v>44.46700507614213</v>
      </c>
      <c r="I273" s="9">
        <v>44.46700507614213</v>
      </c>
      <c r="J273" s="9">
        <v>0</v>
      </c>
      <c r="K273" s="9">
        <v>0</v>
      </c>
      <c r="L273" s="9">
        <v>0</v>
      </c>
      <c r="M273" s="9">
        <f>E273+K273-I273-J273-L273</f>
        <v>903.7968213147517</v>
      </c>
    </row>
    <row r="274" spans="1:13" ht="25" customHeight="1">
      <c r="A274" s="3" t="s">
        <v>78</v>
      </c>
      <c r="B274" s="4" t="s">
        <v>398</v>
      </c>
      <c r="C274" s="4" t="s">
        <v>395</v>
      </c>
      <c r="D274" s="24">
        <v>4</v>
      </c>
      <c r="E274" s="10">
        <v>0</v>
      </c>
      <c r="F274" s="26">
        <v>0.0575</v>
      </c>
      <c r="G274" s="10">
        <v>0</v>
      </c>
      <c r="H274" s="10">
        <v>0</v>
      </c>
      <c r="I274" s="10">
        <v>0</v>
      </c>
      <c r="J274" s="10">
        <v>0</v>
      </c>
      <c r="K274" s="10">
        <v>412.1554077126425</v>
      </c>
      <c r="L274" s="10">
        <v>0</v>
      </c>
      <c r="M274" s="10">
        <f>E274+K274-I274-J274-L274</f>
        <v>412.1554077126425</v>
      </c>
    </row>
    <row r="275" spans="1:13" ht="25" customHeight="1">
      <c r="A275" s="6" t="s">
        <v>78</v>
      </c>
      <c r="B275" s="7" t="s">
        <v>398</v>
      </c>
      <c r="C275" s="7" t="s">
        <v>139</v>
      </c>
      <c r="D275" s="23">
        <v>5</v>
      </c>
      <c r="E275" s="9">
        <v>0</v>
      </c>
      <c r="F275" s="25">
        <v>0.038</v>
      </c>
      <c r="G275" s="9">
        <v>0</v>
      </c>
      <c r="H275" s="9">
        <v>0</v>
      </c>
      <c r="I275" s="9">
        <v>0</v>
      </c>
      <c r="J275" s="9">
        <v>0</v>
      </c>
      <c r="K275" s="9">
        <v>0</v>
      </c>
      <c r="L275" s="9">
        <v>0</v>
      </c>
      <c r="M275" s="9">
        <f>E275+K275-I275-J275-L275</f>
        <v>0.0</v>
      </c>
    </row>
    <row r="276" spans="1:13" ht="25" customHeight="1">
      <c r="A276" s="3" t="s">
        <v>78</v>
      </c>
      <c r="B276" s="4" t="s">
        <v>398</v>
      </c>
      <c r="C276" s="4" t="s">
        <v>153</v>
      </c>
      <c r="D276" s="24">
        <v>5</v>
      </c>
      <c r="E276" s="10">
        <v>16</v>
      </c>
      <c r="F276" s="26">
        <v>0.05</v>
      </c>
      <c r="G276" s="10">
        <v>0.8</v>
      </c>
      <c r="H276" s="10">
        <v>16</v>
      </c>
      <c r="I276" s="10">
        <v>16</v>
      </c>
      <c r="J276" s="10">
        <v>0</v>
      </c>
      <c r="K276" s="10">
        <v>0</v>
      </c>
      <c r="L276" s="10">
        <v>0</v>
      </c>
      <c r="M276" s="10">
        <f>E276+K276-I276-J276-L276</f>
        <v>0.0</v>
      </c>
    </row>
    <row r="277" spans="1:13" ht="25" customHeight="1">
      <c r="A277" s="6" t="s">
        <v>78</v>
      </c>
      <c r="B277" s="7" t="s">
        <v>398</v>
      </c>
      <c r="C277" s="7" t="s">
        <v>198</v>
      </c>
      <c r="D277" s="23">
        <v>5</v>
      </c>
      <c r="E277" s="9">
        <v>0</v>
      </c>
      <c r="F277" s="25">
        <v>0.0475</v>
      </c>
      <c r="G277" s="9">
        <v>0</v>
      </c>
      <c r="H277" s="9">
        <v>0</v>
      </c>
      <c r="I277" s="9">
        <v>0</v>
      </c>
      <c r="J277" s="9">
        <v>0</v>
      </c>
      <c r="K277" s="9">
        <v>0</v>
      </c>
      <c r="L277" s="9">
        <v>0</v>
      </c>
      <c r="M277" s="9">
        <f>E277+K277-I277-J277-L277</f>
        <v>0.0</v>
      </c>
    </row>
    <row r="278" spans="1:13" ht="25" customHeight="1">
      <c r="A278" s="3" t="s">
        <v>78</v>
      </c>
      <c r="B278" s="4" t="s">
        <v>398</v>
      </c>
      <c r="C278" s="4" t="s">
        <v>394</v>
      </c>
      <c r="D278" s="24">
        <v>5</v>
      </c>
      <c r="E278" s="10">
        <v>903.7968213147517</v>
      </c>
      <c r="F278" s="26">
        <v>0.06</v>
      </c>
      <c r="G278" s="10">
        <v>54.2278092788851</v>
      </c>
      <c r="H278" s="10">
        <v>903.7968213147517</v>
      </c>
      <c r="I278" s="10">
        <v>903.7968213147517</v>
      </c>
      <c r="J278" s="10">
        <v>0</v>
      </c>
      <c r="K278" s="10">
        <v>0</v>
      </c>
      <c r="L278" s="10">
        <v>0</v>
      </c>
      <c r="M278" s="10">
        <f>E278+K278-I278-J278-L278</f>
        <v>0.0</v>
      </c>
    </row>
    <row r="279" spans="1:13" ht="25" customHeight="1">
      <c r="A279" s="6" t="s">
        <v>78</v>
      </c>
      <c r="B279" s="7" t="s">
        <v>398</v>
      </c>
      <c r="C279" s="7" t="s">
        <v>395</v>
      </c>
      <c r="D279" s="23">
        <v>5</v>
      </c>
      <c r="E279" s="9">
        <v>412.1554077126425</v>
      </c>
      <c r="F279" s="25">
        <v>0.0575</v>
      </c>
      <c r="G279" s="9">
        <v>23.69893594347694</v>
      </c>
      <c r="H279" s="9">
        <v>412.1554077126425</v>
      </c>
      <c r="I279" s="9">
        <v>412.1554077126425</v>
      </c>
      <c r="J279" s="9">
        <v>0</v>
      </c>
      <c r="K279" s="9">
        <v>0</v>
      </c>
      <c r="L279" s="9">
        <v>0</v>
      </c>
      <c r="M279" s="9">
        <f>E279+K279-I279-J279-L279</f>
        <v>0.0</v>
      </c>
    </row>
    <row r="280" spans="1:13" ht="25" customHeight="1">
      <c r="A280" s="3" t="s">
        <v>79</v>
      </c>
      <c r="B280" s="4" t="s">
        <v>398</v>
      </c>
      <c r="C280" s="4" t="s">
        <v>139</v>
      </c>
      <c r="D280" s="24">
        <v>1</v>
      </c>
      <c r="E280" s="10">
        <v>900</v>
      </c>
      <c r="F280" s="26">
        <v>0.038</v>
      </c>
      <c r="G280" s="10">
        <v>34.2</v>
      </c>
      <c r="H280" s="10">
        <v>0</v>
      </c>
      <c r="I280" s="10">
        <v>0</v>
      </c>
      <c r="J280" s="10">
        <v>0</v>
      </c>
      <c r="K280" s="10">
        <v>0</v>
      </c>
      <c r="L280" s="10">
        <v>0</v>
      </c>
      <c r="M280" s="10">
        <f>E280+K280-I280-J280-L280</f>
        <v>900.0</v>
      </c>
    </row>
    <row r="281" spans="1:13" ht="25" customHeight="1">
      <c r="A281" s="6" t="s">
        <v>79</v>
      </c>
      <c r="B281" s="7" t="s">
        <v>398</v>
      </c>
      <c r="C281" s="7" t="s">
        <v>153</v>
      </c>
      <c r="D281" s="23">
        <v>1</v>
      </c>
      <c r="E281" s="9">
        <v>80</v>
      </c>
      <c r="F281" s="25">
        <v>0.05</v>
      </c>
      <c r="G281" s="9">
        <v>4</v>
      </c>
      <c r="H281" s="9">
        <v>16</v>
      </c>
      <c r="I281" s="9">
        <v>16</v>
      </c>
      <c r="J281" s="9">
        <v>0</v>
      </c>
      <c r="K281" s="9">
        <v>0</v>
      </c>
      <c r="L281" s="9">
        <v>0</v>
      </c>
      <c r="M281" s="9">
        <f>E281+K281-I281-J281-L281</f>
        <v>64.0</v>
      </c>
    </row>
    <row r="282" spans="1:13" ht="25" customHeight="1">
      <c r="A282" s="3" t="s">
        <v>79</v>
      </c>
      <c r="B282" s="4" t="s">
        <v>398</v>
      </c>
      <c r="C282" s="4" t="s">
        <v>198</v>
      </c>
      <c r="D282" s="24">
        <v>1</v>
      </c>
      <c r="E282" s="10">
        <v>350</v>
      </c>
      <c r="F282" s="26">
        <v>0.0475</v>
      </c>
      <c r="G282" s="10">
        <v>16.625</v>
      </c>
      <c r="H282" s="10">
        <v>0</v>
      </c>
      <c r="I282" s="10">
        <v>0</v>
      </c>
      <c r="J282" s="10">
        <v>0</v>
      </c>
      <c r="K282" s="10">
        <v>0</v>
      </c>
      <c r="L282" s="10">
        <v>0</v>
      </c>
      <c r="M282" s="10">
        <f>E282+K282-I282-J282-L282</f>
        <v>350.0</v>
      </c>
    </row>
    <row r="283" spans="1:13" ht="25" customHeight="1">
      <c r="A283" s="6" t="s">
        <v>79</v>
      </c>
      <c r="B283" s="7" t="s">
        <v>398</v>
      </c>
      <c r="C283" s="7" t="s">
        <v>394</v>
      </c>
      <c r="D283" s="23">
        <v>1</v>
      </c>
      <c r="E283" s="9">
        <v>304.5685279187817</v>
      </c>
      <c r="F283" s="25">
        <v>0.065</v>
      </c>
      <c r="G283" s="9">
        <v>19.79695431472081</v>
      </c>
      <c r="H283" s="9">
        <v>6.091370558375635</v>
      </c>
      <c r="I283" s="9">
        <v>6.091370558375635</v>
      </c>
      <c r="J283" s="9">
        <v>22.81185548640519</v>
      </c>
      <c r="K283" s="9">
        <v>0</v>
      </c>
      <c r="L283" s="9">
        <v>0</v>
      </c>
      <c r="M283" s="9">
        <f>E283+K283-I283-J283-L283</f>
        <v>275.66530187400093</v>
      </c>
    </row>
    <row r="284" spans="1:13" ht="25" customHeight="1">
      <c r="A284" s="3" t="s">
        <v>79</v>
      </c>
      <c r="B284" s="4" t="s">
        <v>398</v>
      </c>
      <c r="C284" s="4" t="s">
        <v>395</v>
      </c>
      <c r="D284" s="24">
        <v>1</v>
      </c>
      <c r="E284" s="10">
        <v>0</v>
      </c>
      <c r="F284" s="26">
        <v>0.0625</v>
      </c>
      <c r="G284" s="10">
        <v>0</v>
      </c>
      <c r="H284" s="10">
        <v>0</v>
      </c>
      <c r="I284" s="10">
        <v>0</v>
      </c>
      <c r="J284" s="10">
        <v>0</v>
      </c>
      <c r="K284" s="10">
        <v>0</v>
      </c>
      <c r="L284" s="10">
        <v>0</v>
      </c>
      <c r="M284" s="10">
        <f>E284+K284-I284-J284-L284</f>
        <v>0.0</v>
      </c>
    </row>
    <row r="285" spans="1:13" ht="25" customHeight="1">
      <c r="A285" s="6" t="s">
        <v>79</v>
      </c>
      <c r="B285" s="7" t="s">
        <v>398</v>
      </c>
      <c r="C285" s="7" t="s">
        <v>139</v>
      </c>
      <c r="D285" s="23">
        <v>2</v>
      </c>
      <c r="E285" s="9">
        <v>900</v>
      </c>
      <c r="F285" s="25">
        <v>0.038</v>
      </c>
      <c r="G285" s="9">
        <v>34.2</v>
      </c>
      <c r="H285" s="9">
        <v>0</v>
      </c>
      <c r="I285" s="9">
        <v>0</v>
      </c>
      <c r="J285" s="9">
        <v>0</v>
      </c>
      <c r="K285" s="9">
        <v>0</v>
      </c>
      <c r="L285" s="9">
        <v>0</v>
      </c>
      <c r="M285" s="9">
        <f>E285+K285-I285-J285-L285</f>
        <v>900.0</v>
      </c>
    </row>
    <row r="286" spans="1:13" ht="25" customHeight="1">
      <c r="A286" s="3" t="s">
        <v>79</v>
      </c>
      <c r="B286" s="4" t="s">
        <v>398</v>
      </c>
      <c r="C286" s="4" t="s">
        <v>153</v>
      </c>
      <c r="D286" s="24">
        <v>2</v>
      </c>
      <c r="E286" s="10">
        <v>64</v>
      </c>
      <c r="F286" s="26">
        <v>0.05</v>
      </c>
      <c r="G286" s="10">
        <v>3.2</v>
      </c>
      <c r="H286" s="10">
        <v>16</v>
      </c>
      <c r="I286" s="10">
        <v>16</v>
      </c>
      <c r="J286" s="10">
        <v>48</v>
      </c>
      <c r="K286" s="10">
        <v>0</v>
      </c>
      <c r="L286" s="10">
        <v>0</v>
      </c>
      <c r="M286" s="10">
        <f>E286+K286-I286-J286-L286</f>
        <v>0.0</v>
      </c>
    </row>
    <row r="287" spans="1:13" ht="25" customHeight="1">
      <c r="A287" s="6" t="s">
        <v>79</v>
      </c>
      <c r="B287" s="7" t="s">
        <v>398</v>
      </c>
      <c r="C287" s="7" t="s">
        <v>198</v>
      </c>
      <c r="D287" s="23">
        <v>2</v>
      </c>
      <c r="E287" s="9">
        <v>350</v>
      </c>
      <c r="F287" s="25">
        <v>0.0475</v>
      </c>
      <c r="G287" s="9">
        <v>16.625</v>
      </c>
      <c r="H287" s="9">
        <v>0</v>
      </c>
      <c r="I287" s="9">
        <v>0</v>
      </c>
      <c r="J287" s="9">
        <v>82.27909172394101</v>
      </c>
      <c r="K287" s="9">
        <v>0</v>
      </c>
      <c r="L287" s="9">
        <v>0</v>
      </c>
      <c r="M287" s="9">
        <f>E287+K287-I287-J287-L287</f>
        <v>267.720908276059</v>
      </c>
    </row>
    <row r="288" spans="1:13" ht="25" customHeight="1">
      <c r="A288" s="3" t="s">
        <v>79</v>
      </c>
      <c r="B288" s="4" t="s">
        <v>398</v>
      </c>
      <c r="C288" s="4" t="s">
        <v>394</v>
      </c>
      <c r="D288" s="24">
        <v>2</v>
      </c>
      <c r="E288" s="10">
        <v>275.6653018740009</v>
      </c>
      <c r="F288" s="26">
        <v>0.0625</v>
      </c>
      <c r="G288" s="10">
        <v>17.22908136712506</v>
      </c>
      <c r="H288" s="10">
        <v>6.091370558375635</v>
      </c>
      <c r="I288" s="10">
        <v>6.091370558375635</v>
      </c>
      <c r="J288" s="10">
        <v>269.5739313156253</v>
      </c>
      <c r="K288" s="10">
        <v>0</v>
      </c>
      <c r="L288" s="10">
        <v>0</v>
      </c>
      <c r="M288" s="10">
        <f>E288+K288-I288-J288-L288</f>
        <v>0.0</v>
      </c>
    </row>
    <row r="289" spans="1:13" ht="25" customHeight="1">
      <c r="A289" s="6" t="s">
        <v>79</v>
      </c>
      <c r="B289" s="7" t="s">
        <v>398</v>
      </c>
      <c r="C289" s="7" t="s">
        <v>395</v>
      </c>
      <c r="D289" s="23">
        <v>2</v>
      </c>
      <c r="E289" s="9">
        <v>0</v>
      </c>
      <c r="F289" s="25">
        <v>0.06</v>
      </c>
      <c r="G289" s="9">
        <v>0</v>
      </c>
      <c r="H289" s="9">
        <v>0</v>
      </c>
      <c r="I289" s="9">
        <v>0</v>
      </c>
      <c r="J289" s="9">
        <v>0</v>
      </c>
      <c r="K289" s="9">
        <v>0</v>
      </c>
      <c r="L289" s="9">
        <v>0</v>
      </c>
      <c r="M289" s="9">
        <f>E289+K289-I289-J289-L289</f>
        <v>0.0</v>
      </c>
    </row>
    <row r="290" spans="1:13" ht="25" customHeight="1">
      <c r="A290" s="3" t="s">
        <v>79</v>
      </c>
      <c r="B290" s="4" t="s">
        <v>398</v>
      </c>
      <c r="C290" s="4" t="s">
        <v>139</v>
      </c>
      <c r="D290" s="24">
        <v>3</v>
      </c>
      <c r="E290" s="10">
        <v>900</v>
      </c>
      <c r="F290" s="26">
        <v>0.038</v>
      </c>
      <c r="G290" s="10">
        <v>34.2</v>
      </c>
      <c r="H290" s="10">
        <v>0</v>
      </c>
      <c r="I290" s="10">
        <v>0</v>
      </c>
      <c r="J290" s="10">
        <v>268.2875928554756</v>
      </c>
      <c r="K290" s="10">
        <v>0</v>
      </c>
      <c r="L290" s="10">
        <v>0</v>
      </c>
      <c r="M290" s="10">
        <f>E290+K290-I290-J290-L290</f>
        <v>631.7124071445244</v>
      </c>
    </row>
    <row r="291" spans="1:13" ht="25" customHeight="1">
      <c r="A291" s="6" t="s">
        <v>79</v>
      </c>
      <c r="B291" s="7" t="s">
        <v>398</v>
      </c>
      <c r="C291" s="7" t="s">
        <v>153</v>
      </c>
      <c r="D291" s="23">
        <v>3</v>
      </c>
      <c r="E291" s="9">
        <v>0</v>
      </c>
      <c r="F291" s="25">
        <v>0.05</v>
      </c>
      <c r="G291" s="9">
        <v>0</v>
      </c>
      <c r="H291" s="9">
        <v>0</v>
      </c>
      <c r="I291" s="9">
        <v>0</v>
      </c>
      <c r="J291" s="9">
        <v>0</v>
      </c>
      <c r="K291" s="9">
        <v>0</v>
      </c>
      <c r="L291" s="9">
        <v>0</v>
      </c>
      <c r="M291" s="9">
        <f>E291+K291-I291-J291-L291</f>
        <v>0.0</v>
      </c>
    </row>
    <row r="292" spans="1:13" ht="25" customHeight="1">
      <c r="A292" s="3" t="s">
        <v>79</v>
      </c>
      <c r="B292" s="4" t="s">
        <v>398</v>
      </c>
      <c r="C292" s="4" t="s">
        <v>198</v>
      </c>
      <c r="D292" s="24">
        <v>3</v>
      </c>
      <c r="E292" s="10">
        <v>267.720908276059</v>
      </c>
      <c r="F292" s="26">
        <v>0.0475</v>
      </c>
      <c r="G292" s="10">
        <v>12.7167431431128</v>
      </c>
      <c r="H292" s="10">
        <v>267.720908276059</v>
      </c>
      <c r="I292" s="10">
        <v>267.720908276059</v>
      </c>
      <c r="J292" s="10">
        <v>0</v>
      </c>
      <c r="K292" s="10">
        <v>0</v>
      </c>
      <c r="L292" s="10">
        <v>0</v>
      </c>
      <c r="M292" s="10">
        <f>E292+K292-I292-J292-L292</f>
        <v>0.0</v>
      </c>
    </row>
    <row r="293" spans="1:13" ht="25" customHeight="1">
      <c r="A293" s="6" t="s">
        <v>79</v>
      </c>
      <c r="B293" s="7" t="s">
        <v>398</v>
      </c>
      <c r="C293" s="7" t="s">
        <v>394</v>
      </c>
      <c r="D293" s="23">
        <v>3</v>
      </c>
      <c r="E293" s="9">
        <v>0</v>
      </c>
      <c r="F293" s="25">
        <v>0.06</v>
      </c>
      <c r="G293" s="9">
        <v>0</v>
      </c>
      <c r="H293" s="9">
        <v>0</v>
      </c>
      <c r="I293" s="9">
        <v>0</v>
      </c>
      <c r="J293" s="9">
        <v>0</v>
      </c>
      <c r="K293" s="9">
        <v>0</v>
      </c>
      <c r="L293" s="9">
        <v>0</v>
      </c>
      <c r="M293" s="9">
        <f>E293+K293-I293-J293-L293</f>
        <v>0.0</v>
      </c>
    </row>
    <row r="294" spans="1:13" ht="25" customHeight="1">
      <c r="A294" s="3" t="s">
        <v>79</v>
      </c>
      <c r="B294" s="4" t="s">
        <v>398</v>
      </c>
      <c r="C294" s="4" t="s">
        <v>395</v>
      </c>
      <c r="D294" s="24">
        <v>3</v>
      </c>
      <c r="E294" s="10">
        <v>0</v>
      </c>
      <c r="F294" s="26">
        <v>0.0575</v>
      </c>
      <c r="G294" s="10">
        <v>0</v>
      </c>
      <c r="H294" s="10">
        <v>0</v>
      </c>
      <c r="I294" s="10">
        <v>0</v>
      </c>
      <c r="J294" s="10">
        <v>0</v>
      </c>
      <c r="K294" s="10">
        <v>0</v>
      </c>
      <c r="L294" s="10">
        <v>0</v>
      </c>
      <c r="M294" s="10">
        <f>E294+K294-I294-J294-L294</f>
        <v>0.0</v>
      </c>
    </row>
    <row r="295" spans="1:13" ht="25" customHeight="1">
      <c r="A295" s="6" t="s">
        <v>79</v>
      </c>
      <c r="B295" s="7" t="s">
        <v>398</v>
      </c>
      <c r="C295" s="7" t="s">
        <v>139</v>
      </c>
      <c r="D295" s="23">
        <v>4</v>
      </c>
      <c r="E295" s="9">
        <v>631.7124071445244</v>
      </c>
      <c r="F295" s="25">
        <v>0.038</v>
      </c>
      <c r="G295" s="9">
        <v>24.00507147149193</v>
      </c>
      <c r="H295" s="9">
        <v>631.7124071445244</v>
      </c>
      <c r="I295" s="9">
        <v>631.7124071445244</v>
      </c>
      <c r="J295" s="9">
        <v>0</v>
      </c>
      <c r="K295" s="9">
        <v>0</v>
      </c>
      <c r="L295" s="9">
        <v>0</v>
      </c>
      <c r="M295" s="9">
        <f>E295+K295-I295-J295-L295</f>
        <v>0.0</v>
      </c>
    </row>
    <row r="296" spans="1:13" ht="25" customHeight="1">
      <c r="A296" s="3" t="s">
        <v>79</v>
      </c>
      <c r="B296" s="4" t="s">
        <v>398</v>
      </c>
      <c r="C296" s="4" t="s">
        <v>153</v>
      </c>
      <c r="D296" s="24">
        <v>4</v>
      </c>
      <c r="E296" s="10">
        <v>0</v>
      </c>
      <c r="F296" s="26">
        <v>0.05</v>
      </c>
      <c r="G296" s="10">
        <v>0</v>
      </c>
      <c r="H296" s="10">
        <v>0</v>
      </c>
      <c r="I296" s="10">
        <v>0</v>
      </c>
      <c r="J296" s="10">
        <v>0</v>
      </c>
      <c r="K296" s="10">
        <v>0</v>
      </c>
      <c r="L296" s="10">
        <v>0</v>
      </c>
      <c r="M296" s="10">
        <f>E296+K296-I296-J296-L296</f>
        <v>0.0</v>
      </c>
    </row>
    <row r="297" spans="1:13" ht="25" customHeight="1">
      <c r="A297" s="6" t="s">
        <v>79</v>
      </c>
      <c r="B297" s="7" t="s">
        <v>398</v>
      </c>
      <c r="C297" s="7" t="s">
        <v>198</v>
      </c>
      <c r="D297" s="23">
        <v>4</v>
      </c>
      <c r="E297" s="9">
        <v>0</v>
      </c>
      <c r="F297" s="25">
        <v>0.0475</v>
      </c>
      <c r="G297" s="9">
        <v>0</v>
      </c>
      <c r="H297" s="9">
        <v>0</v>
      </c>
      <c r="I297" s="9">
        <v>0</v>
      </c>
      <c r="J297" s="9">
        <v>0</v>
      </c>
      <c r="K297" s="9">
        <v>0</v>
      </c>
      <c r="L297" s="9">
        <v>0</v>
      </c>
      <c r="M297" s="9">
        <f>E297+K297-I297-J297-L297</f>
        <v>0.0</v>
      </c>
    </row>
    <row r="298" spans="1:13" ht="25" customHeight="1">
      <c r="A298" s="3" t="s">
        <v>79</v>
      </c>
      <c r="B298" s="4" t="s">
        <v>398</v>
      </c>
      <c r="C298" s="4" t="s">
        <v>394</v>
      </c>
      <c r="D298" s="24">
        <v>4</v>
      </c>
      <c r="E298" s="10">
        <v>0</v>
      </c>
      <c r="F298" s="26">
        <v>0.06</v>
      </c>
      <c r="G298" s="10">
        <v>0</v>
      </c>
      <c r="H298" s="10">
        <v>0</v>
      </c>
      <c r="I298" s="10">
        <v>0</v>
      </c>
      <c r="J298" s="10">
        <v>0</v>
      </c>
      <c r="K298" s="10">
        <v>0</v>
      </c>
      <c r="L298" s="10">
        <v>0</v>
      </c>
      <c r="M298" s="10">
        <f>E298+K298-I298-J298-L298</f>
        <v>0.0</v>
      </c>
    </row>
    <row r="299" spans="1:13" ht="25" customHeight="1">
      <c r="A299" s="6" t="s">
        <v>79</v>
      </c>
      <c r="B299" s="7" t="s">
        <v>398</v>
      </c>
      <c r="C299" s="7" t="s">
        <v>395</v>
      </c>
      <c r="D299" s="23">
        <v>4</v>
      </c>
      <c r="E299" s="9">
        <v>0</v>
      </c>
      <c r="F299" s="25">
        <v>0.0575</v>
      </c>
      <c r="G299" s="9">
        <v>0</v>
      </c>
      <c r="H299" s="9">
        <v>0</v>
      </c>
      <c r="I299" s="9">
        <v>0</v>
      </c>
      <c r="J299" s="9">
        <v>0</v>
      </c>
      <c r="K299" s="9">
        <v>31.88274119705306</v>
      </c>
      <c r="L299" s="9">
        <v>0</v>
      </c>
      <c r="M299" s="9">
        <f>E299+K299-I299-J299-L299</f>
        <v>31.882741197053065</v>
      </c>
    </row>
    <row r="300" spans="1:13" ht="25" customHeight="1">
      <c r="A300" s="3" t="s">
        <v>79</v>
      </c>
      <c r="B300" s="4" t="s">
        <v>398</v>
      </c>
      <c r="C300" s="4" t="s">
        <v>139</v>
      </c>
      <c r="D300" s="24">
        <v>5</v>
      </c>
      <c r="E300" s="10">
        <v>0</v>
      </c>
      <c r="F300" s="26">
        <v>0.038</v>
      </c>
      <c r="G300" s="10">
        <v>0</v>
      </c>
      <c r="H300" s="10">
        <v>0</v>
      </c>
      <c r="I300" s="10">
        <v>0</v>
      </c>
      <c r="J300" s="10">
        <v>0</v>
      </c>
      <c r="K300" s="10">
        <v>0</v>
      </c>
      <c r="L300" s="10">
        <v>0</v>
      </c>
      <c r="M300" s="10">
        <f>E300+K300-I300-J300-L300</f>
        <v>0.0</v>
      </c>
    </row>
    <row r="301" spans="1:13" ht="25" customHeight="1">
      <c r="A301" s="6" t="s">
        <v>79</v>
      </c>
      <c r="B301" s="7" t="s">
        <v>398</v>
      </c>
      <c r="C301" s="7" t="s">
        <v>153</v>
      </c>
      <c r="D301" s="23">
        <v>5</v>
      </c>
      <c r="E301" s="9">
        <v>0</v>
      </c>
      <c r="F301" s="25">
        <v>0.05</v>
      </c>
      <c r="G301" s="9">
        <v>0</v>
      </c>
      <c r="H301" s="9">
        <v>0</v>
      </c>
      <c r="I301" s="9">
        <v>0</v>
      </c>
      <c r="J301" s="9">
        <v>0</v>
      </c>
      <c r="K301" s="9">
        <v>0</v>
      </c>
      <c r="L301" s="9">
        <v>0</v>
      </c>
      <c r="M301" s="9">
        <f>E301+K301-I301-J301-L301</f>
        <v>0.0</v>
      </c>
    </row>
    <row r="302" spans="1:13" ht="25" customHeight="1">
      <c r="A302" s="3" t="s">
        <v>79</v>
      </c>
      <c r="B302" s="4" t="s">
        <v>398</v>
      </c>
      <c r="C302" s="4" t="s">
        <v>198</v>
      </c>
      <c r="D302" s="24">
        <v>5</v>
      </c>
      <c r="E302" s="10">
        <v>0</v>
      </c>
      <c r="F302" s="26">
        <v>0.0475</v>
      </c>
      <c r="G302" s="10">
        <v>0</v>
      </c>
      <c r="H302" s="10">
        <v>0</v>
      </c>
      <c r="I302" s="10">
        <v>0</v>
      </c>
      <c r="J302" s="10">
        <v>0</v>
      </c>
      <c r="K302" s="10">
        <v>0</v>
      </c>
      <c r="L302" s="10">
        <v>0</v>
      </c>
      <c r="M302" s="10">
        <f>E302+K302-I302-J302-L302</f>
        <v>0.0</v>
      </c>
    </row>
    <row r="303" spans="1:13" ht="25" customHeight="1">
      <c r="A303" s="6" t="s">
        <v>79</v>
      </c>
      <c r="B303" s="7" t="s">
        <v>398</v>
      </c>
      <c r="C303" s="7" t="s">
        <v>394</v>
      </c>
      <c r="D303" s="23">
        <v>5</v>
      </c>
      <c r="E303" s="9">
        <v>0</v>
      </c>
      <c r="F303" s="25">
        <v>0.06</v>
      </c>
      <c r="G303" s="9">
        <v>0</v>
      </c>
      <c r="H303" s="9">
        <v>0</v>
      </c>
      <c r="I303" s="9">
        <v>0</v>
      </c>
      <c r="J303" s="9">
        <v>0</v>
      </c>
      <c r="K303" s="9">
        <v>0</v>
      </c>
      <c r="L303" s="9">
        <v>0</v>
      </c>
      <c r="M303" s="9">
        <f>E303+K303-I303-J303-L303</f>
        <v>0.0</v>
      </c>
    </row>
    <row r="304" spans="1:13" ht="25" customHeight="1">
      <c r="A304" s="3" t="s">
        <v>79</v>
      </c>
      <c r="B304" s="4" t="s">
        <v>398</v>
      </c>
      <c r="C304" s="4" t="s">
        <v>395</v>
      </c>
      <c r="D304" s="24">
        <v>5</v>
      </c>
      <c r="E304" s="10">
        <v>31.88274119705306</v>
      </c>
      <c r="F304" s="26">
        <v>0.0575</v>
      </c>
      <c r="G304" s="10">
        <v>1.833257618830551</v>
      </c>
      <c r="H304" s="10">
        <v>31.88274119705306</v>
      </c>
      <c r="I304" s="10">
        <v>31.88274119705306</v>
      </c>
      <c r="J304" s="10">
        <v>0</v>
      </c>
      <c r="K304" s="10">
        <v>0</v>
      </c>
      <c r="L304" s="10">
        <v>0</v>
      </c>
      <c r="M304" s="10">
        <f>E304+K304-I304-J304-L304</f>
        <v>0.0</v>
      </c>
    </row>
    <row r="305" spans="1:13" ht="25" customHeight="1">
      <c r="A305" s="6" t="s">
        <v>68</v>
      </c>
      <c r="B305" s="7" t="s">
        <v>399</v>
      </c>
      <c r="C305" s="7" t="s">
        <v>139</v>
      </c>
      <c r="D305" s="23">
        <v>1</v>
      </c>
      <c r="E305" s="9">
        <v>900</v>
      </c>
      <c r="F305" s="25">
        <v>0.038</v>
      </c>
      <c r="G305" s="9">
        <v>34.2</v>
      </c>
      <c r="H305" s="9">
        <v>0</v>
      </c>
      <c r="I305" s="9">
        <v>0</v>
      </c>
      <c r="J305" s="9">
        <v>0</v>
      </c>
      <c r="K305" s="9">
        <v>0</v>
      </c>
      <c r="L305" s="9">
        <v>0</v>
      </c>
      <c r="M305" s="9">
        <f>E305+K305-I305-J305-L305</f>
        <v>900.0</v>
      </c>
    </row>
    <row r="306" spans="1:13" ht="25" customHeight="1">
      <c r="A306" s="3" t="s">
        <v>68</v>
      </c>
      <c r="B306" s="4" t="s">
        <v>399</v>
      </c>
      <c r="C306" s="4" t="s">
        <v>153</v>
      </c>
      <c r="D306" s="24">
        <v>1</v>
      </c>
      <c r="E306" s="10">
        <v>80</v>
      </c>
      <c r="F306" s="26">
        <v>0.05</v>
      </c>
      <c r="G306" s="10">
        <v>4</v>
      </c>
      <c r="H306" s="10">
        <v>16</v>
      </c>
      <c r="I306" s="10">
        <v>16</v>
      </c>
      <c r="J306" s="10">
        <v>0</v>
      </c>
      <c r="K306" s="10">
        <v>0</v>
      </c>
      <c r="L306" s="10">
        <v>0</v>
      </c>
      <c r="M306" s="10">
        <f>E306+K306-I306-J306-L306</f>
        <v>64.0</v>
      </c>
    </row>
    <row r="307" spans="1:13" ht="25" customHeight="1">
      <c r="A307" s="6" t="s">
        <v>68</v>
      </c>
      <c r="B307" s="7" t="s">
        <v>399</v>
      </c>
      <c r="C307" s="7" t="s">
        <v>198</v>
      </c>
      <c r="D307" s="23">
        <v>1</v>
      </c>
      <c r="E307" s="9">
        <v>350</v>
      </c>
      <c r="F307" s="25">
        <v>0.0475</v>
      </c>
      <c r="G307" s="9">
        <v>16.625</v>
      </c>
      <c r="H307" s="9">
        <v>0</v>
      </c>
      <c r="I307" s="9">
        <v>0</v>
      </c>
      <c r="J307" s="9">
        <v>0</v>
      </c>
      <c r="K307" s="9">
        <v>0</v>
      </c>
      <c r="L307" s="9">
        <v>0</v>
      </c>
      <c r="M307" s="9">
        <f>E307+K307-I307-J307-L307</f>
        <v>350.0</v>
      </c>
    </row>
    <row r="308" spans="1:13" ht="25" customHeight="1">
      <c r="A308" s="3" t="s">
        <v>68</v>
      </c>
      <c r="B308" s="4" t="s">
        <v>399</v>
      </c>
      <c r="C308" s="4" t="s">
        <v>394</v>
      </c>
      <c r="D308" s="24">
        <v>1</v>
      </c>
      <c r="E308" s="10">
        <v>1340.10152284264</v>
      </c>
      <c r="F308" s="26">
        <v>0.07500000000000001</v>
      </c>
      <c r="G308" s="10">
        <v>100.507614213198</v>
      </c>
      <c r="H308" s="10">
        <v>26.80203045685279</v>
      </c>
      <c r="I308" s="10">
        <v>26.80203045685279</v>
      </c>
      <c r="J308" s="10">
        <v>248.5627212120156</v>
      </c>
      <c r="K308" s="10">
        <v>0</v>
      </c>
      <c r="L308" s="10">
        <v>0</v>
      </c>
      <c r="M308" s="10">
        <f>E308+K308-I308-J308-L308</f>
        <v>1064.736771173771</v>
      </c>
    </row>
    <row r="309" spans="1:13" ht="25" customHeight="1">
      <c r="A309" s="6" t="s">
        <v>68</v>
      </c>
      <c r="B309" s="7" t="s">
        <v>399</v>
      </c>
      <c r="C309" s="7" t="s">
        <v>395</v>
      </c>
      <c r="D309" s="23">
        <v>1</v>
      </c>
      <c r="E309" s="9">
        <v>0</v>
      </c>
      <c r="F309" s="25">
        <v>0.07250000000000001</v>
      </c>
      <c r="G309" s="9">
        <v>0</v>
      </c>
      <c r="H309" s="9">
        <v>0</v>
      </c>
      <c r="I309" s="9">
        <v>0</v>
      </c>
      <c r="J309" s="9">
        <v>0</v>
      </c>
      <c r="K309" s="9">
        <v>0</v>
      </c>
      <c r="L309" s="9">
        <v>0</v>
      </c>
      <c r="M309" s="9">
        <f>E309+K309-I309-J309-L309</f>
        <v>0.0</v>
      </c>
    </row>
    <row r="310" spans="1:13" ht="25" customHeight="1">
      <c r="A310" s="3" t="s">
        <v>68</v>
      </c>
      <c r="B310" s="4" t="s">
        <v>399</v>
      </c>
      <c r="C310" s="4" t="s">
        <v>139</v>
      </c>
      <c r="D310" s="24">
        <v>2</v>
      </c>
      <c r="E310" s="10">
        <v>900</v>
      </c>
      <c r="F310" s="26">
        <v>0.038</v>
      </c>
      <c r="G310" s="10">
        <v>34.2</v>
      </c>
      <c r="H310" s="10">
        <v>0</v>
      </c>
      <c r="I310" s="10">
        <v>0</v>
      </c>
      <c r="J310" s="10">
        <v>0</v>
      </c>
      <c r="K310" s="10">
        <v>0</v>
      </c>
      <c r="L310" s="10">
        <v>0</v>
      </c>
      <c r="M310" s="10">
        <f>E310+K310-I310-J310-L310</f>
        <v>900.0</v>
      </c>
    </row>
    <row r="311" spans="1:13" ht="25" customHeight="1">
      <c r="A311" s="6" t="s">
        <v>68</v>
      </c>
      <c r="B311" s="7" t="s">
        <v>399</v>
      </c>
      <c r="C311" s="7" t="s">
        <v>153</v>
      </c>
      <c r="D311" s="23">
        <v>2</v>
      </c>
      <c r="E311" s="9">
        <v>64</v>
      </c>
      <c r="F311" s="25">
        <v>0.05</v>
      </c>
      <c r="G311" s="9">
        <v>3.2</v>
      </c>
      <c r="H311" s="9">
        <v>16</v>
      </c>
      <c r="I311" s="9">
        <v>16</v>
      </c>
      <c r="J311" s="9">
        <v>0</v>
      </c>
      <c r="K311" s="9">
        <v>0</v>
      </c>
      <c r="L311" s="9">
        <v>0</v>
      </c>
      <c r="M311" s="9">
        <f>E311+K311-I311-J311-L311</f>
        <v>48.0</v>
      </c>
    </row>
    <row r="312" spans="1:13" ht="25" customHeight="1">
      <c r="A312" s="3" t="s">
        <v>68</v>
      </c>
      <c r="B312" s="4" t="s">
        <v>399</v>
      </c>
      <c r="C312" s="4" t="s">
        <v>198</v>
      </c>
      <c r="D312" s="24">
        <v>2</v>
      </c>
      <c r="E312" s="10">
        <v>350</v>
      </c>
      <c r="F312" s="26">
        <v>0.0475</v>
      </c>
      <c r="G312" s="10">
        <v>16.625</v>
      </c>
      <c r="H312" s="10">
        <v>0</v>
      </c>
      <c r="I312" s="10">
        <v>0</v>
      </c>
      <c r="J312" s="10">
        <v>0</v>
      </c>
      <c r="K312" s="10">
        <v>0</v>
      </c>
      <c r="L312" s="10">
        <v>0</v>
      </c>
      <c r="M312" s="10">
        <f>E312+K312-I312-J312-L312</f>
        <v>350.0</v>
      </c>
    </row>
    <row r="313" spans="1:13" ht="25" customHeight="1">
      <c r="A313" s="6" t="s">
        <v>68</v>
      </c>
      <c r="B313" s="7" t="s">
        <v>399</v>
      </c>
      <c r="C313" s="7" t="s">
        <v>394</v>
      </c>
      <c r="D313" s="23">
        <v>2</v>
      </c>
      <c r="E313" s="9">
        <v>1064.736771173771</v>
      </c>
      <c r="F313" s="25">
        <v>0.07250000000000001</v>
      </c>
      <c r="G313" s="9">
        <v>77.19341591009841</v>
      </c>
      <c r="H313" s="9">
        <v>26.80203045685279</v>
      </c>
      <c r="I313" s="9">
        <v>26.80203045685279</v>
      </c>
      <c r="J313" s="9">
        <v>341.8439752475576</v>
      </c>
      <c r="K313" s="9">
        <v>0</v>
      </c>
      <c r="L313" s="9">
        <v>0</v>
      </c>
      <c r="M313" s="9">
        <f>E313+K313-I313-J313-L313</f>
        <v>696.0907654693606</v>
      </c>
    </row>
    <row r="314" spans="1:13" ht="25" customHeight="1">
      <c r="A314" s="3" t="s">
        <v>68</v>
      </c>
      <c r="B314" s="4" t="s">
        <v>399</v>
      </c>
      <c r="C314" s="4" t="s">
        <v>395</v>
      </c>
      <c r="D314" s="24">
        <v>2</v>
      </c>
      <c r="E314" s="10">
        <v>0</v>
      </c>
      <c r="F314" s="26">
        <v>0.07000000000000001</v>
      </c>
      <c r="G314" s="10">
        <v>0</v>
      </c>
      <c r="H314" s="10">
        <v>0</v>
      </c>
      <c r="I314" s="10">
        <v>0</v>
      </c>
      <c r="J314" s="10">
        <v>0</v>
      </c>
      <c r="K314" s="10">
        <v>0</v>
      </c>
      <c r="L314" s="10">
        <v>0</v>
      </c>
      <c r="M314" s="10">
        <f>E314+K314-I314-J314-L314</f>
        <v>0.0</v>
      </c>
    </row>
    <row r="315" spans="1:13" ht="25" customHeight="1">
      <c r="A315" s="6" t="s">
        <v>68</v>
      </c>
      <c r="B315" s="7" t="s">
        <v>399</v>
      </c>
      <c r="C315" s="7" t="s">
        <v>139</v>
      </c>
      <c r="D315" s="23">
        <v>3</v>
      </c>
      <c r="E315" s="9">
        <v>900</v>
      </c>
      <c r="F315" s="25">
        <v>0.038</v>
      </c>
      <c r="G315" s="9">
        <v>34.2</v>
      </c>
      <c r="H315" s="9">
        <v>0</v>
      </c>
      <c r="I315" s="9">
        <v>0</v>
      </c>
      <c r="J315" s="9">
        <v>0</v>
      </c>
      <c r="K315" s="9">
        <v>0</v>
      </c>
      <c r="L315" s="9">
        <v>0</v>
      </c>
      <c r="M315" s="9">
        <f>E315+K315-I315-J315-L315</f>
        <v>900.0</v>
      </c>
    </row>
    <row r="316" spans="1:13" ht="25" customHeight="1">
      <c r="A316" s="3" t="s">
        <v>68</v>
      </c>
      <c r="B316" s="4" t="s">
        <v>399</v>
      </c>
      <c r="C316" s="4" t="s">
        <v>153</v>
      </c>
      <c r="D316" s="24">
        <v>3</v>
      </c>
      <c r="E316" s="10">
        <v>48</v>
      </c>
      <c r="F316" s="26">
        <v>0.05</v>
      </c>
      <c r="G316" s="10">
        <v>2.4</v>
      </c>
      <c r="H316" s="10">
        <v>16</v>
      </c>
      <c r="I316" s="10">
        <v>16</v>
      </c>
      <c r="J316" s="10">
        <v>0</v>
      </c>
      <c r="K316" s="10">
        <v>0</v>
      </c>
      <c r="L316" s="10">
        <v>0</v>
      </c>
      <c r="M316" s="10">
        <f>E316+K316-I316-J316-L316</f>
        <v>32.0</v>
      </c>
    </row>
    <row r="317" spans="1:13" ht="25" customHeight="1">
      <c r="A317" s="6" t="s">
        <v>68</v>
      </c>
      <c r="B317" s="7" t="s">
        <v>399</v>
      </c>
      <c r="C317" s="7" t="s">
        <v>198</v>
      </c>
      <c r="D317" s="23">
        <v>3</v>
      </c>
      <c r="E317" s="9">
        <v>350</v>
      </c>
      <c r="F317" s="25">
        <v>0.0475</v>
      </c>
      <c r="G317" s="9">
        <v>16.625</v>
      </c>
      <c r="H317" s="9">
        <v>350</v>
      </c>
      <c r="I317" s="9">
        <v>350</v>
      </c>
      <c r="J317" s="9">
        <v>0</v>
      </c>
      <c r="K317" s="9">
        <v>0</v>
      </c>
      <c r="L317" s="9">
        <v>0</v>
      </c>
      <c r="M317" s="9">
        <f>E317+K317-I317-J317-L317</f>
        <v>0.0</v>
      </c>
    </row>
    <row r="318" spans="1:13" ht="25" customHeight="1">
      <c r="A318" s="3" t="s">
        <v>68</v>
      </c>
      <c r="B318" s="4" t="s">
        <v>399</v>
      </c>
      <c r="C318" s="4" t="s">
        <v>394</v>
      </c>
      <c r="D318" s="24">
        <v>3</v>
      </c>
      <c r="E318" s="10">
        <v>696.0907654693606</v>
      </c>
      <c r="F318" s="26">
        <v>0.07000000000000001</v>
      </c>
      <c r="G318" s="10">
        <v>48.72635358285525</v>
      </c>
      <c r="H318" s="10">
        <v>26.80203045685279</v>
      </c>
      <c r="I318" s="10">
        <v>26.80203045685279</v>
      </c>
      <c r="J318" s="10">
        <v>109.7972474339161</v>
      </c>
      <c r="K318" s="10">
        <v>0</v>
      </c>
      <c r="L318" s="10">
        <v>0</v>
      </c>
      <c r="M318" s="10">
        <f>E318+K318-I318-J318-L318</f>
        <v>559.4914875785917</v>
      </c>
    </row>
    <row r="319" spans="1:13" ht="25" customHeight="1">
      <c r="A319" s="6" t="s">
        <v>68</v>
      </c>
      <c r="B319" s="7" t="s">
        <v>399</v>
      </c>
      <c r="C319" s="7" t="s">
        <v>395</v>
      </c>
      <c r="D319" s="23">
        <v>3</v>
      </c>
      <c r="E319" s="9">
        <v>0</v>
      </c>
      <c r="F319" s="25">
        <v>0.0675</v>
      </c>
      <c r="G319" s="9">
        <v>0</v>
      </c>
      <c r="H319" s="9">
        <v>0</v>
      </c>
      <c r="I319" s="9">
        <v>0</v>
      </c>
      <c r="J319" s="9">
        <v>0</v>
      </c>
      <c r="K319" s="9">
        <v>0</v>
      </c>
      <c r="L319" s="9">
        <v>0</v>
      </c>
      <c r="M319" s="9">
        <f>E319+K319-I319-J319-L319</f>
        <v>0.0</v>
      </c>
    </row>
    <row r="320" spans="1:13" ht="25" customHeight="1">
      <c r="A320" s="3" t="s">
        <v>68</v>
      </c>
      <c r="B320" s="4" t="s">
        <v>399</v>
      </c>
      <c r="C320" s="4" t="s">
        <v>139</v>
      </c>
      <c r="D320" s="24">
        <v>4</v>
      </c>
      <c r="E320" s="10">
        <v>900</v>
      </c>
      <c r="F320" s="26">
        <v>0.038</v>
      </c>
      <c r="G320" s="10">
        <v>34.2</v>
      </c>
      <c r="H320" s="10">
        <v>900</v>
      </c>
      <c r="I320" s="10">
        <v>900</v>
      </c>
      <c r="J320" s="10">
        <v>0</v>
      </c>
      <c r="K320" s="10">
        <v>0</v>
      </c>
      <c r="L320" s="10">
        <v>0</v>
      </c>
      <c r="M320" s="10">
        <f>E320+K320-I320-J320-L320</f>
        <v>0.0</v>
      </c>
    </row>
    <row r="321" spans="1:13" ht="25" customHeight="1">
      <c r="A321" s="6" t="s">
        <v>68</v>
      </c>
      <c r="B321" s="7" t="s">
        <v>399</v>
      </c>
      <c r="C321" s="7" t="s">
        <v>153</v>
      </c>
      <c r="D321" s="23">
        <v>4</v>
      </c>
      <c r="E321" s="9">
        <v>32</v>
      </c>
      <c r="F321" s="25">
        <v>0.05</v>
      </c>
      <c r="G321" s="9">
        <v>1.6</v>
      </c>
      <c r="H321" s="9">
        <v>16</v>
      </c>
      <c r="I321" s="9">
        <v>16</v>
      </c>
      <c r="J321" s="9">
        <v>0</v>
      </c>
      <c r="K321" s="9">
        <v>0</v>
      </c>
      <c r="L321" s="9">
        <v>0</v>
      </c>
      <c r="M321" s="9">
        <f>E321+K321-I321-J321-L321</f>
        <v>16.0</v>
      </c>
    </row>
    <row r="322" spans="1:13" ht="25" customHeight="1">
      <c r="A322" s="3" t="s">
        <v>68</v>
      </c>
      <c r="B322" s="4" t="s">
        <v>399</v>
      </c>
      <c r="C322" s="4" t="s">
        <v>198</v>
      </c>
      <c r="D322" s="24">
        <v>4</v>
      </c>
      <c r="E322" s="10">
        <v>0</v>
      </c>
      <c r="F322" s="26">
        <v>0.0475</v>
      </c>
      <c r="G322" s="10">
        <v>0</v>
      </c>
      <c r="H322" s="10">
        <v>0</v>
      </c>
      <c r="I322" s="10">
        <v>0</v>
      </c>
      <c r="J322" s="10">
        <v>0</v>
      </c>
      <c r="K322" s="10">
        <v>0</v>
      </c>
      <c r="L322" s="10">
        <v>0</v>
      </c>
      <c r="M322" s="10">
        <f>E322+K322-I322-J322-L322</f>
        <v>0.0</v>
      </c>
    </row>
    <row r="323" spans="1:13" ht="25" customHeight="1">
      <c r="A323" s="6" t="s">
        <v>68</v>
      </c>
      <c r="B323" s="7" t="s">
        <v>399</v>
      </c>
      <c r="C323" s="7" t="s">
        <v>394</v>
      </c>
      <c r="D323" s="23">
        <v>4</v>
      </c>
      <c r="E323" s="9">
        <v>559.4914875785917</v>
      </c>
      <c r="F323" s="25">
        <v>0.07000000000000001</v>
      </c>
      <c r="G323" s="9">
        <v>39.16440413050142</v>
      </c>
      <c r="H323" s="9">
        <v>26.80203045685279</v>
      </c>
      <c r="I323" s="9">
        <v>26.80203045685279</v>
      </c>
      <c r="J323" s="9">
        <v>0</v>
      </c>
      <c r="K323" s="9">
        <v>0</v>
      </c>
      <c r="L323" s="9">
        <v>0</v>
      </c>
      <c r="M323" s="9">
        <f>E323+K323-I323-J323-L323</f>
        <v>532.6894571217389</v>
      </c>
    </row>
    <row r="324" spans="1:13" ht="25" customHeight="1">
      <c r="A324" s="3" t="s">
        <v>68</v>
      </c>
      <c r="B324" s="4" t="s">
        <v>399</v>
      </c>
      <c r="C324" s="4" t="s">
        <v>395</v>
      </c>
      <c r="D324" s="24">
        <v>4</v>
      </c>
      <c r="E324" s="10">
        <v>0</v>
      </c>
      <c r="F324" s="26">
        <v>0.0675</v>
      </c>
      <c r="G324" s="10">
        <v>0</v>
      </c>
      <c r="H324" s="10">
        <v>0</v>
      </c>
      <c r="I324" s="10">
        <v>0</v>
      </c>
      <c r="J324" s="10">
        <v>0</v>
      </c>
      <c r="K324" s="10">
        <v>373.1284610498719</v>
      </c>
      <c r="L324" s="10">
        <v>0</v>
      </c>
      <c r="M324" s="10">
        <f>E324+K324-I324-J324-L324</f>
        <v>373.12846104987193</v>
      </c>
    </row>
    <row r="325" spans="1:13" ht="25" customHeight="1">
      <c r="A325" s="6" t="s">
        <v>68</v>
      </c>
      <c r="B325" s="7" t="s">
        <v>399</v>
      </c>
      <c r="C325" s="7" t="s">
        <v>139</v>
      </c>
      <c r="D325" s="23">
        <v>5</v>
      </c>
      <c r="E325" s="9">
        <v>0</v>
      </c>
      <c r="F325" s="25">
        <v>0.038</v>
      </c>
      <c r="G325" s="9">
        <v>0</v>
      </c>
      <c r="H325" s="9">
        <v>0</v>
      </c>
      <c r="I325" s="9">
        <v>0</v>
      </c>
      <c r="J325" s="9">
        <v>0</v>
      </c>
      <c r="K325" s="9">
        <v>0</v>
      </c>
      <c r="L325" s="9">
        <v>0</v>
      </c>
      <c r="M325" s="9">
        <f>E325+K325-I325-J325-L325</f>
        <v>0.0</v>
      </c>
    </row>
    <row r="326" spans="1:13" ht="25" customHeight="1">
      <c r="A326" s="3" t="s">
        <v>68</v>
      </c>
      <c r="B326" s="4" t="s">
        <v>399</v>
      </c>
      <c r="C326" s="4" t="s">
        <v>153</v>
      </c>
      <c r="D326" s="24">
        <v>5</v>
      </c>
      <c r="E326" s="10">
        <v>16</v>
      </c>
      <c r="F326" s="26">
        <v>0.05</v>
      </c>
      <c r="G326" s="10">
        <v>0.8</v>
      </c>
      <c r="H326" s="10">
        <v>16</v>
      </c>
      <c r="I326" s="10">
        <v>16</v>
      </c>
      <c r="J326" s="10">
        <v>0</v>
      </c>
      <c r="K326" s="10">
        <v>0</v>
      </c>
      <c r="L326" s="10">
        <v>0</v>
      </c>
      <c r="M326" s="10">
        <f>E326+K326-I326-J326-L326</f>
        <v>0.0</v>
      </c>
    </row>
    <row r="327" spans="1:13" ht="25" customHeight="1">
      <c r="A327" s="6" t="s">
        <v>68</v>
      </c>
      <c r="B327" s="7" t="s">
        <v>399</v>
      </c>
      <c r="C327" s="7" t="s">
        <v>198</v>
      </c>
      <c r="D327" s="23">
        <v>5</v>
      </c>
      <c r="E327" s="9">
        <v>0</v>
      </c>
      <c r="F327" s="25">
        <v>0.0475</v>
      </c>
      <c r="G327" s="9">
        <v>0</v>
      </c>
      <c r="H327" s="9">
        <v>0</v>
      </c>
      <c r="I327" s="9">
        <v>0</v>
      </c>
      <c r="J327" s="9">
        <v>0</v>
      </c>
      <c r="K327" s="9">
        <v>0</v>
      </c>
      <c r="L327" s="9">
        <v>0</v>
      </c>
      <c r="M327" s="9">
        <f>E327+K327-I327-J327-L327</f>
        <v>0.0</v>
      </c>
    </row>
    <row r="328" spans="1:13" ht="25" customHeight="1">
      <c r="A328" s="3" t="s">
        <v>68</v>
      </c>
      <c r="B328" s="4" t="s">
        <v>399</v>
      </c>
      <c r="C328" s="4" t="s">
        <v>394</v>
      </c>
      <c r="D328" s="24">
        <v>5</v>
      </c>
      <c r="E328" s="10">
        <v>532.6894571217389</v>
      </c>
      <c r="F328" s="26">
        <v>0.07000000000000001</v>
      </c>
      <c r="G328" s="10">
        <v>37.28826199852173</v>
      </c>
      <c r="H328" s="10">
        <v>532.6894571217389</v>
      </c>
      <c r="I328" s="10">
        <v>532.6894571217389</v>
      </c>
      <c r="J328" s="10">
        <v>0</v>
      </c>
      <c r="K328" s="10">
        <v>0</v>
      </c>
      <c r="L328" s="10">
        <v>0</v>
      </c>
      <c r="M328" s="10">
        <f>E328+K328-I328-J328-L328</f>
        <v>0.0</v>
      </c>
    </row>
    <row r="329" spans="1:13" ht="25" customHeight="1">
      <c r="A329" s="6" t="s">
        <v>68</v>
      </c>
      <c r="B329" s="7" t="s">
        <v>399</v>
      </c>
      <c r="C329" s="7" t="s">
        <v>395</v>
      </c>
      <c r="D329" s="23">
        <v>5</v>
      </c>
      <c r="E329" s="9">
        <v>373.1284610498719</v>
      </c>
      <c r="F329" s="25">
        <v>0.0675</v>
      </c>
      <c r="G329" s="9">
        <v>25.18617112086636</v>
      </c>
      <c r="H329" s="9">
        <v>373.1284610498719</v>
      </c>
      <c r="I329" s="9">
        <v>373.1284610498719</v>
      </c>
      <c r="J329" s="9">
        <v>0</v>
      </c>
      <c r="K329" s="9">
        <v>0</v>
      </c>
      <c r="L329" s="9">
        <v>0</v>
      </c>
      <c r="M329" s="9">
        <f>E329+K329-I329-J329-L329</f>
        <v>0.0</v>
      </c>
    </row>
    <row r="330" spans="1:13" ht="25" customHeight="1">
      <c r="A330" s="3" t="s">
        <v>78</v>
      </c>
      <c r="B330" s="4" t="s">
        <v>399</v>
      </c>
      <c r="C330" s="4" t="s">
        <v>139</v>
      </c>
      <c r="D330" s="24">
        <v>1</v>
      </c>
      <c r="E330" s="10">
        <v>900</v>
      </c>
      <c r="F330" s="26">
        <v>0.038</v>
      </c>
      <c r="G330" s="10">
        <v>34.2</v>
      </c>
      <c r="H330" s="10">
        <v>0</v>
      </c>
      <c r="I330" s="10">
        <v>0</v>
      </c>
      <c r="J330" s="10">
        <v>0</v>
      </c>
      <c r="K330" s="10">
        <v>0</v>
      </c>
      <c r="L330" s="10">
        <v>0</v>
      </c>
      <c r="M330" s="10">
        <f>E330+K330-I330-J330-L330</f>
        <v>900.0</v>
      </c>
    </row>
    <row r="331" spans="1:13" ht="25" customHeight="1">
      <c r="A331" s="6" t="s">
        <v>78</v>
      </c>
      <c r="B331" s="7" t="s">
        <v>399</v>
      </c>
      <c r="C331" s="7" t="s">
        <v>153</v>
      </c>
      <c r="D331" s="23">
        <v>1</v>
      </c>
      <c r="E331" s="9">
        <v>80</v>
      </c>
      <c r="F331" s="25">
        <v>0.05</v>
      </c>
      <c r="G331" s="9">
        <v>4</v>
      </c>
      <c r="H331" s="9">
        <v>16</v>
      </c>
      <c r="I331" s="9">
        <v>16</v>
      </c>
      <c r="J331" s="9">
        <v>0</v>
      </c>
      <c r="K331" s="9">
        <v>0</v>
      </c>
      <c r="L331" s="9">
        <v>0</v>
      </c>
      <c r="M331" s="9">
        <f>E331+K331-I331-J331-L331</f>
        <v>64.0</v>
      </c>
    </row>
    <row r="332" spans="1:13" ht="25" customHeight="1">
      <c r="A332" s="3" t="s">
        <v>78</v>
      </c>
      <c r="B332" s="4" t="s">
        <v>399</v>
      </c>
      <c r="C332" s="4" t="s">
        <v>198</v>
      </c>
      <c r="D332" s="24">
        <v>1</v>
      </c>
      <c r="E332" s="10">
        <v>350</v>
      </c>
      <c r="F332" s="26">
        <v>0.0475</v>
      </c>
      <c r="G332" s="10">
        <v>16.625</v>
      </c>
      <c r="H332" s="10">
        <v>0</v>
      </c>
      <c r="I332" s="10">
        <v>0</v>
      </c>
      <c r="J332" s="10">
        <v>0</v>
      </c>
      <c r="K332" s="10">
        <v>0</v>
      </c>
      <c r="L332" s="10">
        <v>0</v>
      </c>
      <c r="M332" s="10">
        <f>E332+K332-I332-J332-L332</f>
        <v>350.0</v>
      </c>
    </row>
    <row r="333" spans="1:13" ht="25" customHeight="1">
      <c r="A333" s="6" t="s">
        <v>78</v>
      </c>
      <c r="B333" s="7" t="s">
        <v>399</v>
      </c>
      <c r="C333" s="7" t="s">
        <v>394</v>
      </c>
      <c r="D333" s="23">
        <v>1</v>
      </c>
      <c r="E333" s="9">
        <v>2223.350253807107</v>
      </c>
      <c r="F333" s="25">
        <v>0.07500000000000001</v>
      </c>
      <c r="G333" s="9">
        <v>166.751269035533</v>
      </c>
      <c r="H333" s="9">
        <v>44.46700507614213</v>
      </c>
      <c r="I333" s="9">
        <v>44.46700507614213</v>
      </c>
      <c r="J333" s="9">
        <v>1051.215005475975</v>
      </c>
      <c r="K333" s="9">
        <v>0</v>
      </c>
      <c r="L333" s="9">
        <v>0</v>
      </c>
      <c r="M333" s="9">
        <f>E333+K333-I333-J333-L333</f>
        <v>1127.6682432549899</v>
      </c>
    </row>
    <row r="334" spans="1:13" ht="25" customHeight="1">
      <c r="A334" s="3" t="s">
        <v>78</v>
      </c>
      <c r="B334" s="4" t="s">
        <v>399</v>
      </c>
      <c r="C334" s="4" t="s">
        <v>395</v>
      </c>
      <c r="D334" s="24">
        <v>1</v>
      </c>
      <c r="E334" s="10">
        <v>0</v>
      </c>
      <c r="F334" s="26">
        <v>0.07250000000000001</v>
      </c>
      <c r="G334" s="10">
        <v>0</v>
      </c>
      <c r="H334" s="10">
        <v>0</v>
      </c>
      <c r="I334" s="10">
        <v>0</v>
      </c>
      <c r="J334" s="10">
        <v>0</v>
      </c>
      <c r="K334" s="10">
        <v>0</v>
      </c>
      <c r="L334" s="10">
        <v>0</v>
      </c>
      <c r="M334" s="10">
        <f>E334+K334-I334-J334-L334</f>
        <v>0.0</v>
      </c>
    </row>
    <row r="335" spans="1:13" ht="25" customHeight="1">
      <c r="A335" s="6" t="s">
        <v>78</v>
      </c>
      <c r="B335" s="7" t="s">
        <v>399</v>
      </c>
      <c r="C335" s="7" t="s">
        <v>139</v>
      </c>
      <c r="D335" s="23">
        <v>2</v>
      </c>
      <c r="E335" s="9">
        <v>900</v>
      </c>
      <c r="F335" s="25">
        <v>0.038</v>
      </c>
      <c r="G335" s="9">
        <v>34.2</v>
      </c>
      <c r="H335" s="9">
        <v>0</v>
      </c>
      <c r="I335" s="9">
        <v>0</v>
      </c>
      <c r="J335" s="9">
        <v>0</v>
      </c>
      <c r="K335" s="9">
        <v>0</v>
      </c>
      <c r="L335" s="9">
        <v>0</v>
      </c>
      <c r="M335" s="9">
        <f>E335+K335-I335-J335-L335</f>
        <v>900.0</v>
      </c>
    </row>
    <row r="336" spans="1:13" ht="25" customHeight="1">
      <c r="A336" s="3" t="s">
        <v>78</v>
      </c>
      <c r="B336" s="4" t="s">
        <v>399</v>
      </c>
      <c r="C336" s="4" t="s">
        <v>153</v>
      </c>
      <c r="D336" s="24">
        <v>2</v>
      </c>
      <c r="E336" s="10">
        <v>64</v>
      </c>
      <c r="F336" s="26">
        <v>0.05</v>
      </c>
      <c r="G336" s="10">
        <v>3.2</v>
      </c>
      <c r="H336" s="10">
        <v>16</v>
      </c>
      <c r="I336" s="10">
        <v>16</v>
      </c>
      <c r="J336" s="10">
        <v>0</v>
      </c>
      <c r="K336" s="10">
        <v>0</v>
      </c>
      <c r="L336" s="10">
        <v>0</v>
      </c>
      <c r="M336" s="10">
        <f>E336+K336-I336-J336-L336</f>
        <v>48.0</v>
      </c>
    </row>
    <row r="337" spans="1:13" ht="25" customHeight="1">
      <c r="A337" s="6" t="s">
        <v>78</v>
      </c>
      <c r="B337" s="7" t="s">
        <v>399</v>
      </c>
      <c r="C337" s="7" t="s">
        <v>198</v>
      </c>
      <c r="D337" s="23">
        <v>2</v>
      </c>
      <c r="E337" s="9">
        <v>350</v>
      </c>
      <c r="F337" s="25">
        <v>0.0475</v>
      </c>
      <c r="G337" s="9">
        <v>16.625</v>
      </c>
      <c r="H337" s="9">
        <v>0</v>
      </c>
      <c r="I337" s="9">
        <v>0</v>
      </c>
      <c r="J337" s="9">
        <v>0</v>
      </c>
      <c r="K337" s="9">
        <v>0</v>
      </c>
      <c r="L337" s="9">
        <v>0</v>
      </c>
      <c r="M337" s="9">
        <f>E337+K337-I337-J337-L337</f>
        <v>350.0</v>
      </c>
    </row>
    <row r="338" spans="1:13" ht="25" customHeight="1">
      <c r="A338" s="3" t="s">
        <v>78</v>
      </c>
      <c r="B338" s="4" t="s">
        <v>399</v>
      </c>
      <c r="C338" s="4" t="s">
        <v>394</v>
      </c>
      <c r="D338" s="24">
        <v>2</v>
      </c>
      <c r="E338" s="10">
        <v>1127.66824325499</v>
      </c>
      <c r="F338" s="26">
        <v>0.07250000000000001</v>
      </c>
      <c r="G338" s="10">
        <v>81.75594763598677</v>
      </c>
      <c r="H338" s="10">
        <v>44.46700507614213</v>
      </c>
      <c r="I338" s="10">
        <v>44.46700507614213</v>
      </c>
      <c r="J338" s="10">
        <v>320.7571018338524</v>
      </c>
      <c r="K338" s="10">
        <v>0</v>
      </c>
      <c r="L338" s="10">
        <v>0</v>
      </c>
      <c r="M338" s="10">
        <f>E338+K338-I338-J338-L338</f>
        <v>762.4441363449953</v>
      </c>
    </row>
    <row r="339" spans="1:13" ht="25" customHeight="1">
      <c r="A339" s="6" t="s">
        <v>78</v>
      </c>
      <c r="B339" s="7" t="s">
        <v>399</v>
      </c>
      <c r="C339" s="7" t="s">
        <v>395</v>
      </c>
      <c r="D339" s="23">
        <v>2</v>
      </c>
      <c r="E339" s="9">
        <v>0</v>
      </c>
      <c r="F339" s="25">
        <v>0.07000000000000001</v>
      </c>
      <c r="G339" s="9">
        <v>0</v>
      </c>
      <c r="H339" s="9">
        <v>0</v>
      </c>
      <c r="I339" s="9">
        <v>0</v>
      </c>
      <c r="J339" s="9">
        <v>0</v>
      </c>
      <c r="K339" s="9">
        <v>0</v>
      </c>
      <c r="L339" s="9">
        <v>0</v>
      </c>
      <c r="M339" s="9">
        <f>E339+K339-I339-J339-L339</f>
        <v>0.0</v>
      </c>
    </row>
    <row r="340" spans="1:13" ht="25" customHeight="1">
      <c r="A340" s="3" t="s">
        <v>78</v>
      </c>
      <c r="B340" s="4" t="s">
        <v>399</v>
      </c>
      <c r="C340" s="4" t="s">
        <v>139</v>
      </c>
      <c r="D340" s="24">
        <v>3</v>
      </c>
      <c r="E340" s="10">
        <v>900</v>
      </c>
      <c r="F340" s="26">
        <v>0.038</v>
      </c>
      <c r="G340" s="10">
        <v>34.2</v>
      </c>
      <c r="H340" s="10">
        <v>0</v>
      </c>
      <c r="I340" s="10">
        <v>0</v>
      </c>
      <c r="J340" s="10">
        <v>0</v>
      </c>
      <c r="K340" s="10">
        <v>0</v>
      </c>
      <c r="L340" s="10">
        <v>0</v>
      </c>
      <c r="M340" s="10">
        <f>E340+K340-I340-J340-L340</f>
        <v>900.0</v>
      </c>
    </row>
    <row r="341" spans="1:13" ht="25" customHeight="1">
      <c r="A341" s="6" t="s">
        <v>78</v>
      </c>
      <c r="B341" s="7" t="s">
        <v>399</v>
      </c>
      <c r="C341" s="7" t="s">
        <v>153</v>
      </c>
      <c r="D341" s="23">
        <v>3</v>
      </c>
      <c r="E341" s="9">
        <v>48</v>
      </c>
      <c r="F341" s="25">
        <v>0.05</v>
      </c>
      <c r="G341" s="9">
        <v>2.4</v>
      </c>
      <c r="H341" s="9">
        <v>16</v>
      </c>
      <c r="I341" s="9">
        <v>16</v>
      </c>
      <c r="J341" s="9">
        <v>0</v>
      </c>
      <c r="K341" s="9">
        <v>0</v>
      </c>
      <c r="L341" s="9">
        <v>0</v>
      </c>
      <c r="M341" s="9">
        <f>E341+K341-I341-J341-L341</f>
        <v>32.0</v>
      </c>
    </row>
    <row r="342" spans="1:13" ht="25" customHeight="1">
      <c r="A342" s="3" t="s">
        <v>78</v>
      </c>
      <c r="B342" s="4" t="s">
        <v>399</v>
      </c>
      <c r="C342" s="4" t="s">
        <v>198</v>
      </c>
      <c r="D342" s="24">
        <v>3</v>
      </c>
      <c r="E342" s="10">
        <v>350</v>
      </c>
      <c r="F342" s="26">
        <v>0.0475</v>
      </c>
      <c r="G342" s="10">
        <v>16.625</v>
      </c>
      <c r="H342" s="10">
        <v>350</v>
      </c>
      <c r="I342" s="10">
        <v>350</v>
      </c>
      <c r="J342" s="10">
        <v>0</v>
      </c>
      <c r="K342" s="10">
        <v>0</v>
      </c>
      <c r="L342" s="10">
        <v>0</v>
      </c>
      <c r="M342" s="10">
        <f>E342+K342-I342-J342-L342</f>
        <v>0.0</v>
      </c>
    </row>
    <row r="343" spans="1:13" ht="25" customHeight="1">
      <c r="A343" s="6" t="s">
        <v>78</v>
      </c>
      <c r="B343" s="7" t="s">
        <v>399</v>
      </c>
      <c r="C343" s="7" t="s">
        <v>394</v>
      </c>
      <c r="D343" s="23">
        <v>3</v>
      </c>
      <c r="E343" s="9">
        <v>762.4441363449953</v>
      </c>
      <c r="F343" s="25">
        <v>0.07000000000000001</v>
      </c>
      <c r="G343" s="9">
        <v>53.37108954414968</v>
      </c>
      <c r="H343" s="9">
        <v>44.46700507614213</v>
      </c>
      <c r="I343" s="9">
        <v>44.46700507614213</v>
      </c>
      <c r="J343" s="9">
        <v>88.64872084365584</v>
      </c>
      <c r="K343" s="9">
        <v>0</v>
      </c>
      <c r="L343" s="9">
        <v>0</v>
      </c>
      <c r="M343" s="9">
        <f>E343+K343-I343-J343-L343</f>
        <v>629.3284104251973</v>
      </c>
    </row>
    <row r="344" spans="1:13" ht="25" customHeight="1">
      <c r="A344" s="3" t="s">
        <v>78</v>
      </c>
      <c r="B344" s="4" t="s">
        <v>399</v>
      </c>
      <c r="C344" s="4" t="s">
        <v>395</v>
      </c>
      <c r="D344" s="24">
        <v>3</v>
      </c>
      <c r="E344" s="10">
        <v>0</v>
      </c>
      <c r="F344" s="26">
        <v>0.0675</v>
      </c>
      <c r="G344" s="10">
        <v>0</v>
      </c>
      <c r="H344" s="10">
        <v>0</v>
      </c>
      <c r="I344" s="10">
        <v>0</v>
      </c>
      <c r="J344" s="10">
        <v>0</v>
      </c>
      <c r="K344" s="10">
        <v>0</v>
      </c>
      <c r="L344" s="10">
        <v>0</v>
      </c>
      <c r="M344" s="10">
        <f>E344+K344-I344-J344-L344</f>
        <v>0.0</v>
      </c>
    </row>
    <row r="345" spans="1:13" ht="25" customHeight="1">
      <c r="A345" s="6" t="s">
        <v>78</v>
      </c>
      <c r="B345" s="7" t="s">
        <v>399</v>
      </c>
      <c r="C345" s="7" t="s">
        <v>139</v>
      </c>
      <c r="D345" s="23">
        <v>4</v>
      </c>
      <c r="E345" s="9">
        <v>900</v>
      </c>
      <c r="F345" s="25">
        <v>0.038</v>
      </c>
      <c r="G345" s="9">
        <v>34.2</v>
      </c>
      <c r="H345" s="9">
        <v>900</v>
      </c>
      <c r="I345" s="9">
        <v>900</v>
      </c>
      <c r="J345" s="9">
        <v>0</v>
      </c>
      <c r="K345" s="9">
        <v>0</v>
      </c>
      <c r="L345" s="9">
        <v>0</v>
      </c>
      <c r="M345" s="9">
        <f>E345+K345-I345-J345-L345</f>
        <v>0.0</v>
      </c>
    </row>
    <row r="346" spans="1:13" ht="25" customHeight="1">
      <c r="A346" s="3" t="s">
        <v>78</v>
      </c>
      <c r="B346" s="4" t="s">
        <v>399</v>
      </c>
      <c r="C346" s="4" t="s">
        <v>153</v>
      </c>
      <c r="D346" s="24">
        <v>4</v>
      </c>
      <c r="E346" s="10">
        <v>32</v>
      </c>
      <c r="F346" s="26">
        <v>0.05</v>
      </c>
      <c r="G346" s="10">
        <v>1.6</v>
      </c>
      <c r="H346" s="10">
        <v>16</v>
      </c>
      <c r="I346" s="10">
        <v>16</v>
      </c>
      <c r="J346" s="10">
        <v>0</v>
      </c>
      <c r="K346" s="10">
        <v>0</v>
      </c>
      <c r="L346" s="10">
        <v>0</v>
      </c>
      <c r="M346" s="10">
        <f>E346+K346-I346-J346-L346</f>
        <v>16.0</v>
      </c>
    </row>
    <row r="347" spans="1:13" ht="25" customHeight="1">
      <c r="A347" s="6" t="s">
        <v>78</v>
      </c>
      <c r="B347" s="7" t="s">
        <v>399</v>
      </c>
      <c r="C347" s="7" t="s">
        <v>198</v>
      </c>
      <c r="D347" s="23">
        <v>4</v>
      </c>
      <c r="E347" s="9">
        <v>0</v>
      </c>
      <c r="F347" s="25">
        <v>0.0475</v>
      </c>
      <c r="G347" s="9">
        <v>0</v>
      </c>
      <c r="H347" s="9">
        <v>0</v>
      </c>
      <c r="I347" s="9">
        <v>0</v>
      </c>
      <c r="J347" s="9">
        <v>0</v>
      </c>
      <c r="K347" s="9">
        <v>0</v>
      </c>
      <c r="L347" s="9">
        <v>0</v>
      </c>
      <c r="M347" s="9">
        <f>E347+K347-I347-J347-L347</f>
        <v>0.0</v>
      </c>
    </row>
    <row r="348" spans="1:13" ht="25" customHeight="1">
      <c r="A348" s="3" t="s">
        <v>78</v>
      </c>
      <c r="B348" s="4" t="s">
        <v>399</v>
      </c>
      <c r="C348" s="4" t="s">
        <v>394</v>
      </c>
      <c r="D348" s="24">
        <v>4</v>
      </c>
      <c r="E348" s="10">
        <v>629.3284104251973</v>
      </c>
      <c r="F348" s="26">
        <v>0.07000000000000001</v>
      </c>
      <c r="G348" s="10">
        <v>44.05298872976381</v>
      </c>
      <c r="H348" s="10">
        <v>44.46700507614213</v>
      </c>
      <c r="I348" s="10">
        <v>44.46700507614213</v>
      </c>
      <c r="J348" s="10">
        <v>0</v>
      </c>
      <c r="K348" s="10">
        <v>0</v>
      </c>
      <c r="L348" s="10">
        <v>0</v>
      </c>
      <c r="M348" s="10">
        <f>E348+K348-I348-J348-L348</f>
        <v>584.8614053490551</v>
      </c>
    </row>
    <row r="349" spans="1:13" ht="25" customHeight="1">
      <c r="A349" s="6" t="s">
        <v>78</v>
      </c>
      <c r="B349" s="7" t="s">
        <v>399</v>
      </c>
      <c r="C349" s="7" t="s">
        <v>395</v>
      </c>
      <c r="D349" s="23">
        <v>4</v>
      </c>
      <c r="E349" s="9">
        <v>0</v>
      </c>
      <c r="F349" s="25">
        <v>0.0675</v>
      </c>
      <c r="G349" s="9">
        <v>0</v>
      </c>
      <c r="H349" s="9">
        <v>0</v>
      </c>
      <c r="I349" s="9">
        <v>0</v>
      </c>
      <c r="J349" s="9">
        <v>0</v>
      </c>
      <c r="K349" s="9">
        <v>394.459874118608</v>
      </c>
      <c r="L349" s="9">
        <v>0</v>
      </c>
      <c r="M349" s="9">
        <f>E349+K349-I349-J349-L349</f>
        <v>394.459874118608</v>
      </c>
    </row>
    <row r="350" spans="1:13" ht="25" customHeight="1">
      <c r="A350" s="3" t="s">
        <v>78</v>
      </c>
      <c r="B350" s="4" t="s">
        <v>399</v>
      </c>
      <c r="C350" s="4" t="s">
        <v>139</v>
      </c>
      <c r="D350" s="24">
        <v>5</v>
      </c>
      <c r="E350" s="10">
        <v>0</v>
      </c>
      <c r="F350" s="26">
        <v>0.038</v>
      </c>
      <c r="G350" s="10">
        <v>0</v>
      </c>
      <c r="H350" s="10">
        <v>0</v>
      </c>
      <c r="I350" s="10">
        <v>0</v>
      </c>
      <c r="J350" s="10">
        <v>0</v>
      </c>
      <c r="K350" s="10">
        <v>0</v>
      </c>
      <c r="L350" s="10">
        <v>0</v>
      </c>
      <c r="M350" s="10">
        <f>E350+K350-I350-J350-L350</f>
        <v>0.0</v>
      </c>
    </row>
    <row r="351" spans="1:13" ht="25" customHeight="1">
      <c r="A351" s="6" t="s">
        <v>78</v>
      </c>
      <c r="B351" s="7" t="s">
        <v>399</v>
      </c>
      <c r="C351" s="7" t="s">
        <v>153</v>
      </c>
      <c r="D351" s="23">
        <v>5</v>
      </c>
      <c r="E351" s="9">
        <v>16</v>
      </c>
      <c r="F351" s="25">
        <v>0.05</v>
      </c>
      <c r="G351" s="9">
        <v>0.8</v>
      </c>
      <c r="H351" s="9">
        <v>16</v>
      </c>
      <c r="I351" s="9">
        <v>16</v>
      </c>
      <c r="J351" s="9">
        <v>0</v>
      </c>
      <c r="K351" s="9">
        <v>0</v>
      </c>
      <c r="L351" s="9">
        <v>0</v>
      </c>
      <c r="M351" s="9">
        <f>E351+K351-I351-J351-L351</f>
        <v>0.0</v>
      </c>
    </row>
    <row r="352" spans="1:13" ht="25" customHeight="1">
      <c r="A352" s="3" t="s">
        <v>78</v>
      </c>
      <c r="B352" s="4" t="s">
        <v>399</v>
      </c>
      <c r="C352" s="4" t="s">
        <v>198</v>
      </c>
      <c r="D352" s="24">
        <v>5</v>
      </c>
      <c r="E352" s="10">
        <v>0</v>
      </c>
      <c r="F352" s="26">
        <v>0.0475</v>
      </c>
      <c r="G352" s="10">
        <v>0</v>
      </c>
      <c r="H352" s="10">
        <v>0</v>
      </c>
      <c r="I352" s="10">
        <v>0</v>
      </c>
      <c r="J352" s="10">
        <v>0</v>
      </c>
      <c r="K352" s="10">
        <v>0</v>
      </c>
      <c r="L352" s="10">
        <v>0</v>
      </c>
      <c r="M352" s="10">
        <f>E352+K352-I352-J352-L352</f>
        <v>0.0</v>
      </c>
    </row>
    <row r="353" spans="1:13" ht="25" customHeight="1">
      <c r="A353" s="6" t="s">
        <v>78</v>
      </c>
      <c r="B353" s="7" t="s">
        <v>399</v>
      </c>
      <c r="C353" s="7" t="s">
        <v>394</v>
      </c>
      <c r="D353" s="23">
        <v>5</v>
      </c>
      <c r="E353" s="9">
        <v>584.8614053490551</v>
      </c>
      <c r="F353" s="25">
        <v>0.07000000000000001</v>
      </c>
      <c r="G353" s="9">
        <v>40.94029837443386</v>
      </c>
      <c r="H353" s="9">
        <v>584.8614053490551</v>
      </c>
      <c r="I353" s="9">
        <v>584.8614053490551</v>
      </c>
      <c r="J353" s="9">
        <v>0</v>
      </c>
      <c r="K353" s="9">
        <v>0</v>
      </c>
      <c r="L353" s="9">
        <v>0</v>
      </c>
      <c r="M353" s="9">
        <f>E353+K353-I353-J353-L353</f>
        <v>0.0</v>
      </c>
    </row>
    <row r="354" spans="1:13" ht="25" customHeight="1">
      <c r="A354" s="3" t="s">
        <v>78</v>
      </c>
      <c r="B354" s="4" t="s">
        <v>399</v>
      </c>
      <c r="C354" s="4" t="s">
        <v>395</v>
      </c>
      <c r="D354" s="24">
        <v>5</v>
      </c>
      <c r="E354" s="10">
        <v>394.459874118608</v>
      </c>
      <c r="F354" s="26">
        <v>0.0675</v>
      </c>
      <c r="G354" s="10">
        <v>26.62604150300604</v>
      </c>
      <c r="H354" s="10">
        <v>394.459874118608</v>
      </c>
      <c r="I354" s="10">
        <v>394.459874118608</v>
      </c>
      <c r="J354" s="10">
        <v>0</v>
      </c>
      <c r="K354" s="10">
        <v>0</v>
      </c>
      <c r="L354" s="10">
        <v>0</v>
      </c>
      <c r="M354" s="10">
        <f>E354+K354-I354-J354-L354</f>
        <v>0.0</v>
      </c>
    </row>
    <row r="355" spans="1:13" ht="25" customHeight="1">
      <c r="A355" s="6" t="s">
        <v>79</v>
      </c>
      <c r="B355" s="7" t="s">
        <v>399</v>
      </c>
      <c r="C355" s="7" t="s">
        <v>139</v>
      </c>
      <c r="D355" s="23">
        <v>1</v>
      </c>
      <c r="E355" s="9">
        <v>900</v>
      </c>
      <c r="F355" s="25">
        <v>0.038</v>
      </c>
      <c r="G355" s="9">
        <v>34.2</v>
      </c>
      <c r="H355" s="9">
        <v>0</v>
      </c>
      <c r="I355" s="9">
        <v>0</v>
      </c>
      <c r="J355" s="9">
        <v>0</v>
      </c>
      <c r="K355" s="9">
        <v>0</v>
      </c>
      <c r="L355" s="9">
        <v>0</v>
      </c>
      <c r="M355" s="9">
        <f>E355+K355-I355-J355-L355</f>
        <v>900.0</v>
      </c>
    </row>
    <row r="356" spans="1:13" ht="25" customHeight="1">
      <c r="A356" s="3" t="s">
        <v>79</v>
      </c>
      <c r="B356" s="4" t="s">
        <v>399</v>
      </c>
      <c r="C356" s="4" t="s">
        <v>153</v>
      </c>
      <c r="D356" s="24">
        <v>1</v>
      </c>
      <c r="E356" s="10">
        <v>80</v>
      </c>
      <c r="F356" s="26">
        <v>0.05</v>
      </c>
      <c r="G356" s="10">
        <v>4</v>
      </c>
      <c r="H356" s="10">
        <v>16</v>
      </c>
      <c r="I356" s="10">
        <v>16</v>
      </c>
      <c r="J356" s="10">
        <v>29.0449547145534</v>
      </c>
      <c r="K356" s="10">
        <v>0</v>
      </c>
      <c r="L356" s="10">
        <v>0</v>
      </c>
      <c r="M356" s="10">
        <f>E356+K356-I356-J356-L356</f>
        <v>34.9550452854466</v>
      </c>
    </row>
    <row r="357" spans="1:13" ht="25" customHeight="1">
      <c r="A357" s="6" t="s">
        <v>79</v>
      </c>
      <c r="B357" s="7" t="s">
        <v>399</v>
      </c>
      <c r="C357" s="7" t="s">
        <v>198</v>
      </c>
      <c r="D357" s="23">
        <v>1</v>
      </c>
      <c r="E357" s="9">
        <v>350</v>
      </c>
      <c r="F357" s="25">
        <v>0.0475</v>
      </c>
      <c r="G357" s="9">
        <v>16.625</v>
      </c>
      <c r="H357" s="9">
        <v>0</v>
      </c>
      <c r="I357" s="9">
        <v>0</v>
      </c>
      <c r="J357" s="9">
        <v>0</v>
      </c>
      <c r="K357" s="9">
        <v>0</v>
      </c>
      <c r="L357" s="9">
        <v>0</v>
      </c>
      <c r="M357" s="9">
        <f>E357+K357-I357-J357-L357</f>
        <v>350.0</v>
      </c>
    </row>
    <row r="358" spans="1:13" ht="25" customHeight="1">
      <c r="A358" s="3" t="s">
        <v>79</v>
      </c>
      <c r="B358" s="4" t="s">
        <v>399</v>
      </c>
      <c r="C358" s="4" t="s">
        <v>394</v>
      </c>
      <c r="D358" s="24">
        <v>1</v>
      </c>
      <c r="E358" s="10">
        <v>304.5685279187817</v>
      </c>
      <c r="F358" s="26">
        <v>0.07500000000000001</v>
      </c>
      <c r="G358" s="10">
        <v>22.84263959390863</v>
      </c>
      <c r="H358" s="10">
        <v>6.091370558375635</v>
      </c>
      <c r="I358" s="10">
        <v>6.091370558375635</v>
      </c>
      <c r="J358" s="10">
        <v>298.4771573604061</v>
      </c>
      <c r="K358" s="10">
        <v>0</v>
      </c>
      <c r="L358" s="10">
        <v>0</v>
      </c>
      <c r="M358" s="10">
        <f>E358+K358-I358-J358-L358</f>
        <v>0.0</v>
      </c>
    </row>
    <row r="359" spans="1:13" ht="25" customHeight="1">
      <c r="A359" s="6" t="s">
        <v>79</v>
      </c>
      <c r="B359" s="7" t="s">
        <v>399</v>
      </c>
      <c r="C359" s="7" t="s">
        <v>395</v>
      </c>
      <c r="D359" s="23">
        <v>1</v>
      </c>
      <c r="E359" s="9">
        <v>0</v>
      </c>
      <c r="F359" s="25">
        <v>0.07250000000000001</v>
      </c>
      <c r="G359" s="9">
        <v>0</v>
      </c>
      <c r="H359" s="9">
        <v>0</v>
      </c>
      <c r="I359" s="9">
        <v>0</v>
      </c>
      <c r="J359" s="9">
        <v>0</v>
      </c>
      <c r="K359" s="9">
        <v>0</v>
      </c>
      <c r="L359" s="9">
        <v>0</v>
      </c>
      <c r="M359" s="9">
        <f>E359+K359-I359-J359-L359</f>
        <v>0.0</v>
      </c>
    </row>
    <row r="360" spans="1:13" ht="25" customHeight="1">
      <c r="A360" s="3" t="s">
        <v>79</v>
      </c>
      <c r="B360" s="4" t="s">
        <v>399</v>
      </c>
      <c r="C360" s="4" t="s">
        <v>139</v>
      </c>
      <c r="D360" s="24">
        <v>2</v>
      </c>
      <c r="E360" s="10">
        <v>900</v>
      </c>
      <c r="F360" s="26">
        <v>0.038</v>
      </c>
      <c r="G360" s="10">
        <v>34.2</v>
      </c>
      <c r="H360" s="10">
        <v>0</v>
      </c>
      <c r="I360" s="10">
        <v>0</v>
      </c>
      <c r="J360" s="10">
        <v>58.67520815333347</v>
      </c>
      <c r="K360" s="10">
        <v>0</v>
      </c>
      <c r="L360" s="10">
        <v>0</v>
      </c>
      <c r="M360" s="10">
        <f>E360+K360-I360-J360-L360</f>
        <v>841.3247918466666</v>
      </c>
    </row>
    <row r="361" spans="1:13" ht="25" customHeight="1">
      <c r="A361" s="6" t="s">
        <v>79</v>
      </c>
      <c r="B361" s="7" t="s">
        <v>399</v>
      </c>
      <c r="C361" s="7" t="s">
        <v>153</v>
      </c>
      <c r="D361" s="23">
        <v>2</v>
      </c>
      <c r="E361" s="9">
        <v>34.9550452854466</v>
      </c>
      <c r="F361" s="25">
        <v>0.05</v>
      </c>
      <c r="G361" s="9">
        <v>1.74775226427233</v>
      </c>
      <c r="H361" s="9">
        <v>16</v>
      </c>
      <c r="I361" s="9">
        <v>16</v>
      </c>
      <c r="J361" s="9">
        <v>18.9550452854466</v>
      </c>
      <c r="K361" s="9">
        <v>0</v>
      </c>
      <c r="L361" s="9">
        <v>0</v>
      </c>
      <c r="M361" s="9">
        <f>E361+K361-I361-J361-L361</f>
        <v>0.0</v>
      </c>
    </row>
    <row r="362" spans="1:13" ht="25" customHeight="1">
      <c r="A362" s="3" t="s">
        <v>79</v>
      </c>
      <c r="B362" s="4" t="s">
        <v>399</v>
      </c>
      <c r="C362" s="4" t="s">
        <v>198</v>
      </c>
      <c r="D362" s="24">
        <v>2</v>
      </c>
      <c r="E362" s="10">
        <v>350</v>
      </c>
      <c r="F362" s="26">
        <v>0.0475</v>
      </c>
      <c r="G362" s="10">
        <v>16.625</v>
      </c>
      <c r="H362" s="10">
        <v>0</v>
      </c>
      <c r="I362" s="10">
        <v>0</v>
      </c>
      <c r="J362" s="10">
        <v>350</v>
      </c>
      <c r="K362" s="10">
        <v>0</v>
      </c>
      <c r="L362" s="10">
        <v>0</v>
      </c>
      <c r="M362" s="10">
        <f>E362+K362-I362-J362-L362</f>
        <v>0.0</v>
      </c>
    </row>
    <row r="363" spans="1:13" ht="25" customHeight="1">
      <c r="A363" s="6" t="s">
        <v>79</v>
      </c>
      <c r="B363" s="7" t="s">
        <v>399</v>
      </c>
      <c r="C363" s="7" t="s">
        <v>394</v>
      </c>
      <c r="D363" s="23">
        <v>2</v>
      </c>
      <c r="E363" s="9">
        <v>0</v>
      </c>
      <c r="F363" s="25">
        <v>0.07250000000000001</v>
      </c>
      <c r="G363" s="9">
        <v>0</v>
      </c>
      <c r="H363" s="9">
        <v>0</v>
      </c>
      <c r="I363" s="9">
        <v>0</v>
      </c>
      <c r="J363" s="9">
        <v>0</v>
      </c>
      <c r="K363" s="9">
        <v>0</v>
      </c>
      <c r="L363" s="9">
        <v>0</v>
      </c>
      <c r="M363" s="9">
        <f>E363+K363-I363-J363-L363</f>
        <v>0.0</v>
      </c>
    </row>
    <row r="364" spans="1:13" ht="25" customHeight="1">
      <c r="A364" s="3" t="s">
        <v>79</v>
      </c>
      <c r="B364" s="4" t="s">
        <v>399</v>
      </c>
      <c r="C364" s="4" t="s">
        <v>395</v>
      </c>
      <c r="D364" s="24">
        <v>2</v>
      </c>
      <c r="E364" s="10">
        <v>0</v>
      </c>
      <c r="F364" s="26">
        <v>0.07000000000000001</v>
      </c>
      <c r="G364" s="10">
        <v>0</v>
      </c>
      <c r="H364" s="10">
        <v>0</v>
      </c>
      <c r="I364" s="10">
        <v>0</v>
      </c>
      <c r="J364" s="10">
        <v>0</v>
      </c>
      <c r="K364" s="10">
        <v>0</v>
      </c>
      <c r="L364" s="10">
        <v>0</v>
      </c>
      <c r="M364" s="10">
        <f>E364+K364-I364-J364-L364</f>
        <v>0.0</v>
      </c>
    </row>
    <row r="365" spans="1:13" ht="25" customHeight="1">
      <c r="A365" s="6" t="s">
        <v>79</v>
      </c>
      <c r="B365" s="7" t="s">
        <v>399</v>
      </c>
      <c r="C365" s="7" t="s">
        <v>139</v>
      </c>
      <c r="D365" s="23">
        <v>3</v>
      </c>
      <c r="E365" s="9">
        <v>841.3247918466666</v>
      </c>
      <c r="F365" s="25">
        <v>0.038</v>
      </c>
      <c r="G365" s="9">
        <v>31.97034209017333</v>
      </c>
      <c r="H365" s="9">
        <v>0</v>
      </c>
      <c r="I365" s="9">
        <v>0</v>
      </c>
      <c r="J365" s="9">
        <v>555.0850365102801</v>
      </c>
      <c r="K365" s="9">
        <v>0</v>
      </c>
      <c r="L365" s="9">
        <v>0</v>
      </c>
      <c r="M365" s="9">
        <f>E365+K365-I365-J365-L365</f>
        <v>286.23975533638645</v>
      </c>
    </row>
    <row r="366" spans="1:13" ht="25" customHeight="1">
      <c r="A366" s="3" t="s">
        <v>79</v>
      </c>
      <c r="B366" s="4" t="s">
        <v>399</v>
      </c>
      <c r="C366" s="4" t="s">
        <v>153</v>
      </c>
      <c r="D366" s="24">
        <v>3</v>
      </c>
      <c r="E366" s="10">
        <v>0</v>
      </c>
      <c r="F366" s="26">
        <v>0.05</v>
      </c>
      <c r="G366" s="10">
        <v>0</v>
      </c>
      <c r="H366" s="10">
        <v>0</v>
      </c>
      <c r="I366" s="10">
        <v>0</v>
      </c>
      <c r="J366" s="10">
        <v>0</v>
      </c>
      <c r="K366" s="10">
        <v>0</v>
      </c>
      <c r="L366" s="10">
        <v>0</v>
      </c>
      <c r="M366" s="10">
        <f>E366+K366-I366-J366-L366</f>
        <v>0.0</v>
      </c>
    </row>
    <row r="367" spans="1:13" ht="25" customHeight="1">
      <c r="A367" s="6" t="s">
        <v>79</v>
      </c>
      <c r="B367" s="7" t="s">
        <v>399</v>
      </c>
      <c r="C367" s="7" t="s">
        <v>198</v>
      </c>
      <c r="D367" s="23">
        <v>3</v>
      </c>
      <c r="E367" s="9">
        <v>0</v>
      </c>
      <c r="F367" s="25">
        <v>0.0475</v>
      </c>
      <c r="G367" s="9">
        <v>0</v>
      </c>
      <c r="H367" s="9">
        <v>0</v>
      </c>
      <c r="I367" s="9">
        <v>0</v>
      </c>
      <c r="J367" s="9">
        <v>0</v>
      </c>
      <c r="K367" s="9">
        <v>0</v>
      </c>
      <c r="L367" s="9">
        <v>0</v>
      </c>
      <c r="M367" s="9">
        <f>E367+K367-I367-J367-L367</f>
        <v>0.0</v>
      </c>
    </row>
    <row r="368" spans="1:13" ht="25" customHeight="1">
      <c r="A368" s="3" t="s">
        <v>79</v>
      </c>
      <c r="B368" s="4" t="s">
        <v>399</v>
      </c>
      <c r="C368" s="4" t="s">
        <v>394</v>
      </c>
      <c r="D368" s="24">
        <v>3</v>
      </c>
      <c r="E368" s="10">
        <v>0</v>
      </c>
      <c r="F368" s="26">
        <v>0.07000000000000001</v>
      </c>
      <c r="G368" s="10">
        <v>0</v>
      </c>
      <c r="H368" s="10">
        <v>0</v>
      </c>
      <c r="I368" s="10">
        <v>0</v>
      </c>
      <c r="J368" s="10">
        <v>0</v>
      </c>
      <c r="K368" s="10">
        <v>0</v>
      </c>
      <c r="L368" s="10">
        <v>0</v>
      </c>
      <c r="M368" s="10">
        <f>E368+K368-I368-J368-L368</f>
        <v>0.0</v>
      </c>
    </row>
    <row r="369" spans="1:13" ht="25" customHeight="1">
      <c r="A369" s="6" t="s">
        <v>79</v>
      </c>
      <c r="B369" s="7" t="s">
        <v>399</v>
      </c>
      <c r="C369" s="7" t="s">
        <v>395</v>
      </c>
      <c r="D369" s="23">
        <v>3</v>
      </c>
      <c r="E369" s="9">
        <v>0</v>
      </c>
      <c r="F369" s="25">
        <v>0.0675</v>
      </c>
      <c r="G369" s="9">
        <v>0</v>
      </c>
      <c r="H369" s="9">
        <v>0</v>
      </c>
      <c r="I369" s="9">
        <v>0</v>
      </c>
      <c r="J369" s="9">
        <v>0</v>
      </c>
      <c r="K369" s="9">
        <v>0</v>
      </c>
      <c r="L369" s="9">
        <v>0</v>
      </c>
      <c r="M369" s="9">
        <f>E369+K369-I369-J369-L369</f>
        <v>0.0</v>
      </c>
    </row>
    <row r="370" spans="1:13" ht="25" customHeight="1">
      <c r="A370" s="3" t="s">
        <v>79</v>
      </c>
      <c r="B370" s="4" t="s">
        <v>399</v>
      </c>
      <c r="C370" s="4" t="s">
        <v>139</v>
      </c>
      <c r="D370" s="24">
        <v>4</v>
      </c>
      <c r="E370" s="10">
        <v>286.2397553363865</v>
      </c>
      <c r="F370" s="26">
        <v>0.038</v>
      </c>
      <c r="G370" s="10">
        <v>10.87711070278269</v>
      </c>
      <c r="H370" s="10">
        <v>286.2397553363865</v>
      </c>
      <c r="I370" s="10">
        <v>286.2397553363865</v>
      </c>
      <c r="J370" s="10">
        <v>0</v>
      </c>
      <c r="K370" s="10">
        <v>0</v>
      </c>
      <c r="L370" s="10">
        <v>0</v>
      </c>
      <c r="M370" s="10">
        <f>E370+K370-I370-J370-L370</f>
        <v>0.0</v>
      </c>
    </row>
    <row r="371" spans="1:13" ht="25" customHeight="1">
      <c r="A371" s="6" t="s">
        <v>79</v>
      </c>
      <c r="B371" s="7" t="s">
        <v>399</v>
      </c>
      <c r="C371" s="7" t="s">
        <v>153</v>
      </c>
      <c r="D371" s="23">
        <v>4</v>
      </c>
      <c r="E371" s="9">
        <v>0</v>
      </c>
      <c r="F371" s="25">
        <v>0.05</v>
      </c>
      <c r="G371" s="9">
        <v>0</v>
      </c>
      <c r="H371" s="9">
        <v>0</v>
      </c>
      <c r="I371" s="9">
        <v>0</v>
      </c>
      <c r="J371" s="9">
        <v>0</v>
      </c>
      <c r="K371" s="9">
        <v>0</v>
      </c>
      <c r="L371" s="9">
        <v>0</v>
      </c>
      <c r="M371" s="9">
        <f>E371+K371-I371-J371-L371</f>
        <v>0.0</v>
      </c>
    </row>
    <row r="372" spans="1:13" ht="25" customHeight="1">
      <c r="A372" s="3" t="s">
        <v>79</v>
      </c>
      <c r="B372" s="4" t="s">
        <v>399</v>
      </c>
      <c r="C372" s="4" t="s">
        <v>198</v>
      </c>
      <c r="D372" s="24">
        <v>4</v>
      </c>
      <c r="E372" s="10">
        <v>0</v>
      </c>
      <c r="F372" s="26">
        <v>0.0475</v>
      </c>
      <c r="G372" s="10">
        <v>0</v>
      </c>
      <c r="H372" s="10">
        <v>0</v>
      </c>
      <c r="I372" s="10">
        <v>0</v>
      </c>
      <c r="J372" s="10">
        <v>0</v>
      </c>
      <c r="K372" s="10">
        <v>0</v>
      </c>
      <c r="L372" s="10">
        <v>0</v>
      </c>
      <c r="M372" s="10">
        <f>E372+K372-I372-J372-L372</f>
        <v>0.0</v>
      </c>
    </row>
    <row r="373" spans="1:13" ht="25" customHeight="1">
      <c r="A373" s="6" t="s">
        <v>79</v>
      </c>
      <c r="B373" s="7" t="s">
        <v>399</v>
      </c>
      <c r="C373" s="7" t="s">
        <v>394</v>
      </c>
      <c r="D373" s="23">
        <v>4</v>
      </c>
      <c r="E373" s="9">
        <v>0</v>
      </c>
      <c r="F373" s="25">
        <v>0.07000000000000001</v>
      </c>
      <c r="G373" s="9">
        <v>0</v>
      </c>
      <c r="H373" s="9">
        <v>0</v>
      </c>
      <c r="I373" s="9">
        <v>0</v>
      </c>
      <c r="J373" s="9">
        <v>0</v>
      </c>
      <c r="K373" s="9">
        <v>0</v>
      </c>
      <c r="L373" s="9">
        <v>0</v>
      </c>
      <c r="M373" s="9">
        <f>E373+K373-I373-J373-L373</f>
        <v>0.0</v>
      </c>
    </row>
    <row r="374" spans="1:13" ht="25" customHeight="1">
      <c r="A374" s="3" t="s">
        <v>79</v>
      </c>
      <c r="B374" s="4" t="s">
        <v>399</v>
      </c>
      <c r="C374" s="4" t="s">
        <v>395</v>
      </c>
      <c r="D374" s="24">
        <v>4</v>
      </c>
      <c r="E374" s="10">
        <v>0</v>
      </c>
      <c r="F374" s="26">
        <v>0.0675</v>
      </c>
      <c r="G374" s="10">
        <v>0</v>
      </c>
      <c r="H374" s="10">
        <v>0</v>
      </c>
      <c r="I374" s="10">
        <v>0</v>
      </c>
      <c r="J374" s="10">
        <v>0</v>
      </c>
      <c r="K374" s="10">
        <v>0</v>
      </c>
      <c r="L374" s="10">
        <v>0</v>
      </c>
      <c r="M374" s="10">
        <f>E374+K374-I374-J374-L374</f>
        <v>0.0</v>
      </c>
    </row>
    <row r="375" spans="1:13" ht="25" customHeight="1">
      <c r="A375" s="6" t="s">
        <v>79</v>
      </c>
      <c r="B375" s="7" t="s">
        <v>399</v>
      </c>
      <c r="C375" s="7" t="s">
        <v>139</v>
      </c>
      <c r="D375" s="23">
        <v>5</v>
      </c>
      <c r="E375" s="9">
        <v>0</v>
      </c>
      <c r="F375" s="25">
        <v>0.038</v>
      </c>
      <c r="G375" s="9">
        <v>0</v>
      </c>
      <c r="H375" s="9">
        <v>0</v>
      </c>
      <c r="I375" s="9">
        <v>0</v>
      </c>
      <c r="J375" s="9">
        <v>0</v>
      </c>
      <c r="K375" s="9">
        <v>0</v>
      </c>
      <c r="L375" s="9">
        <v>0</v>
      </c>
      <c r="M375" s="9">
        <f>E375+K375-I375-J375-L375</f>
        <v>0.0</v>
      </c>
    </row>
    <row r="376" spans="1:13" ht="25" customHeight="1">
      <c r="A376" s="3" t="s">
        <v>79</v>
      </c>
      <c r="B376" s="4" t="s">
        <v>399</v>
      </c>
      <c r="C376" s="4" t="s">
        <v>153</v>
      </c>
      <c r="D376" s="24">
        <v>5</v>
      </c>
      <c r="E376" s="10">
        <v>0</v>
      </c>
      <c r="F376" s="26">
        <v>0.05</v>
      </c>
      <c r="G376" s="10">
        <v>0</v>
      </c>
      <c r="H376" s="10">
        <v>0</v>
      </c>
      <c r="I376" s="10">
        <v>0</v>
      </c>
      <c r="J376" s="10">
        <v>0</v>
      </c>
      <c r="K376" s="10">
        <v>0</v>
      </c>
      <c r="L376" s="10">
        <v>0</v>
      </c>
      <c r="M376" s="10">
        <f>E376+K376-I376-J376-L376</f>
        <v>0.0</v>
      </c>
    </row>
    <row r="377" spans="1:13" ht="25" customHeight="1">
      <c r="A377" s="6" t="s">
        <v>79</v>
      </c>
      <c r="B377" s="7" t="s">
        <v>399</v>
      </c>
      <c r="C377" s="7" t="s">
        <v>198</v>
      </c>
      <c r="D377" s="23">
        <v>5</v>
      </c>
      <c r="E377" s="9">
        <v>0</v>
      </c>
      <c r="F377" s="25">
        <v>0.0475</v>
      </c>
      <c r="G377" s="9">
        <v>0</v>
      </c>
      <c r="H377" s="9">
        <v>0</v>
      </c>
      <c r="I377" s="9">
        <v>0</v>
      </c>
      <c r="J377" s="9">
        <v>0</v>
      </c>
      <c r="K377" s="9">
        <v>0</v>
      </c>
      <c r="L377" s="9">
        <v>0</v>
      </c>
      <c r="M377" s="9">
        <f>E377+K377-I377-J377-L377</f>
        <v>0.0</v>
      </c>
    </row>
    <row r="378" spans="1:13" ht="25" customHeight="1">
      <c r="A378" s="3" t="s">
        <v>79</v>
      </c>
      <c r="B378" s="4" t="s">
        <v>399</v>
      </c>
      <c r="C378" s="4" t="s">
        <v>394</v>
      </c>
      <c r="D378" s="24">
        <v>5</v>
      </c>
      <c r="E378" s="10">
        <v>0</v>
      </c>
      <c r="F378" s="26">
        <v>0.07000000000000001</v>
      </c>
      <c r="G378" s="10">
        <v>0</v>
      </c>
      <c r="H378" s="10">
        <v>0</v>
      </c>
      <c r="I378" s="10">
        <v>0</v>
      </c>
      <c r="J378" s="10">
        <v>0</v>
      </c>
      <c r="K378" s="10">
        <v>0</v>
      </c>
      <c r="L378" s="10">
        <v>0</v>
      </c>
      <c r="M378" s="10">
        <f>E378+K378-I378-J378-L378</f>
        <v>0.0</v>
      </c>
    </row>
    <row r="379" spans="1:13" ht="25" customHeight="1">
      <c r="A379" s="6" t="s">
        <v>79</v>
      </c>
      <c r="B379" s="7" t="s">
        <v>399</v>
      </c>
      <c r="C379" s="7" t="s">
        <v>395</v>
      </c>
      <c r="D379" s="23">
        <v>5</v>
      </c>
      <c r="E379" s="9">
        <v>0</v>
      </c>
      <c r="F379" s="25">
        <v>0.0675</v>
      </c>
      <c r="G379" s="9">
        <v>0</v>
      </c>
      <c r="H379" s="9">
        <v>0</v>
      </c>
      <c r="I379" s="9">
        <v>0</v>
      </c>
      <c r="J379" s="9">
        <v>0</v>
      </c>
      <c r="K379" s="9">
        <v>0</v>
      </c>
      <c r="L379" s="9">
        <v>0</v>
      </c>
      <c r="M379" s="9">
        <f>E379+K379-I379-J379-L379</f>
        <v>0.0</v>
      </c>
    </row>
    <row r="380" spans="1:13" ht="25" customHeight="1">
      <c r="A380" s="3" t="s">
        <v>68</v>
      </c>
      <c r="B380" s="4" t="s">
        <v>400</v>
      </c>
      <c r="C380" s="4" t="s">
        <v>139</v>
      </c>
      <c r="D380" s="24">
        <v>1</v>
      </c>
      <c r="E380" s="10">
        <v>900</v>
      </c>
      <c r="F380" s="26">
        <v>0.038</v>
      </c>
      <c r="G380" s="10">
        <v>34.2</v>
      </c>
      <c r="H380" s="10">
        <v>0</v>
      </c>
      <c r="I380" s="10">
        <v>0</v>
      </c>
      <c r="J380" s="10">
        <v>0</v>
      </c>
      <c r="K380" s="10">
        <v>0</v>
      </c>
      <c r="L380" s="10">
        <v>0</v>
      </c>
      <c r="M380" s="10">
        <f>E380+K380-I380-J380-L380</f>
        <v>900.0</v>
      </c>
    </row>
    <row r="381" spans="1:13" ht="25" customHeight="1">
      <c r="A381" s="6" t="s">
        <v>68</v>
      </c>
      <c r="B381" s="7" t="s">
        <v>400</v>
      </c>
      <c r="C381" s="7" t="s">
        <v>153</v>
      </c>
      <c r="D381" s="23">
        <v>1</v>
      </c>
      <c r="E381" s="9">
        <v>80</v>
      </c>
      <c r="F381" s="25">
        <v>0.05</v>
      </c>
      <c r="G381" s="9">
        <v>4</v>
      </c>
      <c r="H381" s="9">
        <v>16</v>
      </c>
      <c r="I381" s="9">
        <v>16</v>
      </c>
      <c r="J381" s="9">
        <v>0</v>
      </c>
      <c r="K381" s="9">
        <v>0</v>
      </c>
      <c r="L381" s="9">
        <v>0</v>
      </c>
      <c r="M381" s="9">
        <f>E381+K381-I381-J381-L381</f>
        <v>64.0</v>
      </c>
    </row>
    <row r="382" spans="1:13" ht="25" customHeight="1">
      <c r="A382" s="3" t="s">
        <v>68</v>
      </c>
      <c r="B382" s="4" t="s">
        <v>400</v>
      </c>
      <c r="C382" s="4" t="s">
        <v>198</v>
      </c>
      <c r="D382" s="24">
        <v>1</v>
      </c>
      <c r="E382" s="10">
        <v>350</v>
      </c>
      <c r="F382" s="26">
        <v>0.0475</v>
      </c>
      <c r="G382" s="10">
        <v>16.625</v>
      </c>
      <c r="H382" s="10">
        <v>0</v>
      </c>
      <c r="I382" s="10">
        <v>0</v>
      </c>
      <c r="J382" s="10">
        <v>0</v>
      </c>
      <c r="K382" s="10">
        <v>0</v>
      </c>
      <c r="L382" s="10">
        <v>0</v>
      </c>
      <c r="M382" s="10">
        <f>E382+K382-I382-J382-L382</f>
        <v>350.0</v>
      </c>
    </row>
    <row r="383" spans="1:13" ht="25" customHeight="1">
      <c r="A383" s="6" t="s">
        <v>68</v>
      </c>
      <c r="B383" s="7" t="s">
        <v>400</v>
      </c>
      <c r="C383" s="7" t="s">
        <v>394</v>
      </c>
      <c r="D383" s="23">
        <v>1</v>
      </c>
      <c r="E383" s="9">
        <v>1340.10152284264</v>
      </c>
      <c r="F383" s="25">
        <v>0.075</v>
      </c>
      <c r="G383" s="9">
        <v>100.507614213198</v>
      </c>
      <c r="H383" s="9">
        <v>26.80203045685279</v>
      </c>
      <c r="I383" s="9">
        <v>26.80203045685279</v>
      </c>
      <c r="J383" s="9">
        <v>248.5627212120156</v>
      </c>
      <c r="K383" s="9">
        <v>0</v>
      </c>
      <c r="L383" s="9">
        <v>0</v>
      </c>
      <c r="M383" s="9">
        <f>E383+K383-I383-J383-L383</f>
        <v>1064.736771173771</v>
      </c>
    </row>
    <row r="384" spans="1:13" ht="25" customHeight="1">
      <c r="A384" s="3" t="s">
        <v>68</v>
      </c>
      <c r="B384" s="4" t="s">
        <v>400</v>
      </c>
      <c r="C384" s="4" t="s">
        <v>395</v>
      </c>
      <c r="D384" s="24">
        <v>1</v>
      </c>
      <c r="E384" s="10">
        <v>0</v>
      </c>
      <c r="F384" s="26">
        <v>0.0625</v>
      </c>
      <c r="G384" s="10">
        <v>0</v>
      </c>
      <c r="H384" s="10">
        <v>0</v>
      </c>
      <c r="I384" s="10">
        <v>0</v>
      </c>
      <c r="J384" s="10">
        <v>0</v>
      </c>
      <c r="K384" s="10">
        <v>0</v>
      </c>
      <c r="L384" s="10">
        <v>0</v>
      </c>
      <c r="M384" s="10">
        <f>E384+K384-I384-J384-L384</f>
        <v>0.0</v>
      </c>
    </row>
    <row r="385" spans="1:13" ht="25" customHeight="1">
      <c r="A385" s="6" t="s">
        <v>68</v>
      </c>
      <c r="B385" s="7" t="s">
        <v>400</v>
      </c>
      <c r="C385" s="7" t="s">
        <v>139</v>
      </c>
      <c r="D385" s="23">
        <v>2</v>
      </c>
      <c r="E385" s="9">
        <v>900</v>
      </c>
      <c r="F385" s="25">
        <v>0.038</v>
      </c>
      <c r="G385" s="9">
        <v>34.2</v>
      </c>
      <c r="H385" s="9">
        <v>0</v>
      </c>
      <c r="I385" s="9">
        <v>0</v>
      </c>
      <c r="J385" s="9">
        <v>0</v>
      </c>
      <c r="K385" s="9">
        <v>0</v>
      </c>
      <c r="L385" s="9">
        <v>0</v>
      </c>
      <c r="M385" s="9">
        <f>E385+K385-I385-J385-L385</f>
        <v>900.0</v>
      </c>
    </row>
    <row r="386" spans="1:13" ht="25" customHeight="1">
      <c r="A386" s="3" t="s">
        <v>68</v>
      </c>
      <c r="B386" s="4" t="s">
        <v>400</v>
      </c>
      <c r="C386" s="4" t="s">
        <v>153</v>
      </c>
      <c r="D386" s="24">
        <v>2</v>
      </c>
      <c r="E386" s="10">
        <v>64</v>
      </c>
      <c r="F386" s="26">
        <v>0.05</v>
      </c>
      <c r="G386" s="10">
        <v>3.2</v>
      </c>
      <c r="H386" s="10">
        <v>16</v>
      </c>
      <c r="I386" s="10">
        <v>16</v>
      </c>
      <c r="J386" s="10">
        <v>0</v>
      </c>
      <c r="K386" s="10">
        <v>0</v>
      </c>
      <c r="L386" s="10">
        <v>0</v>
      </c>
      <c r="M386" s="10">
        <f>E386+K386-I386-J386-L386</f>
        <v>48.0</v>
      </c>
    </row>
    <row r="387" spans="1:13" ht="25" customHeight="1">
      <c r="A387" s="6" t="s">
        <v>68</v>
      </c>
      <c r="B387" s="7" t="s">
        <v>400</v>
      </c>
      <c r="C387" s="7" t="s">
        <v>198</v>
      </c>
      <c r="D387" s="23">
        <v>2</v>
      </c>
      <c r="E387" s="9">
        <v>350</v>
      </c>
      <c r="F387" s="25">
        <v>0.0475</v>
      </c>
      <c r="G387" s="9">
        <v>16.625</v>
      </c>
      <c r="H387" s="9">
        <v>0</v>
      </c>
      <c r="I387" s="9">
        <v>0</v>
      </c>
      <c r="J387" s="9">
        <v>0</v>
      </c>
      <c r="K387" s="9">
        <v>0</v>
      </c>
      <c r="L387" s="9">
        <v>0</v>
      </c>
      <c r="M387" s="9">
        <f>E387+K387-I387-J387-L387</f>
        <v>350.0</v>
      </c>
    </row>
    <row r="388" spans="1:13" ht="25" customHeight="1">
      <c r="A388" s="3" t="s">
        <v>68</v>
      </c>
      <c r="B388" s="4" t="s">
        <v>400</v>
      </c>
      <c r="C388" s="4" t="s">
        <v>394</v>
      </c>
      <c r="D388" s="24">
        <v>2</v>
      </c>
      <c r="E388" s="10">
        <v>1064.736771173771</v>
      </c>
      <c r="F388" s="26">
        <v>0.0725</v>
      </c>
      <c r="G388" s="10">
        <v>77.19341591009839</v>
      </c>
      <c r="H388" s="10">
        <v>26.80203045685279</v>
      </c>
      <c r="I388" s="10">
        <v>26.80203045685279</v>
      </c>
      <c r="J388" s="10">
        <v>341.8439752475576</v>
      </c>
      <c r="K388" s="10">
        <v>0</v>
      </c>
      <c r="L388" s="10">
        <v>0</v>
      </c>
      <c r="M388" s="10">
        <f>E388+K388-I388-J388-L388</f>
        <v>696.0907654693606</v>
      </c>
    </row>
    <row r="389" spans="1:13" ht="25" customHeight="1">
      <c r="A389" s="6" t="s">
        <v>68</v>
      </c>
      <c r="B389" s="7" t="s">
        <v>400</v>
      </c>
      <c r="C389" s="7" t="s">
        <v>395</v>
      </c>
      <c r="D389" s="23">
        <v>2</v>
      </c>
      <c r="E389" s="9">
        <v>0</v>
      </c>
      <c r="F389" s="25">
        <v>0.06</v>
      </c>
      <c r="G389" s="9">
        <v>0</v>
      </c>
      <c r="H389" s="9">
        <v>0</v>
      </c>
      <c r="I389" s="9">
        <v>0</v>
      </c>
      <c r="J389" s="9">
        <v>0</v>
      </c>
      <c r="K389" s="9">
        <v>0</v>
      </c>
      <c r="L389" s="9">
        <v>0</v>
      </c>
      <c r="M389" s="9">
        <f>E389+K389-I389-J389-L389</f>
        <v>0.0</v>
      </c>
    </row>
    <row r="390" spans="1:13" ht="25" customHeight="1">
      <c r="A390" s="3" t="s">
        <v>68</v>
      </c>
      <c r="B390" s="4" t="s">
        <v>400</v>
      </c>
      <c r="C390" s="4" t="s">
        <v>139</v>
      </c>
      <c r="D390" s="24">
        <v>3</v>
      </c>
      <c r="E390" s="10">
        <v>900</v>
      </c>
      <c r="F390" s="26">
        <v>0.038</v>
      </c>
      <c r="G390" s="10">
        <v>34.2</v>
      </c>
      <c r="H390" s="10">
        <v>0</v>
      </c>
      <c r="I390" s="10">
        <v>0</v>
      </c>
      <c r="J390" s="10">
        <v>0</v>
      </c>
      <c r="K390" s="10">
        <v>0</v>
      </c>
      <c r="L390" s="10">
        <v>0</v>
      </c>
      <c r="M390" s="10">
        <f>E390+K390-I390-J390-L390</f>
        <v>900.0</v>
      </c>
    </row>
    <row r="391" spans="1:13" ht="25" customHeight="1">
      <c r="A391" s="6" t="s">
        <v>68</v>
      </c>
      <c r="B391" s="7" t="s">
        <v>400</v>
      </c>
      <c r="C391" s="7" t="s">
        <v>153</v>
      </c>
      <c r="D391" s="23">
        <v>3</v>
      </c>
      <c r="E391" s="9">
        <v>48</v>
      </c>
      <c r="F391" s="25">
        <v>0.05</v>
      </c>
      <c r="G391" s="9">
        <v>2.4</v>
      </c>
      <c r="H391" s="9">
        <v>16</v>
      </c>
      <c r="I391" s="9">
        <v>16</v>
      </c>
      <c r="J391" s="9">
        <v>0</v>
      </c>
      <c r="K391" s="9">
        <v>0</v>
      </c>
      <c r="L391" s="9">
        <v>0</v>
      </c>
      <c r="M391" s="9">
        <f>E391+K391-I391-J391-L391</f>
        <v>32.0</v>
      </c>
    </row>
    <row r="392" spans="1:13" ht="25" customHeight="1">
      <c r="A392" s="3" t="s">
        <v>68</v>
      </c>
      <c r="B392" s="4" t="s">
        <v>400</v>
      </c>
      <c r="C392" s="4" t="s">
        <v>198</v>
      </c>
      <c r="D392" s="24">
        <v>3</v>
      </c>
      <c r="E392" s="10">
        <v>350</v>
      </c>
      <c r="F392" s="26">
        <v>0.0475</v>
      </c>
      <c r="G392" s="10">
        <v>16.625</v>
      </c>
      <c r="H392" s="10">
        <v>350</v>
      </c>
      <c r="I392" s="10">
        <v>350</v>
      </c>
      <c r="J392" s="10">
        <v>0</v>
      </c>
      <c r="K392" s="10">
        <v>0</v>
      </c>
      <c r="L392" s="10">
        <v>0</v>
      </c>
      <c r="M392" s="10">
        <f>E392+K392-I392-J392-L392</f>
        <v>0.0</v>
      </c>
    </row>
    <row r="393" spans="1:13" ht="25" customHeight="1">
      <c r="A393" s="6" t="s">
        <v>68</v>
      </c>
      <c r="B393" s="7" t="s">
        <v>400</v>
      </c>
      <c r="C393" s="7" t="s">
        <v>394</v>
      </c>
      <c r="D393" s="23">
        <v>3</v>
      </c>
      <c r="E393" s="9">
        <v>696.0907654693606</v>
      </c>
      <c r="F393" s="25">
        <v>0.07000000000000001</v>
      </c>
      <c r="G393" s="9">
        <v>48.72635358285525</v>
      </c>
      <c r="H393" s="9">
        <v>26.80203045685279</v>
      </c>
      <c r="I393" s="9">
        <v>26.80203045685279</v>
      </c>
      <c r="J393" s="9">
        <v>109.7972474339161</v>
      </c>
      <c r="K393" s="9">
        <v>0</v>
      </c>
      <c r="L393" s="9">
        <v>0</v>
      </c>
      <c r="M393" s="9">
        <f>E393+K393-I393-J393-L393</f>
        <v>559.4914875785917</v>
      </c>
    </row>
    <row r="394" spans="1:13" ht="25" customHeight="1">
      <c r="A394" s="3" t="s">
        <v>68</v>
      </c>
      <c r="B394" s="4" t="s">
        <v>400</v>
      </c>
      <c r="C394" s="4" t="s">
        <v>395</v>
      </c>
      <c r="D394" s="24">
        <v>3</v>
      </c>
      <c r="E394" s="10">
        <v>0</v>
      </c>
      <c r="F394" s="26">
        <v>0.0575</v>
      </c>
      <c r="G394" s="10">
        <v>0</v>
      </c>
      <c r="H394" s="10">
        <v>0</v>
      </c>
      <c r="I394" s="10">
        <v>0</v>
      </c>
      <c r="J394" s="10">
        <v>0</v>
      </c>
      <c r="K394" s="10">
        <v>0</v>
      </c>
      <c r="L394" s="10">
        <v>0</v>
      </c>
      <c r="M394" s="10">
        <f>E394+K394-I394-J394-L394</f>
        <v>0.0</v>
      </c>
    </row>
    <row r="395" spans="1:13" ht="25" customHeight="1">
      <c r="A395" s="6" t="s">
        <v>68</v>
      </c>
      <c r="B395" s="7" t="s">
        <v>400</v>
      </c>
      <c r="C395" s="7" t="s">
        <v>139</v>
      </c>
      <c r="D395" s="23">
        <v>4</v>
      </c>
      <c r="E395" s="9">
        <v>900</v>
      </c>
      <c r="F395" s="25">
        <v>0.038</v>
      </c>
      <c r="G395" s="9">
        <v>34.2</v>
      </c>
      <c r="H395" s="9">
        <v>900</v>
      </c>
      <c r="I395" s="9">
        <v>900</v>
      </c>
      <c r="J395" s="9">
        <v>0</v>
      </c>
      <c r="K395" s="9">
        <v>0</v>
      </c>
      <c r="L395" s="9">
        <v>0</v>
      </c>
      <c r="M395" s="9">
        <f>E395+K395-I395-J395-L395</f>
        <v>0.0</v>
      </c>
    </row>
    <row r="396" spans="1:13" ht="25" customHeight="1">
      <c r="A396" s="3" t="s">
        <v>68</v>
      </c>
      <c r="B396" s="4" t="s">
        <v>400</v>
      </c>
      <c r="C396" s="4" t="s">
        <v>153</v>
      </c>
      <c r="D396" s="24">
        <v>4</v>
      </c>
      <c r="E396" s="10">
        <v>32</v>
      </c>
      <c r="F396" s="26">
        <v>0.05</v>
      </c>
      <c r="G396" s="10">
        <v>1.6</v>
      </c>
      <c r="H396" s="10">
        <v>16</v>
      </c>
      <c r="I396" s="10">
        <v>16</v>
      </c>
      <c r="J396" s="10">
        <v>0</v>
      </c>
      <c r="K396" s="10">
        <v>0</v>
      </c>
      <c r="L396" s="10">
        <v>0</v>
      </c>
      <c r="M396" s="10">
        <f>E396+K396-I396-J396-L396</f>
        <v>16.0</v>
      </c>
    </row>
    <row r="397" spans="1:13" ht="25" customHeight="1">
      <c r="A397" s="6" t="s">
        <v>68</v>
      </c>
      <c r="B397" s="7" t="s">
        <v>400</v>
      </c>
      <c r="C397" s="7" t="s">
        <v>198</v>
      </c>
      <c r="D397" s="23">
        <v>4</v>
      </c>
      <c r="E397" s="9">
        <v>0</v>
      </c>
      <c r="F397" s="25">
        <v>0.0475</v>
      </c>
      <c r="G397" s="9">
        <v>0</v>
      </c>
      <c r="H397" s="9">
        <v>0</v>
      </c>
      <c r="I397" s="9">
        <v>0</v>
      </c>
      <c r="J397" s="9">
        <v>0</v>
      </c>
      <c r="K397" s="9">
        <v>0</v>
      </c>
      <c r="L397" s="9">
        <v>0</v>
      </c>
      <c r="M397" s="9">
        <f>E397+K397-I397-J397-L397</f>
        <v>0.0</v>
      </c>
    </row>
    <row r="398" spans="1:13" ht="25" customHeight="1">
      <c r="A398" s="3" t="s">
        <v>68</v>
      </c>
      <c r="B398" s="4" t="s">
        <v>400</v>
      </c>
      <c r="C398" s="4" t="s">
        <v>394</v>
      </c>
      <c r="D398" s="24">
        <v>4</v>
      </c>
      <c r="E398" s="10">
        <v>559.4914875785917</v>
      </c>
      <c r="F398" s="26">
        <v>0.07000000000000001</v>
      </c>
      <c r="G398" s="10">
        <v>39.16440413050142</v>
      </c>
      <c r="H398" s="10">
        <v>26.80203045685279</v>
      </c>
      <c r="I398" s="10">
        <v>26.80203045685279</v>
      </c>
      <c r="J398" s="10">
        <v>0</v>
      </c>
      <c r="K398" s="10">
        <v>0</v>
      </c>
      <c r="L398" s="10">
        <v>0</v>
      </c>
      <c r="M398" s="10">
        <f>E398+K398-I398-J398-L398</f>
        <v>532.6894571217389</v>
      </c>
    </row>
    <row r="399" spans="1:13" ht="25" customHeight="1">
      <c r="A399" s="6" t="s">
        <v>68</v>
      </c>
      <c r="B399" s="7" t="s">
        <v>400</v>
      </c>
      <c r="C399" s="7" t="s">
        <v>395</v>
      </c>
      <c r="D399" s="23">
        <v>4</v>
      </c>
      <c r="E399" s="9">
        <v>0</v>
      </c>
      <c r="F399" s="25">
        <v>0.0575</v>
      </c>
      <c r="G399" s="9">
        <v>0</v>
      </c>
      <c r="H399" s="9">
        <v>0</v>
      </c>
      <c r="I399" s="9">
        <v>0</v>
      </c>
      <c r="J399" s="9">
        <v>0</v>
      </c>
      <c r="K399" s="9">
        <v>373.1284610498719</v>
      </c>
      <c r="L399" s="9">
        <v>0</v>
      </c>
      <c r="M399" s="9">
        <f>E399+K399-I399-J399-L399</f>
        <v>373.12846104987193</v>
      </c>
    </row>
    <row r="400" spans="1:13" ht="25" customHeight="1">
      <c r="A400" s="3" t="s">
        <v>68</v>
      </c>
      <c r="B400" s="4" t="s">
        <v>400</v>
      </c>
      <c r="C400" s="4" t="s">
        <v>139</v>
      </c>
      <c r="D400" s="24">
        <v>5</v>
      </c>
      <c r="E400" s="10">
        <v>0</v>
      </c>
      <c r="F400" s="26">
        <v>0.038</v>
      </c>
      <c r="G400" s="10">
        <v>0</v>
      </c>
      <c r="H400" s="10">
        <v>0</v>
      </c>
      <c r="I400" s="10">
        <v>0</v>
      </c>
      <c r="J400" s="10">
        <v>0</v>
      </c>
      <c r="K400" s="10">
        <v>0</v>
      </c>
      <c r="L400" s="10">
        <v>0</v>
      </c>
      <c r="M400" s="10">
        <f>E400+K400-I400-J400-L400</f>
        <v>0.0</v>
      </c>
    </row>
    <row r="401" spans="1:13" ht="25" customHeight="1">
      <c r="A401" s="6" t="s">
        <v>68</v>
      </c>
      <c r="B401" s="7" t="s">
        <v>400</v>
      </c>
      <c r="C401" s="7" t="s">
        <v>153</v>
      </c>
      <c r="D401" s="23">
        <v>5</v>
      </c>
      <c r="E401" s="9">
        <v>16</v>
      </c>
      <c r="F401" s="25">
        <v>0.05</v>
      </c>
      <c r="G401" s="9">
        <v>0.8</v>
      </c>
      <c r="H401" s="9">
        <v>16</v>
      </c>
      <c r="I401" s="9">
        <v>16</v>
      </c>
      <c r="J401" s="9">
        <v>0</v>
      </c>
      <c r="K401" s="9">
        <v>0</v>
      </c>
      <c r="L401" s="9">
        <v>0</v>
      </c>
      <c r="M401" s="9">
        <f>E401+K401-I401-J401-L401</f>
        <v>0.0</v>
      </c>
    </row>
    <row r="402" spans="1:13" ht="25" customHeight="1">
      <c r="A402" s="3" t="s">
        <v>68</v>
      </c>
      <c r="B402" s="4" t="s">
        <v>400</v>
      </c>
      <c r="C402" s="4" t="s">
        <v>198</v>
      </c>
      <c r="D402" s="24">
        <v>5</v>
      </c>
      <c r="E402" s="10">
        <v>0</v>
      </c>
      <c r="F402" s="26">
        <v>0.0475</v>
      </c>
      <c r="G402" s="10">
        <v>0</v>
      </c>
      <c r="H402" s="10">
        <v>0</v>
      </c>
      <c r="I402" s="10">
        <v>0</v>
      </c>
      <c r="J402" s="10">
        <v>0</v>
      </c>
      <c r="K402" s="10">
        <v>0</v>
      </c>
      <c r="L402" s="10">
        <v>0</v>
      </c>
      <c r="M402" s="10">
        <f>E402+K402-I402-J402-L402</f>
        <v>0.0</v>
      </c>
    </row>
    <row r="403" spans="1:13" ht="25" customHeight="1">
      <c r="A403" s="6" t="s">
        <v>68</v>
      </c>
      <c r="B403" s="7" t="s">
        <v>400</v>
      </c>
      <c r="C403" s="7" t="s">
        <v>394</v>
      </c>
      <c r="D403" s="23">
        <v>5</v>
      </c>
      <c r="E403" s="9">
        <v>532.6894571217389</v>
      </c>
      <c r="F403" s="25">
        <v>0.07000000000000001</v>
      </c>
      <c r="G403" s="9">
        <v>37.28826199852173</v>
      </c>
      <c r="H403" s="9">
        <v>532.6894571217389</v>
      </c>
      <c r="I403" s="9">
        <v>532.6894571217389</v>
      </c>
      <c r="J403" s="9">
        <v>0</v>
      </c>
      <c r="K403" s="9">
        <v>0</v>
      </c>
      <c r="L403" s="9">
        <v>0</v>
      </c>
      <c r="M403" s="9">
        <f>E403+K403-I403-J403-L403</f>
        <v>0.0</v>
      </c>
    </row>
    <row r="404" spans="1:13" ht="25" customHeight="1">
      <c r="A404" s="3" t="s">
        <v>68</v>
      </c>
      <c r="B404" s="4" t="s">
        <v>400</v>
      </c>
      <c r="C404" s="4" t="s">
        <v>395</v>
      </c>
      <c r="D404" s="24">
        <v>5</v>
      </c>
      <c r="E404" s="10">
        <v>373.1284610498719</v>
      </c>
      <c r="F404" s="26">
        <v>0.0575</v>
      </c>
      <c r="G404" s="10">
        <v>21.45488651036764</v>
      </c>
      <c r="H404" s="10">
        <v>373.1284610498719</v>
      </c>
      <c r="I404" s="10">
        <v>373.1284610498719</v>
      </c>
      <c r="J404" s="10">
        <v>0</v>
      </c>
      <c r="K404" s="10">
        <v>0</v>
      </c>
      <c r="L404" s="10">
        <v>0</v>
      </c>
      <c r="M404" s="10">
        <f>E404+K404-I404-J404-L404</f>
        <v>0.0</v>
      </c>
    </row>
    <row r="405" spans="1:13" ht="25" customHeight="1">
      <c r="A405" s="6" t="s">
        <v>78</v>
      </c>
      <c r="B405" s="7" t="s">
        <v>400</v>
      </c>
      <c r="C405" s="7" t="s">
        <v>139</v>
      </c>
      <c r="D405" s="23">
        <v>1</v>
      </c>
      <c r="E405" s="9">
        <v>900</v>
      </c>
      <c r="F405" s="25">
        <v>0.038</v>
      </c>
      <c r="G405" s="9">
        <v>34.2</v>
      </c>
      <c r="H405" s="9">
        <v>0</v>
      </c>
      <c r="I405" s="9">
        <v>0</v>
      </c>
      <c r="J405" s="9">
        <v>0</v>
      </c>
      <c r="K405" s="9">
        <v>0</v>
      </c>
      <c r="L405" s="9">
        <v>0</v>
      </c>
      <c r="M405" s="9">
        <f>E405+K405-I405-J405-L405</f>
        <v>900.0</v>
      </c>
    </row>
    <row r="406" spans="1:13" ht="25" customHeight="1">
      <c r="A406" s="3" t="s">
        <v>78</v>
      </c>
      <c r="B406" s="4" t="s">
        <v>400</v>
      </c>
      <c r="C406" s="4" t="s">
        <v>153</v>
      </c>
      <c r="D406" s="24">
        <v>1</v>
      </c>
      <c r="E406" s="10">
        <v>80</v>
      </c>
      <c r="F406" s="26">
        <v>0.05</v>
      </c>
      <c r="G406" s="10">
        <v>4</v>
      </c>
      <c r="H406" s="10">
        <v>16</v>
      </c>
      <c r="I406" s="10">
        <v>16</v>
      </c>
      <c r="J406" s="10">
        <v>0</v>
      </c>
      <c r="K406" s="10">
        <v>0</v>
      </c>
      <c r="L406" s="10">
        <v>0</v>
      </c>
      <c r="M406" s="10">
        <f>E406+K406-I406-J406-L406</f>
        <v>64.0</v>
      </c>
    </row>
    <row r="407" spans="1:13" ht="25" customHeight="1">
      <c r="A407" s="6" t="s">
        <v>78</v>
      </c>
      <c r="B407" s="7" t="s">
        <v>400</v>
      </c>
      <c r="C407" s="7" t="s">
        <v>198</v>
      </c>
      <c r="D407" s="23">
        <v>1</v>
      </c>
      <c r="E407" s="9">
        <v>350</v>
      </c>
      <c r="F407" s="25">
        <v>0.0475</v>
      </c>
      <c r="G407" s="9">
        <v>16.625</v>
      </c>
      <c r="H407" s="9">
        <v>0</v>
      </c>
      <c r="I407" s="9">
        <v>0</v>
      </c>
      <c r="J407" s="9">
        <v>0</v>
      </c>
      <c r="K407" s="9">
        <v>0</v>
      </c>
      <c r="L407" s="9">
        <v>0</v>
      </c>
      <c r="M407" s="9">
        <f>E407+K407-I407-J407-L407</f>
        <v>350.0</v>
      </c>
    </row>
    <row r="408" spans="1:13" ht="25" customHeight="1">
      <c r="A408" s="3" t="s">
        <v>78</v>
      </c>
      <c r="B408" s="4" t="s">
        <v>400</v>
      </c>
      <c r="C408" s="4" t="s">
        <v>394</v>
      </c>
      <c r="D408" s="24">
        <v>1</v>
      </c>
      <c r="E408" s="10">
        <v>2223.350253807107</v>
      </c>
      <c r="F408" s="26">
        <v>0.075</v>
      </c>
      <c r="G408" s="10">
        <v>166.751269035533</v>
      </c>
      <c r="H408" s="10">
        <v>44.46700507614213</v>
      </c>
      <c r="I408" s="10">
        <v>44.46700507614213</v>
      </c>
      <c r="J408" s="10">
        <v>1051.215005475975</v>
      </c>
      <c r="K408" s="10">
        <v>0</v>
      </c>
      <c r="L408" s="10">
        <v>0</v>
      </c>
      <c r="M408" s="10">
        <f>E408+K408-I408-J408-L408</f>
        <v>1127.6682432549899</v>
      </c>
    </row>
    <row r="409" spans="1:13" ht="25" customHeight="1">
      <c r="A409" s="6" t="s">
        <v>78</v>
      </c>
      <c r="B409" s="7" t="s">
        <v>400</v>
      </c>
      <c r="C409" s="7" t="s">
        <v>395</v>
      </c>
      <c r="D409" s="23">
        <v>1</v>
      </c>
      <c r="E409" s="9">
        <v>0</v>
      </c>
      <c r="F409" s="25">
        <v>0.0625</v>
      </c>
      <c r="G409" s="9">
        <v>0</v>
      </c>
      <c r="H409" s="9">
        <v>0</v>
      </c>
      <c r="I409" s="9">
        <v>0</v>
      </c>
      <c r="J409" s="9">
        <v>0</v>
      </c>
      <c r="K409" s="9">
        <v>0</v>
      </c>
      <c r="L409" s="9">
        <v>0</v>
      </c>
      <c r="M409" s="9">
        <f>E409+K409-I409-J409-L409</f>
        <v>0.0</v>
      </c>
    </row>
    <row r="410" spans="1:13" ht="25" customHeight="1">
      <c r="A410" s="3" t="s">
        <v>78</v>
      </c>
      <c r="B410" s="4" t="s">
        <v>400</v>
      </c>
      <c r="C410" s="4" t="s">
        <v>139</v>
      </c>
      <c r="D410" s="24">
        <v>2</v>
      </c>
      <c r="E410" s="10">
        <v>900</v>
      </c>
      <c r="F410" s="26">
        <v>0.038</v>
      </c>
      <c r="G410" s="10">
        <v>34.2</v>
      </c>
      <c r="H410" s="10">
        <v>0</v>
      </c>
      <c r="I410" s="10">
        <v>0</v>
      </c>
      <c r="J410" s="10">
        <v>0</v>
      </c>
      <c r="K410" s="10">
        <v>0</v>
      </c>
      <c r="L410" s="10">
        <v>0</v>
      </c>
      <c r="M410" s="10">
        <f>E410+K410-I410-J410-L410</f>
        <v>900.0</v>
      </c>
    </row>
    <row r="411" spans="1:13" ht="25" customHeight="1">
      <c r="A411" s="6" t="s">
        <v>78</v>
      </c>
      <c r="B411" s="7" t="s">
        <v>400</v>
      </c>
      <c r="C411" s="7" t="s">
        <v>153</v>
      </c>
      <c r="D411" s="23">
        <v>2</v>
      </c>
      <c r="E411" s="9">
        <v>64</v>
      </c>
      <c r="F411" s="25">
        <v>0.05</v>
      </c>
      <c r="G411" s="9">
        <v>3.2</v>
      </c>
      <c r="H411" s="9">
        <v>16</v>
      </c>
      <c r="I411" s="9">
        <v>16</v>
      </c>
      <c r="J411" s="9">
        <v>0</v>
      </c>
      <c r="K411" s="9">
        <v>0</v>
      </c>
      <c r="L411" s="9">
        <v>0</v>
      </c>
      <c r="M411" s="9">
        <f>E411+K411-I411-J411-L411</f>
        <v>48.0</v>
      </c>
    </row>
    <row r="412" spans="1:13" ht="25" customHeight="1">
      <c r="A412" s="3" t="s">
        <v>78</v>
      </c>
      <c r="B412" s="4" t="s">
        <v>400</v>
      </c>
      <c r="C412" s="4" t="s">
        <v>198</v>
      </c>
      <c r="D412" s="24">
        <v>2</v>
      </c>
      <c r="E412" s="10">
        <v>350</v>
      </c>
      <c r="F412" s="26">
        <v>0.0475</v>
      </c>
      <c r="G412" s="10">
        <v>16.625</v>
      </c>
      <c r="H412" s="10">
        <v>0</v>
      </c>
      <c r="I412" s="10">
        <v>0</v>
      </c>
      <c r="J412" s="10">
        <v>0</v>
      </c>
      <c r="K412" s="10">
        <v>0</v>
      </c>
      <c r="L412" s="10">
        <v>0</v>
      </c>
      <c r="M412" s="10">
        <f>E412+K412-I412-J412-L412</f>
        <v>350.0</v>
      </c>
    </row>
    <row r="413" spans="1:13" ht="25" customHeight="1">
      <c r="A413" s="6" t="s">
        <v>78</v>
      </c>
      <c r="B413" s="7" t="s">
        <v>400</v>
      </c>
      <c r="C413" s="7" t="s">
        <v>394</v>
      </c>
      <c r="D413" s="23">
        <v>2</v>
      </c>
      <c r="E413" s="9">
        <v>1127.66824325499</v>
      </c>
      <c r="F413" s="25">
        <v>0.0725</v>
      </c>
      <c r="G413" s="9">
        <v>81.75594763598676</v>
      </c>
      <c r="H413" s="9">
        <v>44.46700507614213</v>
      </c>
      <c r="I413" s="9">
        <v>44.46700507614213</v>
      </c>
      <c r="J413" s="9">
        <v>320.7571018338524</v>
      </c>
      <c r="K413" s="9">
        <v>0</v>
      </c>
      <c r="L413" s="9">
        <v>0</v>
      </c>
      <c r="M413" s="9">
        <f>E413+K413-I413-J413-L413</f>
        <v>762.4441363449953</v>
      </c>
    </row>
    <row r="414" spans="1:13" ht="25" customHeight="1">
      <c r="A414" s="3" t="s">
        <v>78</v>
      </c>
      <c r="B414" s="4" t="s">
        <v>400</v>
      </c>
      <c r="C414" s="4" t="s">
        <v>395</v>
      </c>
      <c r="D414" s="24">
        <v>2</v>
      </c>
      <c r="E414" s="10">
        <v>0</v>
      </c>
      <c r="F414" s="26">
        <v>0.06</v>
      </c>
      <c r="G414" s="10">
        <v>0</v>
      </c>
      <c r="H414" s="10">
        <v>0</v>
      </c>
      <c r="I414" s="10">
        <v>0</v>
      </c>
      <c r="J414" s="10">
        <v>0</v>
      </c>
      <c r="K414" s="10">
        <v>0</v>
      </c>
      <c r="L414" s="10">
        <v>0</v>
      </c>
      <c r="M414" s="10">
        <f>E414+K414-I414-J414-L414</f>
        <v>0.0</v>
      </c>
    </row>
    <row r="415" spans="1:13" ht="25" customHeight="1">
      <c r="A415" s="6" t="s">
        <v>78</v>
      </c>
      <c r="B415" s="7" t="s">
        <v>400</v>
      </c>
      <c r="C415" s="7" t="s">
        <v>139</v>
      </c>
      <c r="D415" s="23">
        <v>3</v>
      </c>
      <c r="E415" s="9">
        <v>900</v>
      </c>
      <c r="F415" s="25">
        <v>0.038</v>
      </c>
      <c r="G415" s="9">
        <v>34.2</v>
      </c>
      <c r="H415" s="9">
        <v>0</v>
      </c>
      <c r="I415" s="9">
        <v>0</v>
      </c>
      <c r="J415" s="9">
        <v>0</v>
      </c>
      <c r="K415" s="9">
        <v>0</v>
      </c>
      <c r="L415" s="9">
        <v>0</v>
      </c>
      <c r="M415" s="9">
        <f>E415+K415-I415-J415-L415</f>
        <v>900.0</v>
      </c>
    </row>
    <row r="416" spans="1:13" ht="25" customHeight="1">
      <c r="A416" s="3" t="s">
        <v>78</v>
      </c>
      <c r="B416" s="4" t="s">
        <v>400</v>
      </c>
      <c r="C416" s="4" t="s">
        <v>153</v>
      </c>
      <c r="D416" s="24">
        <v>3</v>
      </c>
      <c r="E416" s="10">
        <v>48</v>
      </c>
      <c r="F416" s="26">
        <v>0.05</v>
      </c>
      <c r="G416" s="10">
        <v>2.4</v>
      </c>
      <c r="H416" s="10">
        <v>16</v>
      </c>
      <c r="I416" s="10">
        <v>16</v>
      </c>
      <c r="J416" s="10">
        <v>0</v>
      </c>
      <c r="K416" s="10">
        <v>0</v>
      </c>
      <c r="L416" s="10">
        <v>0</v>
      </c>
      <c r="M416" s="10">
        <f>E416+K416-I416-J416-L416</f>
        <v>32.0</v>
      </c>
    </row>
    <row r="417" spans="1:13" ht="25" customHeight="1">
      <c r="A417" s="6" t="s">
        <v>78</v>
      </c>
      <c r="B417" s="7" t="s">
        <v>400</v>
      </c>
      <c r="C417" s="7" t="s">
        <v>198</v>
      </c>
      <c r="D417" s="23">
        <v>3</v>
      </c>
      <c r="E417" s="9">
        <v>350</v>
      </c>
      <c r="F417" s="25">
        <v>0.0475</v>
      </c>
      <c r="G417" s="9">
        <v>16.625</v>
      </c>
      <c r="H417" s="9">
        <v>350</v>
      </c>
      <c r="I417" s="9">
        <v>350</v>
      </c>
      <c r="J417" s="9">
        <v>0</v>
      </c>
      <c r="K417" s="9">
        <v>0</v>
      </c>
      <c r="L417" s="9">
        <v>0</v>
      </c>
      <c r="M417" s="9">
        <f>E417+K417-I417-J417-L417</f>
        <v>0.0</v>
      </c>
    </row>
    <row r="418" spans="1:13" ht="25" customHeight="1">
      <c r="A418" s="3" t="s">
        <v>78</v>
      </c>
      <c r="B418" s="4" t="s">
        <v>400</v>
      </c>
      <c r="C418" s="4" t="s">
        <v>394</v>
      </c>
      <c r="D418" s="24">
        <v>3</v>
      </c>
      <c r="E418" s="10">
        <v>762.4441363449953</v>
      </c>
      <c r="F418" s="26">
        <v>0.07000000000000001</v>
      </c>
      <c r="G418" s="10">
        <v>53.37108954414968</v>
      </c>
      <c r="H418" s="10">
        <v>44.46700507614213</v>
      </c>
      <c r="I418" s="10">
        <v>44.46700507614213</v>
      </c>
      <c r="J418" s="10">
        <v>88.64872084365584</v>
      </c>
      <c r="K418" s="10">
        <v>0</v>
      </c>
      <c r="L418" s="10">
        <v>0</v>
      </c>
      <c r="M418" s="10">
        <f>E418+K418-I418-J418-L418</f>
        <v>629.3284104251973</v>
      </c>
    </row>
    <row r="419" spans="1:13" ht="25" customHeight="1">
      <c r="A419" s="6" t="s">
        <v>78</v>
      </c>
      <c r="B419" s="7" t="s">
        <v>400</v>
      </c>
      <c r="C419" s="7" t="s">
        <v>395</v>
      </c>
      <c r="D419" s="23">
        <v>3</v>
      </c>
      <c r="E419" s="9">
        <v>0</v>
      </c>
      <c r="F419" s="25">
        <v>0.0575</v>
      </c>
      <c r="G419" s="9">
        <v>0</v>
      </c>
      <c r="H419" s="9">
        <v>0</v>
      </c>
      <c r="I419" s="9">
        <v>0</v>
      </c>
      <c r="J419" s="9">
        <v>0</v>
      </c>
      <c r="K419" s="9">
        <v>0</v>
      </c>
      <c r="L419" s="9">
        <v>0</v>
      </c>
      <c r="M419" s="9">
        <f>E419+K419-I419-J419-L419</f>
        <v>0.0</v>
      </c>
    </row>
    <row r="420" spans="1:13" ht="25" customHeight="1">
      <c r="A420" s="3" t="s">
        <v>78</v>
      </c>
      <c r="B420" s="4" t="s">
        <v>400</v>
      </c>
      <c r="C420" s="4" t="s">
        <v>139</v>
      </c>
      <c r="D420" s="24">
        <v>4</v>
      </c>
      <c r="E420" s="10">
        <v>900</v>
      </c>
      <c r="F420" s="26">
        <v>0.038</v>
      </c>
      <c r="G420" s="10">
        <v>34.2</v>
      </c>
      <c r="H420" s="10">
        <v>900</v>
      </c>
      <c r="I420" s="10">
        <v>900</v>
      </c>
      <c r="J420" s="10">
        <v>0</v>
      </c>
      <c r="K420" s="10">
        <v>0</v>
      </c>
      <c r="L420" s="10">
        <v>0</v>
      </c>
      <c r="M420" s="10">
        <f>E420+K420-I420-J420-L420</f>
        <v>0.0</v>
      </c>
    </row>
    <row r="421" spans="1:13" ht="25" customHeight="1">
      <c r="A421" s="6" t="s">
        <v>78</v>
      </c>
      <c r="B421" s="7" t="s">
        <v>400</v>
      </c>
      <c r="C421" s="7" t="s">
        <v>153</v>
      </c>
      <c r="D421" s="23">
        <v>4</v>
      </c>
      <c r="E421" s="9">
        <v>32</v>
      </c>
      <c r="F421" s="25">
        <v>0.05</v>
      </c>
      <c r="G421" s="9">
        <v>1.6</v>
      </c>
      <c r="H421" s="9">
        <v>16</v>
      </c>
      <c r="I421" s="9">
        <v>16</v>
      </c>
      <c r="J421" s="9">
        <v>0</v>
      </c>
      <c r="K421" s="9">
        <v>0</v>
      </c>
      <c r="L421" s="9">
        <v>0</v>
      </c>
      <c r="M421" s="9">
        <f>E421+K421-I421-J421-L421</f>
        <v>16.0</v>
      </c>
    </row>
    <row r="422" spans="1:13" ht="25" customHeight="1">
      <c r="A422" s="3" t="s">
        <v>78</v>
      </c>
      <c r="B422" s="4" t="s">
        <v>400</v>
      </c>
      <c r="C422" s="4" t="s">
        <v>198</v>
      </c>
      <c r="D422" s="24">
        <v>4</v>
      </c>
      <c r="E422" s="10">
        <v>0</v>
      </c>
      <c r="F422" s="26">
        <v>0.0475</v>
      </c>
      <c r="G422" s="10">
        <v>0</v>
      </c>
      <c r="H422" s="10">
        <v>0</v>
      </c>
      <c r="I422" s="10">
        <v>0</v>
      </c>
      <c r="J422" s="10">
        <v>0</v>
      </c>
      <c r="K422" s="10">
        <v>0</v>
      </c>
      <c r="L422" s="10">
        <v>0</v>
      </c>
      <c r="M422" s="10">
        <f>E422+K422-I422-J422-L422</f>
        <v>0.0</v>
      </c>
    </row>
    <row r="423" spans="1:13" ht="25" customHeight="1">
      <c r="A423" s="6" t="s">
        <v>78</v>
      </c>
      <c r="B423" s="7" t="s">
        <v>400</v>
      </c>
      <c r="C423" s="7" t="s">
        <v>394</v>
      </c>
      <c r="D423" s="23">
        <v>4</v>
      </c>
      <c r="E423" s="9">
        <v>629.3284104251973</v>
      </c>
      <c r="F423" s="25">
        <v>0.07000000000000001</v>
      </c>
      <c r="G423" s="9">
        <v>44.05298872976381</v>
      </c>
      <c r="H423" s="9">
        <v>44.46700507614213</v>
      </c>
      <c r="I423" s="9">
        <v>44.46700507614213</v>
      </c>
      <c r="J423" s="9">
        <v>0</v>
      </c>
      <c r="K423" s="9">
        <v>0</v>
      </c>
      <c r="L423" s="9">
        <v>0</v>
      </c>
      <c r="M423" s="9">
        <f>E423+K423-I423-J423-L423</f>
        <v>584.8614053490551</v>
      </c>
    </row>
    <row r="424" spans="1:13" ht="25" customHeight="1">
      <c r="A424" s="3" t="s">
        <v>78</v>
      </c>
      <c r="B424" s="4" t="s">
        <v>400</v>
      </c>
      <c r="C424" s="4" t="s">
        <v>395</v>
      </c>
      <c r="D424" s="24">
        <v>4</v>
      </c>
      <c r="E424" s="10">
        <v>0</v>
      </c>
      <c r="F424" s="26">
        <v>0.0575</v>
      </c>
      <c r="G424" s="10">
        <v>0</v>
      </c>
      <c r="H424" s="10">
        <v>0</v>
      </c>
      <c r="I424" s="10">
        <v>0</v>
      </c>
      <c r="J424" s="10">
        <v>0</v>
      </c>
      <c r="K424" s="10">
        <v>394.459874118608</v>
      </c>
      <c r="L424" s="10">
        <v>0</v>
      </c>
      <c r="M424" s="10">
        <f>E424+K424-I424-J424-L424</f>
        <v>394.459874118608</v>
      </c>
    </row>
    <row r="425" spans="1:13" ht="25" customHeight="1">
      <c r="A425" s="6" t="s">
        <v>78</v>
      </c>
      <c r="B425" s="7" t="s">
        <v>400</v>
      </c>
      <c r="C425" s="7" t="s">
        <v>139</v>
      </c>
      <c r="D425" s="23">
        <v>5</v>
      </c>
      <c r="E425" s="9">
        <v>0</v>
      </c>
      <c r="F425" s="25">
        <v>0.038</v>
      </c>
      <c r="G425" s="9">
        <v>0</v>
      </c>
      <c r="H425" s="9">
        <v>0</v>
      </c>
      <c r="I425" s="9">
        <v>0</v>
      </c>
      <c r="J425" s="9">
        <v>0</v>
      </c>
      <c r="K425" s="9">
        <v>0</v>
      </c>
      <c r="L425" s="9">
        <v>0</v>
      </c>
      <c r="M425" s="9">
        <f>E425+K425-I425-J425-L425</f>
        <v>0.0</v>
      </c>
    </row>
    <row r="426" spans="1:13" ht="25" customHeight="1">
      <c r="A426" s="3" t="s">
        <v>78</v>
      </c>
      <c r="B426" s="4" t="s">
        <v>400</v>
      </c>
      <c r="C426" s="4" t="s">
        <v>153</v>
      </c>
      <c r="D426" s="24">
        <v>5</v>
      </c>
      <c r="E426" s="10">
        <v>16</v>
      </c>
      <c r="F426" s="26">
        <v>0.05</v>
      </c>
      <c r="G426" s="10">
        <v>0.8</v>
      </c>
      <c r="H426" s="10">
        <v>16</v>
      </c>
      <c r="I426" s="10">
        <v>16</v>
      </c>
      <c r="J426" s="10">
        <v>0</v>
      </c>
      <c r="K426" s="10">
        <v>0</v>
      </c>
      <c r="L426" s="10">
        <v>0</v>
      </c>
      <c r="M426" s="10">
        <f>E426+K426-I426-J426-L426</f>
        <v>0.0</v>
      </c>
    </row>
    <row r="427" spans="1:13" ht="25" customHeight="1">
      <c r="A427" s="6" t="s">
        <v>78</v>
      </c>
      <c r="B427" s="7" t="s">
        <v>400</v>
      </c>
      <c r="C427" s="7" t="s">
        <v>198</v>
      </c>
      <c r="D427" s="23">
        <v>5</v>
      </c>
      <c r="E427" s="9">
        <v>0</v>
      </c>
      <c r="F427" s="25">
        <v>0.0475</v>
      </c>
      <c r="G427" s="9">
        <v>0</v>
      </c>
      <c r="H427" s="9">
        <v>0</v>
      </c>
      <c r="I427" s="9">
        <v>0</v>
      </c>
      <c r="J427" s="9">
        <v>0</v>
      </c>
      <c r="K427" s="9">
        <v>0</v>
      </c>
      <c r="L427" s="9">
        <v>0</v>
      </c>
      <c r="M427" s="9">
        <f>E427+K427-I427-J427-L427</f>
        <v>0.0</v>
      </c>
    </row>
    <row r="428" spans="1:13" ht="25" customHeight="1">
      <c r="A428" s="3" t="s">
        <v>78</v>
      </c>
      <c r="B428" s="4" t="s">
        <v>400</v>
      </c>
      <c r="C428" s="4" t="s">
        <v>394</v>
      </c>
      <c r="D428" s="24">
        <v>5</v>
      </c>
      <c r="E428" s="10">
        <v>584.8614053490551</v>
      </c>
      <c r="F428" s="26">
        <v>0.07000000000000001</v>
      </c>
      <c r="G428" s="10">
        <v>40.94029837443386</v>
      </c>
      <c r="H428" s="10">
        <v>584.8614053490551</v>
      </c>
      <c r="I428" s="10">
        <v>584.8614053490551</v>
      </c>
      <c r="J428" s="10">
        <v>0</v>
      </c>
      <c r="K428" s="10">
        <v>0</v>
      </c>
      <c r="L428" s="10">
        <v>0</v>
      </c>
      <c r="M428" s="10">
        <f>E428+K428-I428-J428-L428</f>
        <v>0.0</v>
      </c>
    </row>
    <row r="429" spans="1:13" ht="25" customHeight="1">
      <c r="A429" s="6" t="s">
        <v>78</v>
      </c>
      <c r="B429" s="7" t="s">
        <v>400</v>
      </c>
      <c r="C429" s="7" t="s">
        <v>395</v>
      </c>
      <c r="D429" s="23">
        <v>5</v>
      </c>
      <c r="E429" s="9">
        <v>394.459874118608</v>
      </c>
      <c r="F429" s="25">
        <v>0.0575</v>
      </c>
      <c r="G429" s="9">
        <v>22.68144276181996</v>
      </c>
      <c r="H429" s="9">
        <v>394.459874118608</v>
      </c>
      <c r="I429" s="9">
        <v>394.459874118608</v>
      </c>
      <c r="J429" s="9">
        <v>0</v>
      </c>
      <c r="K429" s="9">
        <v>0</v>
      </c>
      <c r="L429" s="9">
        <v>0</v>
      </c>
      <c r="M429" s="9">
        <f>E429+K429-I429-J429-L429</f>
        <v>0.0</v>
      </c>
    </row>
    <row r="430" spans="1:13" ht="25" customHeight="1">
      <c r="A430" s="3" t="s">
        <v>79</v>
      </c>
      <c r="B430" s="4" t="s">
        <v>400</v>
      </c>
      <c r="C430" s="4" t="s">
        <v>139</v>
      </c>
      <c r="D430" s="24">
        <v>1</v>
      </c>
      <c r="E430" s="10">
        <v>900</v>
      </c>
      <c r="F430" s="26">
        <v>0.038</v>
      </c>
      <c r="G430" s="10">
        <v>34.2</v>
      </c>
      <c r="H430" s="10">
        <v>0</v>
      </c>
      <c r="I430" s="10">
        <v>0</v>
      </c>
      <c r="J430" s="10">
        <v>0</v>
      </c>
      <c r="K430" s="10">
        <v>0</v>
      </c>
      <c r="L430" s="10">
        <v>0</v>
      </c>
      <c r="M430" s="10">
        <f>E430+K430-I430-J430-L430</f>
        <v>900.0</v>
      </c>
    </row>
    <row r="431" spans="1:13" ht="25" customHeight="1">
      <c r="A431" s="6" t="s">
        <v>79</v>
      </c>
      <c r="B431" s="7" t="s">
        <v>400</v>
      </c>
      <c r="C431" s="7" t="s">
        <v>153</v>
      </c>
      <c r="D431" s="23">
        <v>1</v>
      </c>
      <c r="E431" s="9">
        <v>80</v>
      </c>
      <c r="F431" s="25">
        <v>0.05</v>
      </c>
      <c r="G431" s="9">
        <v>4</v>
      </c>
      <c r="H431" s="9">
        <v>16</v>
      </c>
      <c r="I431" s="9">
        <v>16</v>
      </c>
      <c r="J431" s="9">
        <v>29.0449547145534</v>
      </c>
      <c r="K431" s="9">
        <v>0</v>
      </c>
      <c r="L431" s="9">
        <v>0</v>
      </c>
      <c r="M431" s="9">
        <f>E431+K431-I431-J431-L431</f>
        <v>34.9550452854466</v>
      </c>
    </row>
    <row r="432" spans="1:13" ht="25" customHeight="1">
      <c r="A432" s="3" t="s">
        <v>79</v>
      </c>
      <c r="B432" s="4" t="s">
        <v>400</v>
      </c>
      <c r="C432" s="4" t="s">
        <v>198</v>
      </c>
      <c r="D432" s="24">
        <v>1</v>
      </c>
      <c r="E432" s="10">
        <v>350</v>
      </c>
      <c r="F432" s="26">
        <v>0.0475</v>
      </c>
      <c r="G432" s="10">
        <v>16.625</v>
      </c>
      <c r="H432" s="10">
        <v>0</v>
      </c>
      <c r="I432" s="10">
        <v>0</v>
      </c>
      <c r="J432" s="10">
        <v>0</v>
      </c>
      <c r="K432" s="10">
        <v>0</v>
      </c>
      <c r="L432" s="10">
        <v>0</v>
      </c>
      <c r="M432" s="10">
        <f>E432+K432-I432-J432-L432</f>
        <v>350.0</v>
      </c>
    </row>
    <row r="433" spans="1:13" ht="25" customHeight="1">
      <c r="A433" s="6" t="s">
        <v>79</v>
      </c>
      <c r="B433" s="7" t="s">
        <v>400</v>
      </c>
      <c r="C433" s="7" t="s">
        <v>394</v>
      </c>
      <c r="D433" s="23">
        <v>1</v>
      </c>
      <c r="E433" s="9">
        <v>304.5685279187817</v>
      </c>
      <c r="F433" s="25">
        <v>0.075</v>
      </c>
      <c r="G433" s="9">
        <v>22.84263959390863</v>
      </c>
      <c r="H433" s="9">
        <v>6.091370558375635</v>
      </c>
      <c r="I433" s="9">
        <v>6.091370558375635</v>
      </c>
      <c r="J433" s="9">
        <v>298.4771573604061</v>
      </c>
      <c r="K433" s="9">
        <v>0</v>
      </c>
      <c r="L433" s="9">
        <v>0</v>
      </c>
      <c r="M433" s="9">
        <f>E433+K433-I433-J433-L433</f>
        <v>0.0</v>
      </c>
    </row>
    <row r="434" spans="1:13" ht="25" customHeight="1">
      <c r="A434" s="3" t="s">
        <v>79</v>
      </c>
      <c r="B434" s="4" t="s">
        <v>400</v>
      </c>
      <c r="C434" s="4" t="s">
        <v>395</v>
      </c>
      <c r="D434" s="24">
        <v>1</v>
      </c>
      <c r="E434" s="10">
        <v>0</v>
      </c>
      <c r="F434" s="26">
        <v>0.0625</v>
      </c>
      <c r="G434" s="10">
        <v>0</v>
      </c>
      <c r="H434" s="10">
        <v>0</v>
      </c>
      <c r="I434" s="10">
        <v>0</v>
      </c>
      <c r="J434" s="10">
        <v>0</v>
      </c>
      <c r="K434" s="10">
        <v>0</v>
      </c>
      <c r="L434" s="10">
        <v>0</v>
      </c>
      <c r="M434" s="10">
        <f>E434+K434-I434-J434-L434</f>
        <v>0.0</v>
      </c>
    </row>
    <row r="435" spans="1:13" ht="25" customHeight="1">
      <c r="A435" s="6" t="s">
        <v>79</v>
      </c>
      <c r="B435" s="7" t="s">
        <v>400</v>
      </c>
      <c r="C435" s="7" t="s">
        <v>139</v>
      </c>
      <c r="D435" s="23">
        <v>2</v>
      </c>
      <c r="E435" s="9">
        <v>900</v>
      </c>
      <c r="F435" s="25">
        <v>0.038</v>
      </c>
      <c r="G435" s="9">
        <v>34.2</v>
      </c>
      <c r="H435" s="9">
        <v>0</v>
      </c>
      <c r="I435" s="9">
        <v>0</v>
      </c>
      <c r="J435" s="9">
        <v>58.67520815333347</v>
      </c>
      <c r="K435" s="9">
        <v>0</v>
      </c>
      <c r="L435" s="9">
        <v>0</v>
      </c>
      <c r="M435" s="9">
        <f>E435+K435-I435-J435-L435</f>
        <v>841.3247918466666</v>
      </c>
    </row>
    <row r="436" spans="1:13" ht="25" customHeight="1">
      <c r="A436" s="3" t="s">
        <v>79</v>
      </c>
      <c r="B436" s="4" t="s">
        <v>400</v>
      </c>
      <c r="C436" s="4" t="s">
        <v>153</v>
      </c>
      <c r="D436" s="24">
        <v>2</v>
      </c>
      <c r="E436" s="10">
        <v>34.9550452854466</v>
      </c>
      <c r="F436" s="26">
        <v>0.05</v>
      </c>
      <c r="G436" s="10">
        <v>1.74775226427233</v>
      </c>
      <c r="H436" s="10">
        <v>16</v>
      </c>
      <c r="I436" s="10">
        <v>16</v>
      </c>
      <c r="J436" s="10">
        <v>18.9550452854466</v>
      </c>
      <c r="K436" s="10">
        <v>0</v>
      </c>
      <c r="L436" s="10">
        <v>0</v>
      </c>
      <c r="M436" s="10">
        <f>E436+K436-I436-J436-L436</f>
        <v>0.0</v>
      </c>
    </row>
    <row r="437" spans="1:13" ht="25" customHeight="1">
      <c r="A437" s="6" t="s">
        <v>79</v>
      </c>
      <c r="B437" s="7" t="s">
        <v>400</v>
      </c>
      <c r="C437" s="7" t="s">
        <v>198</v>
      </c>
      <c r="D437" s="23">
        <v>2</v>
      </c>
      <c r="E437" s="9">
        <v>350</v>
      </c>
      <c r="F437" s="25">
        <v>0.0475</v>
      </c>
      <c r="G437" s="9">
        <v>16.625</v>
      </c>
      <c r="H437" s="9">
        <v>0</v>
      </c>
      <c r="I437" s="9">
        <v>0</v>
      </c>
      <c r="J437" s="9">
        <v>350</v>
      </c>
      <c r="K437" s="9">
        <v>0</v>
      </c>
      <c r="L437" s="9">
        <v>0</v>
      </c>
      <c r="M437" s="9">
        <f>E437+K437-I437-J437-L437</f>
        <v>0.0</v>
      </c>
    </row>
    <row r="438" spans="1:13" ht="25" customHeight="1">
      <c r="A438" s="3" t="s">
        <v>79</v>
      </c>
      <c r="B438" s="4" t="s">
        <v>400</v>
      </c>
      <c r="C438" s="4" t="s">
        <v>394</v>
      </c>
      <c r="D438" s="24">
        <v>2</v>
      </c>
      <c r="E438" s="10">
        <v>0</v>
      </c>
      <c r="F438" s="26">
        <v>0.0725</v>
      </c>
      <c r="G438" s="10">
        <v>0</v>
      </c>
      <c r="H438" s="10">
        <v>0</v>
      </c>
      <c r="I438" s="10">
        <v>0</v>
      </c>
      <c r="J438" s="10">
        <v>0</v>
      </c>
      <c r="K438" s="10">
        <v>0</v>
      </c>
      <c r="L438" s="10">
        <v>0</v>
      </c>
      <c r="M438" s="10">
        <f>E438+K438-I438-J438-L438</f>
        <v>0.0</v>
      </c>
    </row>
    <row r="439" spans="1:13" ht="25" customHeight="1">
      <c r="A439" s="6" t="s">
        <v>79</v>
      </c>
      <c r="B439" s="7" t="s">
        <v>400</v>
      </c>
      <c r="C439" s="7" t="s">
        <v>395</v>
      </c>
      <c r="D439" s="23">
        <v>2</v>
      </c>
      <c r="E439" s="9">
        <v>0</v>
      </c>
      <c r="F439" s="25">
        <v>0.06</v>
      </c>
      <c r="G439" s="9">
        <v>0</v>
      </c>
      <c r="H439" s="9">
        <v>0</v>
      </c>
      <c r="I439" s="9">
        <v>0</v>
      </c>
      <c r="J439" s="9">
        <v>0</v>
      </c>
      <c r="K439" s="9">
        <v>0</v>
      </c>
      <c r="L439" s="9">
        <v>0</v>
      </c>
      <c r="M439" s="9">
        <f>E439+K439-I439-J439-L439</f>
        <v>0.0</v>
      </c>
    </row>
    <row r="440" spans="1:13" ht="25" customHeight="1">
      <c r="A440" s="3" t="s">
        <v>79</v>
      </c>
      <c r="B440" s="4" t="s">
        <v>400</v>
      </c>
      <c r="C440" s="4" t="s">
        <v>139</v>
      </c>
      <c r="D440" s="24">
        <v>3</v>
      </c>
      <c r="E440" s="10">
        <v>841.3247918466666</v>
      </c>
      <c r="F440" s="26">
        <v>0.038</v>
      </c>
      <c r="G440" s="10">
        <v>31.97034209017333</v>
      </c>
      <c r="H440" s="10">
        <v>0</v>
      </c>
      <c r="I440" s="10">
        <v>0</v>
      </c>
      <c r="J440" s="10">
        <v>555.0850365102801</v>
      </c>
      <c r="K440" s="10">
        <v>0</v>
      </c>
      <c r="L440" s="10">
        <v>0</v>
      </c>
      <c r="M440" s="10">
        <f>E440+K440-I440-J440-L440</f>
        <v>286.23975533638645</v>
      </c>
    </row>
    <row r="441" spans="1:13" ht="25" customHeight="1">
      <c r="A441" s="6" t="s">
        <v>79</v>
      </c>
      <c r="B441" s="7" t="s">
        <v>400</v>
      </c>
      <c r="C441" s="7" t="s">
        <v>153</v>
      </c>
      <c r="D441" s="23">
        <v>3</v>
      </c>
      <c r="E441" s="9">
        <v>0</v>
      </c>
      <c r="F441" s="25">
        <v>0.05</v>
      </c>
      <c r="G441" s="9">
        <v>0</v>
      </c>
      <c r="H441" s="9">
        <v>0</v>
      </c>
      <c r="I441" s="9">
        <v>0</v>
      </c>
      <c r="J441" s="9">
        <v>0</v>
      </c>
      <c r="K441" s="9">
        <v>0</v>
      </c>
      <c r="L441" s="9">
        <v>0</v>
      </c>
      <c r="M441" s="9">
        <f>E441+K441-I441-J441-L441</f>
        <v>0.0</v>
      </c>
    </row>
    <row r="442" spans="1:13" ht="25" customHeight="1">
      <c r="A442" s="3" t="s">
        <v>79</v>
      </c>
      <c r="B442" s="4" t="s">
        <v>400</v>
      </c>
      <c r="C442" s="4" t="s">
        <v>198</v>
      </c>
      <c r="D442" s="24">
        <v>3</v>
      </c>
      <c r="E442" s="10">
        <v>0</v>
      </c>
      <c r="F442" s="26">
        <v>0.0475</v>
      </c>
      <c r="G442" s="10">
        <v>0</v>
      </c>
      <c r="H442" s="10">
        <v>0</v>
      </c>
      <c r="I442" s="10">
        <v>0</v>
      </c>
      <c r="J442" s="10">
        <v>0</v>
      </c>
      <c r="K442" s="10">
        <v>0</v>
      </c>
      <c r="L442" s="10">
        <v>0</v>
      </c>
      <c r="M442" s="10">
        <f>E442+K442-I442-J442-L442</f>
        <v>0.0</v>
      </c>
    </row>
    <row r="443" spans="1:13" ht="25" customHeight="1">
      <c r="A443" s="6" t="s">
        <v>79</v>
      </c>
      <c r="B443" s="7" t="s">
        <v>400</v>
      </c>
      <c r="C443" s="7" t="s">
        <v>394</v>
      </c>
      <c r="D443" s="23">
        <v>3</v>
      </c>
      <c r="E443" s="9">
        <v>0</v>
      </c>
      <c r="F443" s="25">
        <v>0.07000000000000001</v>
      </c>
      <c r="G443" s="9">
        <v>0</v>
      </c>
      <c r="H443" s="9">
        <v>0</v>
      </c>
      <c r="I443" s="9">
        <v>0</v>
      </c>
      <c r="J443" s="9">
        <v>0</v>
      </c>
      <c r="K443" s="9">
        <v>0</v>
      </c>
      <c r="L443" s="9">
        <v>0</v>
      </c>
      <c r="M443" s="9">
        <f>E443+K443-I443-J443-L443</f>
        <v>0.0</v>
      </c>
    </row>
    <row r="444" spans="1:13" ht="25" customHeight="1">
      <c r="A444" s="3" t="s">
        <v>79</v>
      </c>
      <c r="B444" s="4" t="s">
        <v>400</v>
      </c>
      <c r="C444" s="4" t="s">
        <v>395</v>
      </c>
      <c r="D444" s="24">
        <v>3</v>
      </c>
      <c r="E444" s="10">
        <v>0</v>
      </c>
      <c r="F444" s="26">
        <v>0.0575</v>
      </c>
      <c r="G444" s="10">
        <v>0</v>
      </c>
      <c r="H444" s="10">
        <v>0</v>
      </c>
      <c r="I444" s="10">
        <v>0</v>
      </c>
      <c r="J444" s="10">
        <v>0</v>
      </c>
      <c r="K444" s="10">
        <v>0</v>
      </c>
      <c r="L444" s="10">
        <v>0</v>
      </c>
      <c r="M444" s="10">
        <f>E444+K444-I444-J444-L444</f>
        <v>0.0</v>
      </c>
    </row>
    <row r="445" spans="1:13" ht="25" customHeight="1">
      <c r="A445" s="6" t="s">
        <v>79</v>
      </c>
      <c r="B445" s="7" t="s">
        <v>400</v>
      </c>
      <c r="C445" s="7" t="s">
        <v>139</v>
      </c>
      <c r="D445" s="23">
        <v>4</v>
      </c>
      <c r="E445" s="9">
        <v>286.2397553363865</v>
      </c>
      <c r="F445" s="25">
        <v>0.038</v>
      </c>
      <c r="G445" s="9">
        <v>10.87711070278269</v>
      </c>
      <c r="H445" s="9">
        <v>286.2397553363865</v>
      </c>
      <c r="I445" s="9">
        <v>286.2397553363865</v>
      </c>
      <c r="J445" s="9">
        <v>0</v>
      </c>
      <c r="K445" s="9">
        <v>0</v>
      </c>
      <c r="L445" s="9">
        <v>0</v>
      </c>
      <c r="M445" s="9">
        <f>E445+K445-I445-J445-L445</f>
        <v>0.0</v>
      </c>
    </row>
    <row r="446" spans="1:13" ht="25" customHeight="1">
      <c r="A446" s="3" t="s">
        <v>79</v>
      </c>
      <c r="B446" s="4" t="s">
        <v>400</v>
      </c>
      <c r="C446" s="4" t="s">
        <v>153</v>
      </c>
      <c r="D446" s="24">
        <v>4</v>
      </c>
      <c r="E446" s="10">
        <v>0</v>
      </c>
      <c r="F446" s="26">
        <v>0.05</v>
      </c>
      <c r="G446" s="10">
        <v>0</v>
      </c>
      <c r="H446" s="10">
        <v>0</v>
      </c>
      <c r="I446" s="10">
        <v>0</v>
      </c>
      <c r="J446" s="10">
        <v>0</v>
      </c>
      <c r="K446" s="10">
        <v>0</v>
      </c>
      <c r="L446" s="10">
        <v>0</v>
      </c>
      <c r="M446" s="10">
        <f>E446+K446-I446-J446-L446</f>
        <v>0.0</v>
      </c>
    </row>
    <row r="447" spans="1:13" ht="25" customHeight="1">
      <c r="A447" s="6" t="s">
        <v>79</v>
      </c>
      <c r="B447" s="7" t="s">
        <v>400</v>
      </c>
      <c r="C447" s="7" t="s">
        <v>198</v>
      </c>
      <c r="D447" s="23">
        <v>4</v>
      </c>
      <c r="E447" s="9">
        <v>0</v>
      </c>
      <c r="F447" s="25">
        <v>0.0475</v>
      </c>
      <c r="G447" s="9">
        <v>0</v>
      </c>
      <c r="H447" s="9">
        <v>0</v>
      </c>
      <c r="I447" s="9">
        <v>0</v>
      </c>
      <c r="J447" s="9">
        <v>0</v>
      </c>
      <c r="K447" s="9">
        <v>0</v>
      </c>
      <c r="L447" s="9">
        <v>0</v>
      </c>
      <c r="M447" s="9">
        <f>E447+K447-I447-J447-L447</f>
        <v>0.0</v>
      </c>
    </row>
    <row r="448" spans="1:13" ht="25" customHeight="1">
      <c r="A448" s="3" t="s">
        <v>79</v>
      </c>
      <c r="B448" s="4" t="s">
        <v>400</v>
      </c>
      <c r="C448" s="4" t="s">
        <v>394</v>
      </c>
      <c r="D448" s="24">
        <v>4</v>
      </c>
      <c r="E448" s="10">
        <v>0</v>
      </c>
      <c r="F448" s="26">
        <v>0.07000000000000001</v>
      </c>
      <c r="G448" s="10">
        <v>0</v>
      </c>
      <c r="H448" s="10">
        <v>0</v>
      </c>
      <c r="I448" s="10">
        <v>0</v>
      </c>
      <c r="J448" s="10">
        <v>0</v>
      </c>
      <c r="K448" s="10">
        <v>0</v>
      </c>
      <c r="L448" s="10">
        <v>0</v>
      </c>
      <c r="M448" s="10">
        <f>E448+K448-I448-J448-L448</f>
        <v>0.0</v>
      </c>
    </row>
    <row r="449" spans="1:13" ht="25" customHeight="1">
      <c r="A449" s="6" t="s">
        <v>79</v>
      </c>
      <c r="B449" s="7" t="s">
        <v>400</v>
      </c>
      <c r="C449" s="7" t="s">
        <v>395</v>
      </c>
      <c r="D449" s="23">
        <v>4</v>
      </c>
      <c r="E449" s="9">
        <v>0</v>
      </c>
      <c r="F449" s="25">
        <v>0.0575</v>
      </c>
      <c r="G449" s="9">
        <v>0</v>
      </c>
      <c r="H449" s="9">
        <v>0</v>
      </c>
      <c r="I449" s="9">
        <v>0</v>
      </c>
      <c r="J449" s="9">
        <v>0</v>
      </c>
      <c r="K449" s="9">
        <v>0</v>
      </c>
      <c r="L449" s="9">
        <v>0</v>
      </c>
      <c r="M449" s="9">
        <f>E449+K449-I449-J449-L449</f>
        <v>0.0</v>
      </c>
    </row>
    <row r="450" spans="1:13" ht="25" customHeight="1">
      <c r="A450" s="3" t="s">
        <v>79</v>
      </c>
      <c r="B450" s="4" t="s">
        <v>400</v>
      </c>
      <c r="C450" s="4" t="s">
        <v>139</v>
      </c>
      <c r="D450" s="24">
        <v>5</v>
      </c>
      <c r="E450" s="10">
        <v>0</v>
      </c>
      <c r="F450" s="26">
        <v>0.038</v>
      </c>
      <c r="G450" s="10">
        <v>0</v>
      </c>
      <c r="H450" s="10">
        <v>0</v>
      </c>
      <c r="I450" s="10">
        <v>0</v>
      </c>
      <c r="J450" s="10">
        <v>0</v>
      </c>
      <c r="K450" s="10">
        <v>0</v>
      </c>
      <c r="L450" s="10">
        <v>0</v>
      </c>
      <c r="M450" s="10">
        <f>E450+K450-I450-J450-L450</f>
        <v>0.0</v>
      </c>
    </row>
    <row r="451" spans="1:13" ht="25" customHeight="1">
      <c r="A451" s="6" t="s">
        <v>79</v>
      </c>
      <c r="B451" s="7" t="s">
        <v>400</v>
      </c>
      <c r="C451" s="7" t="s">
        <v>153</v>
      </c>
      <c r="D451" s="23">
        <v>5</v>
      </c>
      <c r="E451" s="9">
        <v>0</v>
      </c>
      <c r="F451" s="25">
        <v>0.05</v>
      </c>
      <c r="G451" s="9">
        <v>0</v>
      </c>
      <c r="H451" s="9">
        <v>0</v>
      </c>
      <c r="I451" s="9">
        <v>0</v>
      </c>
      <c r="J451" s="9">
        <v>0</v>
      </c>
      <c r="K451" s="9">
        <v>0</v>
      </c>
      <c r="L451" s="9">
        <v>0</v>
      </c>
      <c r="M451" s="9">
        <f>E451+K451-I451-J451-L451</f>
        <v>0.0</v>
      </c>
    </row>
    <row r="452" spans="1:13" ht="25" customHeight="1">
      <c r="A452" s="3" t="s">
        <v>79</v>
      </c>
      <c r="B452" s="4" t="s">
        <v>400</v>
      </c>
      <c r="C452" s="4" t="s">
        <v>198</v>
      </c>
      <c r="D452" s="24">
        <v>5</v>
      </c>
      <c r="E452" s="10">
        <v>0</v>
      </c>
      <c r="F452" s="26">
        <v>0.0475</v>
      </c>
      <c r="G452" s="10">
        <v>0</v>
      </c>
      <c r="H452" s="10">
        <v>0</v>
      </c>
      <c r="I452" s="10">
        <v>0</v>
      </c>
      <c r="J452" s="10">
        <v>0</v>
      </c>
      <c r="K452" s="10">
        <v>0</v>
      </c>
      <c r="L452" s="10">
        <v>0</v>
      </c>
      <c r="M452" s="10">
        <f>E452+K452-I452-J452-L452</f>
        <v>0.0</v>
      </c>
    </row>
    <row r="453" spans="1:13" ht="25" customHeight="1">
      <c r="A453" s="6" t="s">
        <v>79</v>
      </c>
      <c r="B453" s="7" t="s">
        <v>400</v>
      </c>
      <c r="C453" s="7" t="s">
        <v>394</v>
      </c>
      <c r="D453" s="23">
        <v>5</v>
      </c>
      <c r="E453" s="9">
        <v>0</v>
      </c>
      <c r="F453" s="25">
        <v>0.07000000000000001</v>
      </c>
      <c r="G453" s="9">
        <v>0</v>
      </c>
      <c r="H453" s="9">
        <v>0</v>
      </c>
      <c r="I453" s="9">
        <v>0</v>
      </c>
      <c r="J453" s="9">
        <v>0</v>
      </c>
      <c r="K453" s="9">
        <v>0</v>
      </c>
      <c r="L453" s="9">
        <v>0</v>
      </c>
      <c r="M453" s="9">
        <f>E453+K453-I453-J453-L453</f>
        <v>0.0</v>
      </c>
    </row>
    <row r="454" spans="1:13" ht="25" customHeight="1">
      <c r="A454" s="3" t="s">
        <v>79</v>
      </c>
      <c r="B454" s="4" t="s">
        <v>400</v>
      </c>
      <c r="C454" s="4" t="s">
        <v>395</v>
      </c>
      <c r="D454" s="24">
        <v>5</v>
      </c>
      <c r="E454" s="10">
        <v>0</v>
      </c>
      <c r="F454" s="26">
        <v>0.0575</v>
      </c>
      <c r="G454" s="10">
        <v>0</v>
      </c>
      <c r="H454" s="10">
        <v>0</v>
      </c>
      <c r="I454" s="10">
        <v>0</v>
      </c>
      <c r="J454" s="10">
        <v>0</v>
      </c>
      <c r="K454" s="10">
        <v>0</v>
      </c>
      <c r="L454" s="10">
        <v>0</v>
      </c>
      <c r="M454" s="10">
        <f>E454+K454-I454-J454-L454</f>
        <v>0.0</v>
      </c>
    </row>
    <row r="455" spans="1:13" ht="25" customHeight="1">
      <c r="A455" s="6" t="s">
        <v>68</v>
      </c>
      <c r="B455" s="7" t="s">
        <v>401</v>
      </c>
      <c r="C455" s="7" t="s">
        <v>139</v>
      </c>
      <c r="D455" s="23">
        <v>1</v>
      </c>
      <c r="E455" s="9">
        <v>900</v>
      </c>
      <c r="F455" s="25">
        <v>0.038</v>
      </c>
      <c r="G455" s="9">
        <v>34.2</v>
      </c>
      <c r="H455" s="9">
        <v>0</v>
      </c>
      <c r="I455" s="9">
        <v>0</v>
      </c>
      <c r="J455" s="9">
        <v>0</v>
      </c>
      <c r="K455" s="9">
        <v>0</v>
      </c>
      <c r="L455" s="9">
        <v>0</v>
      </c>
      <c r="M455" s="9">
        <f>E455+K455-I455-J455-L455</f>
        <v>900.0</v>
      </c>
    </row>
    <row r="456" spans="1:13" ht="25" customHeight="1">
      <c r="A456" s="3" t="s">
        <v>68</v>
      </c>
      <c r="B456" s="4" t="s">
        <v>401</v>
      </c>
      <c r="C456" s="4" t="s">
        <v>153</v>
      </c>
      <c r="D456" s="24">
        <v>1</v>
      </c>
      <c r="E456" s="10">
        <v>80</v>
      </c>
      <c r="F456" s="26">
        <v>0.05</v>
      </c>
      <c r="G456" s="10">
        <v>4</v>
      </c>
      <c r="H456" s="10">
        <v>16</v>
      </c>
      <c r="I456" s="10">
        <v>16</v>
      </c>
      <c r="J456" s="10">
        <v>0</v>
      </c>
      <c r="K456" s="10">
        <v>0</v>
      </c>
      <c r="L456" s="10">
        <v>0</v>
      </c>
      <c r="M456" s="10">
        <f>E456+K456-I456-J456-L456</f>
        <v>64.0</v>
      </c>
    </row>
    <row r="457" spans="1:13" ht="25" customHeight="1">
      <c r="A457" s="6" t="s">
        <v>68</v>
      </c>
      <c r="B457" s="7" t="s">
        <v>401</v>
      </c>
      <c r="C457" s="7" t="s">
        <v>198</v>
      </c>
      <c r="D457" s="23">
        <v>1</v>
      </c>
      <c r="E457" s="9">
        <v>350</v>
      </c>
      <c r="F457" s="25">
        <v>0.0475</v>
      </c>
      <c r="G457" s="9">
        <v>16.625</v>
      </c>
      <c r="H457" s="9">
        <v>0</v>
      </c>
      <c r="I457" s="9">
        <v>0</v>
      </c>
      <c r="J457" s="9">
        <v>0</v>
      </c>
      <c r="K457" s="9">
        <v>0</v>
      </c>
      <c r="L457" s="9">
        <v>0</v>
      </c>
      <c r="M457" s="9">
        <f>E457+K457-I457-J457-L457</f>
        <v>350.0</v>
      </c>
    </row>
    <row r="458" spans="1:13" ht="25" customHeight="1">
      <c r="A458" s="3" t="s">
        <v>68</v>
      </c>
      <c r="B458" s="4" t="s">
        <v>401</v>
      </c>
      <c r="C458" s="4" t="s">
        <v>394</v>
      </c>
      <c r="D458" s="24">
        <v>1</v>
      </c>
      <c r="E458" s="10">
        <v>1340.10152284264</v>
      </c>
      <c r="F458" s="26">
        <v>0.065</v>
      </c>
      <c r="G458" s="10">
        <v>87.10659898477158</v>
      </c>
      <c r="H458" s="10">
        <v>26.80203045685279</v>
      </c>
      <c r="I458" s="10">
        <v>26.80203045685279</v>
      </c>
      <c r="J458" s="10">
        <v>243.6134826333354</v>
      </c>
      <c r="K458" s="10">
        <v>0</v>
      </c>
      <c r="L458" s="10">
        <v>0</v>
      </c>
      <c r="M458" s="10">
        <f>E458+K458-I458-J458-L458</f>
        <v>1069.6860097524514</v>
      </c>
    </row>
    <row r="459" spans="1:13" ht="25" customHeight="1">
      <c r="A459" s="6" t="s">
        <v>68</v>
      </c>
      <c r="B459" s="7" t="s">
        <v>401</v>
      </c>
      <c r="C459" s="7" t="s">
        <v>395</v>
      </c>
      <c r="D459" s="23">
        <v>1</v>
      </c>
      <c r="E459" s="9">
        <v>0</v>
      </c>
      <c r="F459" s="25">
        <v>0.0625</v>
      </c>
      <c r="G459" s="9">
        <v>0</v>
      </c>
      <c r="H459" s="9">
        <v>0</v>
      </c>
      <c r="I459" s="9">
        <v>0</v>
      </c>
      <c r="J459" s="9">
        <v>0</v>
      </c>
      <c r="K459" s="9">
        <v>0</v>
      </c>
      <c r="L459" s="9">
        <v>0</v>
      </c>
      <c r="M459" s="9">
        <f>E459+K459-I459-J459-L459</f>
        <v>0.0</v>
      </c>
    </row>
    <row r="460" spans="1:13" ht="25" customHeight="1">
      <c r="A460" s="3" t="s">
        <v>68</v>
      </c>
      <c r="B460" s="4" t="s">
        <v>401</v>
      </c>
      <c r="C460" s="4" t="s">
        <v>139</v>
      </c>
      <c r="D460" s="24">
        <v>2</v>
      </c>
      <c r="E460" s="10">
        <v>900</v>
      </c>
      <c r="F460" s="26">
        <v>0.038</v>
      </c>
      <c r="G460" s="10">
        <v>34.2</v>
      </c>
      <c r="H460" s="10">
        <v>0</v>
      </c>
      <c r="I460" s="10">
        <v>0</v>
      </c>
      <c r="J460" s="10">
        <v>0</v>
      </c>
      <c r="K460" s="10">
        <v>0</v>
      </c>
      <c r="L460" s="10">
        <v>0</v>
      </c>
      <c r="M460" s="10">
        <f>E460+K460-I460-J460-L460</f>
        <v>900.0</v>
      </c>
    </row>
    <row r="461" spans="1:13" ht="25" customHeight="1">
      <c r="A461" s="6" t="s">
        <v>68</v>
      </c>
      <c r="B461" s="7" t="s">
        <v>401</v>
      </c>
      <c r="C461" s="7" t="s">
        <v>153</v>
      </c>
      <c r="D461" s="23">
        <v>2</v>
      </c>
      <c r="E461" s="9">
        <v>64</v>
      </c>
      <c r="F461" s="25">
        <v>0.05</v>
      </c>
      <c r="G461" s="9">
        <v>3.2</v>
      </c>
      <c r="H461" s="9">
        <v>16</v>
      </c>
      <c r="I461" s="9">
        <v>16</v>
      </c>
      <c r="J461" s="9">
        <v>0</v>
      </c>
      <c r="K461" s="9">
        <v>0</v>
      </c>
      <c r="L461" s="9">
        <v>0</v>
      </c>
      <c r="M461" s="9">
        <f>E461+K461-I461-J461-L461</f>
        <v>48.0</v>
      </c>
    </row>
    <row r="462" spans="1:13" ht="25" customHeight="1">
      <c r="A462" s="3" t="s">
        <v>68</v>
      </c>
      <c r="B462" s="4" t="s">
        <v>401</v>
      </c>
      <c r="C462" s="4" t="s">
        <v>198</v>
      </c>
      <c r="D462" s="24">
        <v>2</v>
      </c>
      <c r="E462" s="10">
        <v>350</v>
      </c>
      <c r="F462" s="26">
        <v>0.0475</v>
      </c>
      <c r="G462" s="10">
        <v>16.625</v>
      </c>
      <c r="H462" s="10">
        <v>0</v>
      </c>
      <c r="I462" s="10">
        <v>0</v>
      </c>
      <c r="J462" s="10">
        <v>0</v>
      </c>
      <c r="K462" s="10">
        <v>0</v>
      </c>
      <c r="L462" s="10">
        <v>0</v>
      </c>
      <c r="M462" s="10">
        <f>E462+K462-I462-J462-L462</f>
        <v>350.0</v>
      </c>
    </row>
    <row r="463" spans="1:13" ht="25" customHeight="1">
      <c r="A463" s="6" t="s">
        <v>68</v>
      </c>
      <c r="B463" s="7" t="s">
        <v>401</v>
      </c>
      <c r="C463" s="7" t="s">
        <v>394</v>
      </c>
      <c r="D463" s="23">
        <v>2</v>
      </c>
      <c r="E463" s="9">
        <v>1069.686009752451</v>
      </c>
      <c r="F463" s="25">
        <v>0.0625</v>
      </c>
      <c r="G463" s="9">
        <v>66.85537560952821</v>
      </c>
      <c r="H463" s="9">
        <v>26.80203045685279</v>
      </c>
      <c r="I463" s="9">
        <v>26.80203045685279</v>
      </c>
      <c r="J463" s="9">
        <v>312.0975054729854</v>
      </c>
      <c r="K463" s="9">
        <v>0</v>
      </c>
      <c r="L463" s="9">
        <v>0</v>
      </c>
      <c r="M463" s="9">
        <f>E463+K463-I463-J463-L463</f>
        <v>730.7864738226131</v>
      </c>
    </row>
    <row r="464" spans="1:13" ht="25" customHeight="1">
      <c r="A464" s="3" t="s">
        <v>68</v>
      </c>
      <c r="B464" s="4" t="s">
        <v>401</v>
      </c>
      <c r="C464" s="4" t="s">
        <v>395</v>
      </c>
      <c r="D464" s="24">
        <v>2</v>
      </c>
      <c r="E464" s="10">
        <v>0</v>
      </c>
      <c r="F464" s="26">
        <v>0.06</v>
      </c>
      <c r="G464" s="10">
        <v>0</v>
      </c>
      <c r="H464" s="10">
        <v>0</v>
      </c>
      <c r="I464" s="10">
        <v>0</v>
      </c>
      <c r="J464" s="10">
        <v>0</v>
      </c>
      <c r="K464" s="10">
        <v>0</v>
      </c>
      <c r="L464" s="10">
        <v>0</v>
      </c>
      <c r="M464" s="10">
        <f>E464+K464-I464-J464-L464</f>
        <v>0.0</v>
      </c>
    </row>
    <row r="465" spans="1:13" ht="25" customHeight="1">
      <c r="A465" s="6" t="s">
        <v>68</v>
      </c>
      <c r="B465" s="7" t="s">
        <v>401</v>
      </c>
      <c r="C465" s="7" t="s">
        <v>139</v>
      </c>
      <c r="D465" s="23">
        <v>3</v>
      </c>
      <c r="E465" s="9">
        <v>900</v>
      </c>
      <c r="F465" s="25">
        <v>0.038</v>
      </c>
      <c r="G465" s="9">
        <v>34.2</v>
      </c>
      <c r="H465" s="9">
        <v>0</v>
      </c>
      <c r="I465" s="9">
        <v>0</v>
      </c>
      <c r="J465" s="9">
        <v>0</v>
      </c>
      <c r="K465" s="9">
        <v>0</v>
      </c>
      <c r="L465" s="9">
        <v>0</v>
      </c>
      <c r="M465" s="9">
        <f>E465+K465-I465-J465-L465</f>
        <v>900.0</v>
      </c>
    </row>
    <row r="466" spans="1:13" ht="25" customHeight="1">
      <c r="A466" s="3" t="s">
        <v>68</v>
      </c>
      <c r="B466" s="4" t="s">
        <v>401</v>
      </c>
      <c r="C466" s="4" t="s">
        <v>153</v>
      </c>
      <c r="D466" s="24">
        <v>3</v>
      </c>
      <c r="E466" s="10">
        <v>48</v>
      </c>
      <c r="F466" s="26">
        <v>0.05</v>
      </c>
      <c r="G466" s="10">
        <v>2.4</v>
      </c>
      <c r="H466" s="10">
        <v>16</v>
      </c>
      <c r="I466" s="10">
        <v>16</v>
      </c>
      <c r="J466" s="10">
        <v>0</v>
      </c>
      <c r="K466" s="10">
        <v>0</v>
      </c>
      <c r="L466" s="10">
        <v>0</v>
      </c>
      <c r="M466" s="10">
        <f>E466+K466-I466-J466-L466</f>
        <v>32.0</v>
      </c>
    </row>
    <row r="467" spans="1:13" ht="25" customHeight="1">
      <c r="A467" s="6" t="s">
        <v>68</v>
      </c>
      <c r="B467" s="7" t="s">
        <v>401</v>
      </c>
      <c r="C467" s="7" t="s">
        <v>198</v>
      </c>
      <c r="D467" s="23">
        <v>3</v>
      </c>
      <c r="E467" s="9">
        <v>350</v>
      </c>
      <c r="F467" s="25">
        <v>0.0475</v>
      </c>
      <c r="G467" s="9">
        <v>16.625</v>
      </c>
      <c r="H467" s="9">
        <v>350</v>
      </c>
      <c r="I467" s="9">
        <v>350</v>
      </c>
      <c r="J467" s="9">
        <v>0</v>
      </c>
      <c r="K467" s="9">
        <v>0</v>
      </c>
      <c r="L467" s="9">
        <v>0</v>
      </c>
      <c r="M467" s="9">
        <f>E467+K467-I467-J467-L467</f>
        <v>0.0</v>
      </c>
    </row>
    <row r="468" spans="1:13" ht="25" customHeight="1">
      <c r="A468" s="3" t="s">
        <v>68</v>
      </c>
      <c r="B468" s="4" t="s">
        <v>401</v>
      </c>
      <c r="C468" s="4" t="s">
        <v>394</v>
      </c>
      <c r="D468" s="24">
        <v>3</v>
      </c>
      <c r="E468" s="10">
        <v>730.7864738226131</v>
      </c>
      <c r="F468" s="26">
        <v>0.06</v>
      </c>
      <c r="G468" s="10">
        <v>43.84718842935678</v>
      </c>
      <c r="H468" s="10">
        <v>26.80203045685279</v>
      </c>
      <c r="I468" s="10">
        <v>26.80203045685279</v>
      </c>
      <c r="J468" s="10">
        <v>60.95662129903997</v>
      </c>
      <c r="K468" s="10">
        <v>0</v>
      </c>
      <c r="L468" s="10">
        <v>0</v>
      </c>
      <c r="M468" s="10">
        <f>E468+K468-I468-J468-L468</f>
        <v>643.0278220667203</v>
      </c>
    </row>
    <row r="469" spans="1:13" ht="25" customHeight="1">
      <c r="A469" s="6" t="s">
        <v>68</v>
      </c>
      <c r="B469" s="7" t="s">
        <v>401</v>
      </c>
      <c r="C469" s="7" t="s">
        <v>395</v>
      </c>
      <c r="D469" s="23">
        <v>3</v>
      </c>
      <c r="E469" s="9">
        <v>0</v>
      </c>
      <c r="F469" s="25">
        <v>0.0575</v>
      </c>
      <c r="G469" s="9">
        <v>0</v>
      </c>
      <c r="H469" s="9">
        <v>0</v>
      </c>
      <c r="I469" s="9">
        <v>0</v>
      </c>
      <c r="J469" s="9">
        <v>0</v>
      </c>
      <c r="K469" s="9">
        <v>0</v>
      </c>
      <c r="L469" s="9">
        <v>0</v>
      </c>
      <c r="M469" s="9">
        <f>E469+K469-I469-J469-L469</f>
        <v>0.0</v>
      </c>
    </row>
    <row r="470" spans="1:13" ht="25" customHeight="1">
      <c r="A470" s="3" t="s">
        <v>68</v>
      </c>
      <c r="B470" s="4" t="s">
        <v>401</v>
      </c>
      <c r="C470" s="4" t="s">
        <v>139</v>
      </c>
      <c r="D470" s="24">
        <v>4</v>
      </c>
      <c r="E470" s="10">
        <v>900</v>
      </c>
      <c r="F470" s="26">
        <v>0.038</v>
      </c>
      <c r="G470" s="10">
        <v>34.2</v>
      </c>
      <c r="H470" s="10">
        <v>900</v>
      </c>
      <c r="I470" s="10">
        <v>900</v>
      </c>
      <c r="J470" s="10">
        <v>0</v>
      </c>
      <c r="K470" s="10">
        <v>0</v>
      </c>
      <c r="L470" s="10">
        <v>0</v>
      </c>
      <c r="M470" s="10">
        <f>E470+K470-I470-J470-L470</f>
        <v>0.0</v>
      </c>
    </row>
    <row r="471" spans="1:13" ht="25" customHeight="1">
      <c r="A471" s="6" t="s">
        <v>68</v>
      </c>
      <c r="B471" s="7" t="s">
        <v>401</v>
      </c>
      <c r="C471" s="7" t="s">
        <v>153</v>
      </c>
      <c r="D471" s="23">
        <v>4</v>
      </c>
      <c r="E471" s="9">
        <v>32</v>
      </c>
      <c r="F471" s="25">
        <v>0.05</v>
      </c>
      <c r="G471" s="9">
        <v>1.6</v>
      </c>
      <c r="H471" s="9">
        <v>16</v>
      </c>
      <c r="I471" s="9">
        <v>16</v>
      </c>
      <c r="J471" s="9">
        <v>0</v>
      </c>
      <c r="K471" s="9">
        <v>0</v>
      </c>
      <c r="L471" s="9">
        <v>0</v>
      </c>
      <c r="M471" s="9">
        <f>E471+K471-I471-J471-L471</f>
        <v>16.0</v>
      </c>
    </row>
    <row r="472" spans="1:13" ht="25" customHeight="1">
      <c r="A472" s="3" t="s">
        <v>68</v>
      </c>
      <c r="B472" s="4" t="s">
        <v>401</v>
      </c>
      <c r="C472" s="4" t="s">
        <v>198</v>
      </c>
      <c r="D472" s="24">
        <v>4</v>
      </c>
      <c r="E472" s="10">
        <v>0</v>
      </c>
      <c r="F472" s="26">
        <v>0.0475</v>
      </c>
      <c r="G472" s="10">
        <v>0</v>
      </c>
      <c r="H472" s="10">
        <v>0</v>
      </c>
      <c r="I472" s="10">
        <v>0</v>
      </c>
      <c r="J472" s="10">
        <v>0</v>
      </c>
      <c r="K472" s="10">
        <v>0</v>
      </c>
      <c r="L472" s="10">
        <v>0</v>
      </c>
      <c r="M472" s="10">
        <f>E472+K472-I472-J472-L472</f>
        <v>0.0</v>
      </c>
    </row>
    <row r="473" spans="1:13" ht="25" customHeight="1">
      <c r="A473" s="6" t="s">
        <v>68</v>
      </c>
      <c r="B473" s="7" t="s">
        <v>401</v>
      </c>
      <c r="C473" s="7" t="s">
        <v>394</v>
      </c>
      <c r="D473" s="23">
        <v>4</v>
      </c>
      <c r="E473" s="9">
        <v>643.0278220667203</v>
      </c>
      <c r="F473" s="25">
        <v>0.06</v>
      </c>
      <c r="G473" s="9">
        <v>38.58166932400322</v>
      </c>
      <c r="H473" s="9">
        <v>26.80203045685279</v>
      </c>
      <c r="I473" s="9">
        <v>26.80203045685279</v>
      </c>
      <c r="J473" s="9">
        <v>0</v>
      </c>
      <c r="K473" s="9">
        <v>0</v>
      </c>
      <c r="L473" s="9">
        <v>0</v>
      </c>
      <c r="M473" s="9">
        <f>E473+K473-I473-J473-L473</f>
        <v>616.2257916098675</v>
      </c>
    </row>
    <row r="474" spans="1:13" ht="25" customHeight="1">
      <c r="A474" s="3" t="s">
        <v>68</v>
      </c>
      <c r="B474" s="4" t="s">
        <v>401</v>
      </c>
      <c r="C474" s="4" t="s">
        <v>395</v>
      </c>
      <c r="D474" s="24">
        <v>4</v>
      </c>
      <c r="E474" s="10">
        <v>0</v>
      </c>
      <c r="F474" s="26">
        <v>0.0575</v>
      </c>
      <c r="G474" s="10">
        <v>0</v>
      </c>
      <c r="H474" s="10">
        <v>0</v>
      </c>
      <c r="I474" s="10">
        <v>0</v>
      </c>
      <c r="J474" s="10">
        <v>0</v>
      </c>
      <c r="K474" s="10">
        <v>410.1914099449982</v>
      </c>
      <c r="L474" s="10">
        <v>0</v>
      </c>
      <c r="M474" s="10">
        <f>E474+K474-I474-J474-L474</f>
        <v>410.1914099449982</v>
      </c>
    </row>
    <row r="475" spans="1:13" ht="25" customHeight="1">
      <c r="A475" s="6" t="s">
        <v>68</v>
      </c>
      <c r="B475" s="7" t="s">
        <v>401</v>
      </c>
      <c r="C475" s="7" t="s">
        <v>139</v>
      </c>
      <c r="D475" s="23">
        <v>5</v>
      </c>
      <c r="E475" s="9">
        <v>0</v>
      </c>
      <c r="F475" s="25">
        <v>0.038</v>
      </c>
      <c r="G475" s="9">
        <v>0</v>
      </c>
      <c r="H475" s="9">
        <v>0</v>
      </c>
      <c r="I475" s="9">
        <v>0</v>
      </c>
      <c r="J475" s="9">
        <v>0</v>
      </c>
      <c r="K475" s="9">
        <v>0</v>
      </c>
      <c r="L475" s="9">
        <v>0</v>
      </c>
      <c r="M475" s="9">
        <f>E475+K475-I475-J475-L475</f>
        <v>0.0</v>
      </c>
    </row>
    <row r="476" spans="1:13" ht="25" customHeight="1">
      <c r="A476" s="3" t="s">
        <v>68</v>
      </c>
      <c r="B476" s="4" t="s">
        <v>401</v>
      </c>
      <c r="C476" s="4" t="s">
        <v>153</v>
      </c>
      <c r="D476" s="24">
        <v>5</v>
      </c>
      <c r="E476" s="10">
        <v>16</v>
      </c>
      <c r="F476" s="26">
        <v>0.05</v>
      </c>
      <c r="G476" s="10">
        <v>0.8</v>
      </c>
      <c r="H476" s="10">
        <v>16</v>
      </c>
      <c r="I476" s="10">
        <v>16</v>
      </c>
      <c r="J476" s="10">
        <v>0</v>
      </c>
      <c r="K476" s="10">
        <v>0</v>
      </c>
      <c r="L476" s="10">
        <v>0</v>
      </c>
      <c r="M476" s="10">
        <f>E476+K476-I476-J476-L476</f>
        <v>0.0</v>
      </c>
    </row>
    <row r="477" spans="1:13" ht="25" customHeight="1">
      <c r="A477" s="6" t="s">
        <v>68</v>
      </c>
      <c r="B477" s="7" t="s">
        <v>401</v>
      </c>
      <c r="C477" s="7" t="s">
        <v>198</v>
      </c>
      <c r="D477" s="23">
        <v>5</v>
      </c>
      <c r="E477" s="9">
        <v>0</v>
      </c>
      <c r="F477" s="25">
        <v>0.0475</v>
      </c>
      <c r="G477" s="9">
        <v>0</v>
      </c>
      <c r="H477" s="9">
        <v>0</v>
      </c>
      <c r="I477" s="9">
        <v>0</v>
      </c>
      <c r="J477" s="9">
        <v>0</v>
      </c>
      <c r="K477" s="9">
        <v>0</v>
      </c>
      <c r="L477" s="9">
        <v>0</v>
      </c>
      <c r="M477" s="9">
        <f>E477+K477-I477-J477-L477</f>
        <v>0.0</v>
      </c>
    </row>
    <row r="478" spans="1:13" ht="25" customHeight="1">
      <c r="A478" s="3" t="s">
        <v>68</v>
      </c>
      <c r="B478" s="4" t="s">
        <v>401</v>
      </c>
      <c r="C478" s="4" t="s">
        <v>394</v>
      </c>
      <c r="D478" s="24">
        <v>5</v>
      </c>
      <c r="E478" s="10">
        <v>616.2257916098675</v>
      </c>
      <c r="F478" s="26">
        <v>0.06</v>
      </c>
      <c r="G478" s="10">
        <v>36.97354749659205</v>
      </c>
      <c r="H478" s="10">
        <v>616.2257916098675</v>
      </c>
      <c r="I478" s="10">
        <v>616.2257916098675</v>
      </c>
      <c r="J478" s="10">
        <v>0</v>
      </c>
      <c r="K478" s="10">
        <v>0</v>
      </c>
      <c r="L478" s="10">
        <v>0</v>
      </c>
      <c r="M478" s="10">
        <f>E478+K478-I478-J478-L478</f>
        <v>0.0</v>
      </c>
    </row>
    <row r="479" spans="1:13" ht="25" customHeight="1">
      <c r="A479" s="6" t="s">
        <v>68</v>
      </c>
      <c r="B479" s="7" t="s">
        <v>401</v>
      </c>
      <c r="C479" s="7" t="s">
        <v>395</v>
      </c>
      <c r="D479" s="23">
        <v>5</v>
      </c>
      <c r="E479" s="9">
        <v>410.1914099449982</v>
      </c>
      <c r="F479" s="25">
        <v>0.0575</v>
      </c>
      <c r="G479" s="9">
        <v>23.5860060718374</v>
      </c>
      <c r="H479" s="9">
        <v>410.1914099449982</v>
      </c>
      <c r="I479" s="9">
        <v>410.1914099449982</v>
      </c>
      <c r="J479" s="9">
        <v>0</v>
      </c>
      <c r="K479" s="9">
        <v>0</v>
      </c>
      <c r="L479" s="9">
        <v>0</v>
      </c>
      <c r="M479" s="9">
        <f>E479+K479-I479-J479-L479</f>
        <v>0.0</v>
      </c>
    </row>
    <row r="480" spans="1:13" ht="25" customHeight="1">
      <c r="A480" s="3" t="s">
        <v>78</v>
      </c>
      <c r="B480" s="4" t="s">
        <v>401</v>
      </c>
      <c r="C480" s="4" t="s">
        <v>139</v>
      </c>
      <c r="D480" s="24">
        <v>1</v>
      </c>
      <c r="E480" s="10">
        <v>900</v>
      </c>
      <c r="F480" s="26">
        <v>0.038</v>
      </c>
      <c r="G480" s="10">
        <v>34.2</v>
      </c>
      <c r="H480" s="10">
        <v>0</v>
      </c>
      <c r="I480" s="10">
        <v>0</v>
      </c>
      <c r="J480" s="10">
        <v>0</v>
      </c>
      <c r="K480" s="10">
        <v>0</v>
      </c>
      <c r="L480" s="10">
        <v>0</v>
      </c>
      <c r="M480" s="10">
        <f>E480+K480-I480-J480-L480</f>
        <v>900.0</v>
      </c>
    </row>
    <row r="481" spans="1:13" ht="25" customHeight="1">
      <c r="A481" s="6" t="s">
        <v>78</v>
      </c>
      <c r="B481" s="7" t="s">
        <v>401</v>
      </c>
      <c r="C481" s="7" t="s">
        <v>153</v>
      </c>
      <c r="D481" s="23">
        <v>1</v>
      </c>
      <c r="E481" s="9">
        <v>80</v>
      </c>
      <c r="F481" s="25">
        <v>0.05</v>
      </c>
      <c r="G481" s="9">
        <v>4</v>
      </c>
      <c r="H481" s="9">
        <v>16</v>
      </c>
      <c r="I481" s="9">
        <v>16</v>
      </c>
      <c r="J481" s="9">
        <v>0</v>
      </c>
      <c r="K481" s="9">
        <v>0</v>
      </c>
      <c r="L481" s="9">
        <v>0</v>
      </c>
      <c r="M481" s="9">
        <f>E481+K481-I481-J481-L481</f>
        <v>64.0</v>
      </c>
    </row>
    <row r="482" spans="1:13" ht="25" customHeight="1">
      <c r="A482" s="3" t="s">
        <v>78</v>
      </c>
      <c r="B482" s="4" t="s">
        <v>401</v>
      </c>
      <c r="C482" s="4" t="s">
        <v>198</v>
      </c>
      <c r="D482" s="24">
        <v>1</v>
      </c>
      <c r="E482" s="10">
        <v>350</v>
      </c>
      <c r="F482" s="26">
        <v>0.0475</v>
      </c>
      <c r="G482" s="10">
        <v>16.625</v>
      </c>
      <c r="H482" s="10">
        <v>0</v>
      </c>
      <c r="I482" s="10">
        <v>0</v>
      </c>
      <c r="J482" s="10">
        <v>0</v>
      </c>
      <c r="K482" s="10">
        <v>0</v>
      </c>
      <c r="L482" s="10">
        <v>0</v>
      </c>
      <c r="M482" s="10">
        <f>E482+K482-I482-J482-L482</f>
        <v>350.0</v>
      </c>
    </row>
    <row r="483" spans="1:13" ht="25" customHeight="1">
      <c r="A483" s="6" t="s">
        <v>78</v>
      </c>
      <c r="B483" s="7" t="s">
        <v>401</v>
      </c>
      <c r="C483" s="7" t="s">
        <v>394</v>
      </c>
      <c r="D483" s="23">
        <v>1</v>
      </c>
      <c r="E483" s="9">
        <v>2223.350253807107</v>
      </c>
      <c r="F483" s="25">
        <v>0.065</v>
      </c>
      <c r="G483" s="9">
        <v>144.5177664974619</v>
      </c>
      <c r="H483" s="9">
        <v>44.46700507614213</v>
      </c>
      <c r="I483" s="9">
        <v>44.46700507614213</v>
      </c>
      <c r="J483" s="9">
        <v>1052.890132379528</v>
      </c>
      <c r="K483" s="9">
        <v>0</v>
      </c>
      <c r="L483" s="9">
        <v>0</v>
      </c>
      <c r="M483" s="9">
        <f>E483+K483-I483-J483-L483</f>
        <v>1125.9931163514364</v>
      </c>
    </row>
    <row r="484" spans="1:13" ht="25" customHeight="1">
      <c r="A484" s="3" t="s">
        <v>78</v>
      </c>
      <c r="B484" s="4" t="s">
        <v>401</v>
      </c>
      <c r="C484" s="4" t="s">
        <v>395</v>
      </c>
      <c r="D484" s="24">
        <v>1</v>
      </c>
      <c r="E484" s="10">
        <v>0</v>
      </c>
      <c r="F484" s="26">
        <v>0.0625</v>
      </c>
      <c r="G484" s="10">
        <v>0</v>
      </c>
      <c r="H484" s="10">
        <v>0</v>
      </c>
      <c r="I484" s="10">
        <v>0</v>
      </c>
      <c r="J484" s="10">
        <v>0</v>
      </c>
      <c r="K484" s="10">
        <v>0</v>
      </c>
      <c r="L484" s="10">
        <v>0</v>
      </c>
      <c r="M484" s="10">
        <f>E484+K484-I484-J484-L484</f>
        <v>0.0</v>
      </c>
    </row>
    <row r="485" spans="1:13" ht="25" customHeight="1">
      <c r="A485" s="6" t="s">
        <v>78</v>
      </c>
      <c r="B485" s="7" t="s">
        <v>401</v>
      </c>
      <c r="C485" s="7" t="s">
        <v>139</v>
      </c>
      <c r="D485" s="23">
        <v>2</v>
      </c>
      <c r="E485" s="9">
        <v>900</v>
      </c>
      <c r="F485" s="25">
        <v>0.038</v>
      </c>
      <c r="G485" s="9">
        <v>34.2</v>
      </c>
      <c r="H485" s="9">
        <v>0</v>
      </c>
      <c r="I485" s="9">
        <v>0</v>
      </c>
      <c r="J485" s="9">
        <v>0</v>
      </c>
      <c r="K485" s="9">
        <v>0</v>
      </c>
      <c r="L485" s="9">
        <v>0</v>
      </c>
      <c r="M485" s="9">
        <f>E485+K485-I485-J485-L485</f>
        <v>900.0</v>
      </c>
    </row>
    <row r="486" spans="1:13" ht="25" customHeight="1">
      <c r="A486" s="3" t="s">
        <v>78</v>
      </c>
      <c r="B486" s="4" t="s">
        <v>401</v>
      </c>
      <c r="C486" s="4" t="s">
        <v>153</v>
      </c>
      <c r="D486" s="24">
        <v>2</v>
      </c>
      <c r="E486" s="10">
        <v>64</v>
      </c>
      <c r="F486" s="26">
        <v>0.05</v>
      </c>
      <c r="G486" s="10">
        <v>3.2</v>
      </c>
      <c r="H486" s="10">
        <v>16</v>
      </c>
      <c r="I486" s="10">
        <v>16</v>
      </c>
      <c r="J486" s="10">
        <v>0</v>
      </c>
      <c r="K486" s="10">
        <v>0</v>
      </c>
      <c r="L486" s="10">
        <v>0</v>
      </c>
      <c r="M486" s="10">
        <f>E486+K486-I486-J486-L486</f>
        <v>48.0</v>
      </c>
    </row>
    <row r="487" spans="1:13" ht="25" customHeight="1">
      <c r="A487" s="6" t="s">
        <v>78</v>
      </c>
      <c r="B487" s="7" t="s">
        <v>401</v>
      </c>
      <c r="C487" s="7" t="s">
        <v>198</v>
      </c>
      <c r="D487" s="23">
        <v>2</v>
      </c>
      <c r="E487" s="9">
        <v>350</v>
      </c>
      <c r="F487" s="25">
        <v>0.0475</v>
      </c>
      <c r="G487" s="9">
        <v>16.625</v>
      </c>
      <c r="H487" s="9">
        <v>0</v>
      </c>
      <c r="I487" s="9">
        <v>0</v>
      </c>
      <c r="J487" s="9">
        <v>0</v>
      </c>
      <c r="K487" s="9">
        <v>0</v>
      </c>
      <c r="L487" s="9">
        <v>0</v>
      </c>
      <c r="M487" s="9">
        <f>E487+K487-I487-J487-L487</f>
        <v>350.0</v>
      </c>
    </row>
    <row r="488" spans="1:13" ht="25" customHeight="1">
      <c r="A488" s="3" t="s">
        <v>78</v>
      </c>
      <c r="B488" s="4" t="s">
        <v>401</v>
      </c>
      <c r="C488" s="4" t="s">
        <v>394</v>
      </c>
      <c r="D488" s="24">
        <v>2</v>
      </c>
      <c r="E488" s="10">
        <v>1125.993116351436</v>
      </c>
      <c r="F488" s="26">
        <v>0.0625</v>
      </c>
      <c r="G488" s="10">
        <v>70.37456977196477</v>
      </c>
      <c r="H488" s="10">
        <v>44.46700507614213</v>
      </c>
      <c r="I488" s="10">
        <v>44.46700507614213</v>
      </c>
      <c r="J488" s="10">
        <v>291.7931352318687</v>
      </c>
      <c r="K488" s="10">
        <v>0</v>
      </c>
      <c r="L488" s="10">
        <v>0</v>
      </c>
      <c r="M488" s="10">
        <f>E488+K488-I488-J488-L488</f>
        <v>789.7329760434254</v>
      </c>
    </row>
    <row r="489" spans="1:13" ht="25" customHeight="1">
      <c r="A489" s="6" t="s">
        <v>78</v>
      </c>
      <c r="B489" s="7" t="s">
        <v>401</v>
      </c>
      <c r="C489" s="7" t="s">
        <v>395</v>
      </c>
      <c r="D489" s="23">
        <v>2</v>
      </c>
      <c r="E489" s="9">
        <v>0</v>
      </c>
      <c r="F489" s="25">
        <v>0.06</v>
      </c>
      <c r="G489" s="9">
        <v>0</v>
      </c>
      <c r="H489" s="9">
        <v>0</v>
      </c>
      <c r="I489" s="9">
        <v>0</v>
      </c>
      <c r="J489" s="9">
        <v>0</v>
      </c>
      <c r="K489" s="9">
        <v>0</v>
      </c>
      <c r="L489" s="9">
        <v>0</v>
      </c>
      <c r="M489" s="9">
        <f>E489+K489-I489-J489-L489</f>
        <v>0.0</v>
      </c>
    </row>
    <row r="490" spans="1:13" ht="25" customHeight="1">
      <c r="A490" s="3" t="s">
        <v>78</v>
      </c>
      <c r="B490" s="4" t="s">
        <v>401</v>
      </c>
      <c r="C490" s="4" t="s">
        <v>139</v>
      </c>
      <c r="D490" s="24">
        <v>3</v>
      </c>
      <c r="E490" s="10">
        <v>900</v>
      </c>
      <c r="F490" s="26">
        <v>0.038</v>
      </c>
      <c r="G490" s="10">
        <v>34.2</v>
      </c>
      <c r="H490" s="10">
        <v>0</v>
      </c>
      <c r="I490" s="10">
        <v>0</v>
      </c>
      <c r="J490" s="10">
        <v>0</v>
      </c>
      <c r="K490" s="10">
        <v>0</v>
      </c>
      <c r="L490" s="10">
        <v>0</v>
      </c>
      <c r="M490" s="10">
        <f>E490+K490-I490-J490-L490</f>
        <v>900.0</v>
      </c>
    </row>
    <row r="491" spans="1:13" ht="25" customHeight="1">
      <c r="A491" s="6" t="s">
        <v>78</v>
      </c>
      <c r="B491" s="7" t="s">
        <v>401</v>
      </c>
      <c r="C491" s="7" t="s">
        <v>153</v>
      </c>
      <c r="D491" s="23">
        <v>3</v>
      </c>
      <c r="E491" s="9">
        <v>48</v>
      </c>
      <c r="F491" s="25">
        <v>0.05</v>
      </c>
      <c r="G491" s="9">
        <v>2.4</v>
      </c>
      <c r="H491" s="9">
        <v>16</v>
      </c>
      <c r="I491" s="9">
        <v>16</v>
      </c>
      <c r="J491" s="9">
        <v>0</v>
      </c>
      <c r="K491" s="9">
        <v>0</v>
      </c>
      <c r="L491" s="9">
        <v>0</v>
      </c>
      <c r="M491" s="9">
        <f>E491+K491-I491-J491-L491</f>
        <v>32.0</v>
      </c>
    </row>
    <row r="492" spans="1:13" ht="25" customHeight="1">
      <c r="A492" s="3" t="s">
        <v>78</v>
      </c>
      <c r="B492" s="4" t="s">
        <v>401</v>
      </c>
      <c r="C492" s="4" t="s">
        <v>198</v>
      </c>
      <c r="D492" s="24">
        <v>3</v>
      </c>
      <c r="E492" s="10">
        <v>350</v>
      </c>
      <c r="F492" s="26">
        <v>0.0475</v>
      </c>
      <c r="G492" s="10">
        <v>16.625</v>
      </c>
      <c r="H492" s="10">
        <v>350</v>
      </c>
      <c r="I492" s="10">
        <v>350</v>
      </c>
      <c r="J492" s="10">
        <v>0</v>
      </c>
      <c r="K492" s="10">
        <v>0</v>
      </c>
      <c r="L492" s="10">
        <v>0</v>
      </c>
      <c r="M492" s="10">
        <f>E492+K492-I492-J492-L492</f>
        <v>0.0</v>
      </c>
    </row>
    <row r="493" spans="1:13" ht="25" customHeight="1">
      <c r="A493" s="6" t="s">
        <v>78</v>
      </c>
      <c r="B493" s="7" t="s">
        <v>401</v>
      </c>
      <c r="C493" s="7" t="s">
        <v>394</v>
      </c>
      <c r="D493" s="23">
        <v>3</v>
      </c>
      <c r="E493" s="9">
        <v>789.7329760434254</v>
      </c>
      <c r="F493" s="25">
        <v>0.06</v>
      </c>
      <c r="G493" s="9">
        <v>47.38397856260553</v>
      </c>
      <c r="H493" s="9">
        <v>44.46700507614213</v>
      </c>
      <c r="I493" s="9">
        <v>44.46700507614213</v>
      </c>
      <c r="J493" s="9">
        <v>40.63905407981383</v>
      </c>
      <c r="K493" s="9">
        <v>0</v>
      </c>
      <c r="L493" s="9">
        <v>0</v>
      </c>
      <c r="M493" s="9">
        <f>E493+K493-I493-J493-L493</f>
        <v>704.6269168874694</v>
      </c>
    </row>
    <row r="494" spans="1:13" ht="25" customHeight="1">
      <c r="A494" s="3" t="s">
        <v>78</v>
      </c>
      <c r="B494" s="4" t="s">
        <v>401</v>
      </c>
      <c r="C494" s="4" t="s">
        <v>395</v>
      </c>
      <c r="D494" s="24">
        <v>3</v>
      </c>
      <c r="E494" s="10">
        <v>0</v>
      </c>
      <c r="F494" s="26">
        <v>0.0575</v>
      </c>
      <c r="G494" s="10">
        <v>0</v>
      </c>
      <c r="H494" s="10">
        <v>0</v>
      </c>
      <c r="I494" s="10">
        <v>0</v>
      </c>
      <c r="J494" s="10">
        <v>0</v>
      </c>
      <c r="K494" s="10">
        <v>0</v>
      </c>
      <c r="L494" s="10">
        <v>0</v>
      </c>
      <c r="M494" s="10">
        <f>E494+K494-I494-J494-L494</f>
        <v>0.0</v>
      </c>
    </row>
    <row r="495" spans="1:13" ht="25" customHeight="1">
      <c r="A495" s="6" t="s">
        <v>78</v>
      </c>
      <c r="B495" s="7" t="s">
        <v>401</v>
      </c>
      <c r="C495" s="7" t="s">
        <v>139</v>
      </c>
      <c r="D495" s="23">
        <v>4</v>
      </c>
      <c r="E495" s="9">
        <v>900</v>
      </c>
      <c r="F495" s="25">
        <v>0.038</v>
      </c>
      <c r="G495" s="9">
        <v>34.2</v>
      </c>
      <c r="H495" s="9">
        <v>900</v>
      </c>
      <c r="I495" s="9">
        <v>900</v>
      </c>
      <c r="J495" s="9">
        <v>0</v>
      </c>
      <c r="K495" s="9">
        <v>0</v>
      </c>
      <c r="L495" s="9">
        <v>0</v>
      </c>
      <c r="M495" s="9">
        <f>E495+K495-I495-J495-L495</f>
        <v>0.0</v>
      </c>
    </row>
    <row r="496" spans="1:13" ht="25" customHeight="1">
      <c r="A496" s="3" t="s">
        <v>78</v>
      </c>
      <c r="B496" s="4" t="s">
        <v>401</v>
      </c>
      <c r="C496" s="4" t="s">
        <v>153</v>
      </c>
      <c r="D496" s="24">
        <v>4</v>
      </c>
      <c r="E496" s="10">
        <v>32</v>
      </c>
      <c r="F496" s="26">
        <v>0.05</v>
      </c>
      <c r="G496" s="10">
        <v>1.6</v>
      </c>
      <c r="H496" s="10">
        <v>16</v>
      </c>
      <c r="I496" s="10">
        <v>16</v>
      </c>
      <c r="J496" s="10">
        <v>0</v>
      </c>
      <c r="K496" s="10">
        <v>0</v>
      </c>
      <c r="L496" s="10">
        <v>0</v>
      </c>
      <c r="M496" s="10">
        <f>E496+K496-I496-J496-L496</f>
        <v>16.0</v>
      </c>
    </row>
    <row r="497" spans="1:13" ht="25" customHeight="1">
      <c r="A497" s="6" t="s">
        <v>78</v>
      </c>
      <c r="B497" s="7" t="s">
        <v>401</v>
      </c>
      <c r="C497" s="7" t="s">
        <v>198</v>
      </c>
      <c r="D497" s="23">
        <v>4</v>
      </c>
      <c r="E497" s="9">
        <v>0</v>
      </c>
      <c r="F497" s="25">
        <v>0.0475</v>
      </c>
      <c r="G497" s="9">
        <v>0</v>
      </c>
      <c r="H497" s="9">
        <v>0</v>
      </c>
      <c r="I497" s="9">
        <v>0</v>
      </c>
      <c r="J497" s="9">
        <v>0</v>
      </c>
      <c r="K497" s="9">
        <v>0</v>
      </c>
      <c r="L497" s="9">
        <v>0</v>
      </c>
      <c r="M497" s="9">
        <f>E497+K497-I497-J497-L497</f>
        <v>0.0</v>
      </c>
    </row>
    <row r="498" spans="1:13" ht="25" customHeight="1">
      <c r="A498" s="3" t="s">
        <v>78</v>
      </c>
      <c r="B498" s="4" t="s">
        <v>401</v>
      </c>
      <c r="C498" s="4" t="s">
        <v>394</v>
      </c>
      <c r="D498" s="24">
        <v>4</v>
      </c>
      <c r="E498" s="10">
        <v>704.6269168874694</v>
      </c>
      <c r="F498" s="26">
        <v>0.06</v>
      </c>
      <c r="G498" s="10">
        <v>42.27761501324817</v>
      </c>
      <c r="H498" s="10">
        <v>44.46700507614213</v>
      </c>
      <c r="I498" s="10">
        <v>44.46700507614213</v>
      </c>
      <c r="J498" s="10">
        <v>0</v>
      </c>
      <c r="K498" s="10">
        <v>0</v>
      </c>
      <c r="L498" s="10">
        <v>0</v>
      </c>
      <c r="M498" s="10">
        <f>E498+K498-I498-J498-L498</f>
        <v>660.1599118113272</v>
      </c>
    </row>
    <row r="499" spans="1:13" ht="25" customHeight="1">
      <c r="A499" s="6" t="s">
        <v>78</v>
      </c>
      <c r="B499" s="7" t="s">
        <v>401</v>
      </c>
      <c r="C499" s="7" t="s">
        <v>395</v>
      </c>
      <c r="D499" s="23">
        <v>4</v>
      </c>
      <c r="E499" s="9">
        <v>0</v>
      </c>
      <c r="F499" s="25">
        <v>0.0575</v>
      </c>
      <c r="G499" s="9">
        <v>0</v>
      </c>
      <c r="H499" s="9">
        <v>0</v>
      </c>
      <c r="I499" s="9">
        <v>0</v>
      </c>
      <c r="J499" s="9">
        <v>0</v>
      </c>
      <c r="K499" s="9">
        <v>430.6283438312216</v>
      </c>
      <c r="L499" s="9">
        <v>0</v>
      </c>
      <c r="M499" s="9">
        <f>E499+K499-I499-J499-L499</f>
        <v>430.6283438312216</v>
      </c>
    </row>
    <row r="500" spans="1:13" ht="25" customHeight="1">
      <c r="A500" s="3" t="s">
        <v>78</v>
      </c>
      <c r="B500" s="4" t="s">
        <v>401</v>
      </c>
      <c r="C500" s="4" t="s">
        <v>139</v>
      </c>
      <c r="D500" s="24">
        <v>5</v>
      </c>
      <c r="E500" s="10">
        <v>0</v>
      </c>
      <c r="F500" s="26">
        <v>0.038</v>
      </c>
      <c r="G500" s="10">
        <v>0</v>
      </c>
      <c r="H500" s="10">
        <v>0</v>
      </c>
      <c r="I500" s="10">
        <v>0</v>
      </c>
      <c r="J500" s="10">
        <v>0</v>
      </c>
      <c r="K500" s="10">
        <v>0</v>
      </c>
      <c r="L500" s="10">
        <v>0</v>
      </c>
      <c r="M500" s="10">
        <f>E500+K500-I500-J500-L500</f>
        <v>0.0</v>
      </c>
    </row>
    <row r="501" spans="1:13" ht="25" customHeight="1">
      <c r="A501" s="6" t="s">
        <v>78</v>
      </c>
      <c r="B501" s="7" t="s">
        <v>401</v>
      </c>
      <c r="C501" s="7" t="s">
        <v>153</v>
      </c>
      <c r="D501" s="23">
        <v>5</v>
      </c>
      <c r="E501" s="9">
        <v>16</v>
      </c>
      <c r="F501" s="25">
        <v>0.05</v>
      </c>
      <c r="G501" s="9">
        <v>0.8</v>
      </c>
      <c r="H501" s="9">
        <v>16</v>
      </c>
      <c r="I501" s="9">
        <v>16</v>
      </c>
      <c r="J501" s="9">
        <v>0</v>
      </c>
      <c r="K501" s="9">
        <v>0</v>
      </c>
      <c r="L501" s="9">
        <v>0</v>
      </c>
      <c r="M501" s="9">
        <f>E501+K501-I501-J501-L501</f>
        <v>0.0</v>
      </c>
    </row>
    <row r="502" spans="1:13" ht="25" customHeight="1">
      <c r="A502" s="3" t="s">
        <v>78</v>
      </c>
      <c r="B502" s="4" t="s">
        <v>401</v>
      </c>
      <c r="C502" s="4" t="s">
        <v>198</v>
      </c>
      <c r="D502" s="24">
        <v>5</v>
      </c>
      <c r="E502" s="10">
        <v>0</v>
      </c>
      <c r="F502" s="26">
        <v>0.0475</v>
      </c>
      <c r="G502" s="10">
        <v>0</v>
      </c>
      <c r="H502" s="10">
        <v>0</v>
      </c>
      <c r="I502" s="10">
        <v>0</v>
      </c>
      <c r="J502" s="10">
        <v>0</v>
      </c>
      <c r="K502" s="10">
        <v>0</v>
      </c>
      <c r="L502" s="10">
        <v>0</v>
      </c>
      <c r="M502" s="10">
        <f>E502+K502-I502-J502-L502</f>
        <v>0.0</v>
      </c>
    </row>
    <row r="503" spans="1:13" ht="25" customHeight="1">
      <c r="A503" s="6" t="s">
        <v>78</v>
      </c>
      <c r="B503" s="7" t="s">
        <v>401</v>
      </c>
      <c r="C503" s="7" t="s">
        <v>394</v>
      </c>
      <c r="D503" s="23">
        <v>5</v>
      </c>
      <c r="E503" s="9">
        <v>660.1599118113272</v>
      </c>
      <c r="F503" s="25">
        <v>0.06</v>
      </c>
      <c r="G503" s="9">
        <v>39.60959470867964</v>
      </c>
      <c r="H503" s="9">
        <v>660.1599118113272</v>
      </c>
      <c r="I503" s="9">
        <v>660.1599118113272</v>
      </c>
      <c r="J503" s="9">
        <v>0</v>
      </c>
      <c r="K503" s="9">
        <v>0</v>
      </c>
      <c r="L503" s="9">
        <v>0</v>
      </c>
      <c r="M503" s="9">
        <f>E503+K503-I503-J503-L503</f>
        <v>0.0</v>
      </c>
    </row>
    <row r="504" spans="1:13" ht="25" customHeight="1">
      <c r="A504" s="3" t="s">
        <v>78</v>
      </c>
      <c r="B504" s="4" t="s">
        <v>401</v>
      </c>
      <c r="C504" s="4" t="s">
        <v>395</v>
      </c>
      <c r="D504" s="24">
        <v>5</v>
      </c>
      <c r="E504" s="10">
        <v>430.6283438312216</v>
      </c>
      <c r="F504" s="26">
        <v>0.0575</v>
      </c>
      <c r="G504" s="10">
        <v>24.76112977029524</v>
      </c>
      <c r="H504" s="10">
        <v>430.6283438312216</v>
      </c>
      <c r="I504" s="10">
        <v>430.6283438312216</v>
      </c>
      <c r="J504" s="10">
        <v>0</v>
      </c>
      <c r="K504" s="10">
        <v>0</v>
      </c>
      <c r="L504" s="10">
        <v>0</v>
      </c>
      <c r="M504" s="10">
        <f>E504+K504-I504-J504-L504</f>
        <v>0.0</v>
      </c>
    </row>
    <row r="505" spans="1:13" ht="25" customHeight="1">
      <c r="A505" s="6" t="s">
        <v>79</v>
      </c>
      <c r="B505" s="7" t="s">
        <v>401</v>
      </c>
      <c r="C505" s="7" t="s">
        <v>139</v>
      </c>
      <c r="D505" s="23">
        <v>1</v>
      </c>
      <c r="E505" s="9">
        <v>900</v>
      </c>
      <c r="F505" s="25">
        <v>0.038</v>
      </c>
      <c r="G505" s="9">
        <v>34.2</v>
      </c>
      <c r="H505" s="9">
        <v>0</v>
      </c>
      <c r="I505" s="9">
        <v>0</v>
      </c>
      <c r="J505" s="9">
        <v>0</v>
      </c>
      <c r="K505" s="9">
        <v>0</v>
      </c>
      <c r="L505" s="9">
        <v>0</v>
      </c>
      <c r="M505" s="9">
        <f>E505+K505-I505-J505-L505</f>
        <v>900.0</v>
      </c>
    </row>
    <row r="506" spans="1:13" ht="25" customHeight="1">
      <c r="A506" s="3" t="s">
        <v>79</v>
      </c>
      <c r="B506" s="4" t="s">
        <v>401</v>
      </c>
      <c r="C506" s="4" t="s">
        <v>153</v>
      </c>
      <c r="D506" s="24">
        <v>1</v>
      </c>
      <c r="E506" s="10">
        <v>80</v>
      </c>
      <c r="F506" s="26">
        <v>0.05</v>
      </c>
      <c r="G506" s="10">
        <v>4</v>
      </c>
      <c r="H506" s="10">
        <v>16</v>
      </c>
      <c r="I506" s="10">
        <v>16</v>
      </c>
      <c r="J506" s="10">
        <v>16.32921867394413</v>
      </c>
      <c r="K506" s="10">
        <v>0</v>
      </c>
      <c r="L506" s="10">
        <v>0</v>
      </c>
      <c r="M506" s="10">
        <f>E506+K506-I506-J506-L506</f>
        <v>47.670781326055874</v>
      </c>
    </row>
    <row r="507" spans="1:13" ht="25" customHeight="1">
      <c r="A507" s="6" t="s">
        <v>79</v>
      </c>
      <c r="B507" s="7" t="s">
        <v>401</v>
      </c>
      <c r="C507" s="7" t="s">
        <v>198</v>
      </c>
      <c r="D507" s="23">
        <v>1</v>
      </c>
      <c r="E507" s="9">
        <v>350</v>
      </c>
      <c r="F507" s="25">
        <v>0.0475</v>
      </c>
      <c r="G507" s="9">
        <v>16.625</v>
      </c>
      <c r="H507" s="9">
        <v>0</v>
      </c>
      <c r="I507" s="9">
        <v>0</v>
      </c>
      <c r="J507" s="9">
        <v>0</v>
      </c>
      <c r="K507" s="9">
        <v>0</v>
      </c>
      <c r="L507" s="9">
        <v>0</v>
      </c>
      <c r="M507" s="9">
        <f>E507+K507-I507-J507-L507</f>
        <v>350.0</v>
      </c>
    </row>
    <row r="508" spans="1:13" ht="25" customHeight="1">
      <c r="A508" s="3" t="s">
        <v>79</v>
      </c>
      <c r="B508" s="4" t="s">
        <v>401</v>
      </c>
      <c r="C508" s="4" t="s">
        <v>394</v>
      </c>
      <c r="D508" s="24">
        <v>1</v>
      </c>
      <c r="E508" s="10">
        <v>304.5685279187817</v>
      </c>
      <c r="F508" s="26">
        <v>0.065</v>
      </c>
      <c r="G508" s="10">
        <v>19.79695431472081</v>
      </c>
      <c r="H508" s="10">
        <v>6.091370558375635</v>
      </c>
      <c r="I508" s="10">
        <v>6.091370558375635</v>
      </c>
      <c r="J508" s="10">
        <v>298.4771573604061</v>
      </c>
      <c r="K508" s="10">
        <v>0</v>
      </c>
      <c r="L508" s="10">
        <v>0</v>
      </c>
      <c r="M508" s="10">
        <f>E508+K508-I508-J508-L508</f>
        <v>0.0</v>
      </c>
    </row>
    <row r="509" spans="1:13" ht="25" customHeight="1">
      <c r="A509" s="6" t="s">
        <v>79</v>
      </c>
      <c r="B509" s="7" t="s">
        <v>401</v>
      </c>
      <c r="C509" s="7" t="s">
        <v>395</v>
      </c>
      <c r="D509" s="23">
        <v>1</v>
      </c>
      <c r="E509" s="9">
        <v>0</v>
      </c>
      <c r="F509" s="25">
        <v>0.0625</v>
      </c>
      <c r="G509" s="9">
        <v>0</v>
      </c>
      <c r="H509" s="9">
        <v>0</v>
      </c>
      <c r="I509" s="9">
        <v>0</v>
      </c>
      <c r="J509" s="9">
        <v>0</v>
      </c>
      <c r="K509" s="9">
        <v>0</v>
      </c>
      <c r="L509" s="9">
        <v>0</v>
      </c>
      <c r="M509" s="9">
        <f>E509+K509-I509-J509-L509</f>
        <v>0.0</v>
      </c>
    </row>
    <row r="510" spans="1:13" ht="25" customHeight="1">
      <c r="A510" s="3" t="s">
        <v>79</v>
      </c>
      <c r="B510" s="4" t="s">
        <v>401</v>
      </c>
      <c r="C510" s="4" t="s">
        <v>139</v>
      </c>
      <c r="D510" s="24">
        <v>2</v>
      </c>
      <c r="E510" s="10">
        <v>900</v>
      </c>
      <c r="F510" s="26">
        <v>0.038</v>
      </c>
      <c r="G510" s="10">
        <v>34.2</v>
      </c>
      <c r="H510" s="10">
        <v>0</v>
      </c>
      <c r="I510" s="10">
        <v>0</v>
      </c>
      <c r="J510" s="10">
        <v>7.98263201120136</v>
      </c>
      <c r="K510" s="10">
        <v>0</v>
      </c>
      <c r="L510" s="10">
        <v>0</v>
      </c>
      <c r="M510" s="10">
        <f>E510+K510-I510-J510-L510</f>
        <v>892.0173679887987</v>
      </c>
    </row>
    <row r="511" spans="1:13" ht="25" customHeight="1">
      <c r="A511" s="6" t="s">
        <v>79</v>
      </c>
      <c r="B511" s="7" t="s">
        <v>401</v>
      </c>
      <c r="C511" s="7" t="s">
        <v>153</v>
      </c>
      <c r="D511" s="23">
        <v>2</v>
      </c>
      <c r="E511" s="9">
        <v>47.67078132605587</v>
      </c>
      <c r="F511" s="25">
        <v>0.05</v>
      </c>
      <c r="G511" s="9">
        <v>2.383539066302794</v>
      </c>
      <c r="H511" s="9">
        <v>16</v>
      </c>
      <c r="I511" s="9">
        <v>16</v>
      </c>
      <c r="J511" s="9">
        <v>31.67078132605587</v>
      </c>
      <c r="K511" s="9">
        <v>0</v>
      </c>
      <c r="L511" s="9">
        <v>0</v>
      </c>
      <c r="M511" s="9">
        <f>E511+K511-I511-J511-L511</f>
        <v>0.0</v>
      </c>
    </row>
    <row r="512" spans="1:13" ht="25" customHeight="1">
      <c r="A512" s="3" t="s">
        <v>79</v>
      </c>
      <c r="B512" s="4" t="s">
        <v>401</v>
      </c>
      <c r="C512" s="4" t="s">
        <v>198</v>
      </c>
      <c r="D512" s="24">
        <v>2</v>
      </c>
      <c r="E512" s="10">
        <v>350</v>
      </c>
      <c r="F512" s="26">
        <v>0.0475</v>
      </c>
      <c r="G512" s="10">
        <v>16.625</v>
      </c>
      <c r="H512" s="10">
        <v>0</v>
      </c>
      <c r="I512" s="10">
        <v>0</v>
      </c>
      <c r="J512" s="10">
        <v>350</v>
      </c>
      <c r="K512" s="10">
        <v>0</v>
      </c>
      <c r="L512" s="10">
        <v>0</v>
      </c>
      <c r="M512" s="10">
        <f>E512+K512-I512-J512-L512</f>
        <v>0.0</v>
      </c>
    </row>
    <row r="513" spans="1:13" ht="25" customHeight="1">
      <c r="A513" s="6" t="s">
        <v>79</v>
      </c>
      <c r="B513" s="7" t="s">
        <v>401</v>
      </c>
      <c r="C513" s="7" t="s">
        <v>394</v>
      </c>
      <c r="D513" s="23">
        <v>2</v>
      </c>
      <c r="E513" s="9">
        <v>0</v>
      </c>
      <c r="F513" s="25">
        <v>0.0625</v>
      </c>
      <c r="G513" s="9">
        <v>0</v>
      </c>
      <c r="H513" s="9">
        <v>0</v>
      </c>
      <c r="I513" s="9">
        <v>0</v>
      </c>
      <c r="J513" s="9">
        <v>0</v>
      </c>
      <c r="K513" s="9">
        <v>0</v>
      </c>
      <c r="L513" s="9">
        <v>0</v>
      </c>
      <c r="M513" s="9">
        <f>E513+K513-I513-J513-L513</f>
        <v>0.0</v>
      </c>
    </row>
    <row r="514" spans="1:13" ht="25" customHeight="1">
      <c r="A514" s="3" t="s">
        <v>79</v>
      </c>
      <c r="B514" s="4" t="s">
        <v>401</v>
      </c>
      <c r="C514" s="4" t="s">
        <v>395</v>
      </c>
      <c r="D514" s="24">
        <v>2</v>
      </c>
      <c r="E514" s="10">
        <v>0</v>
      </c>
      <c r="F514" s="26">
        <v>0.06</v>
      </c>
      <c r="G514" s="10">
        <v>0</v>
      </c>
      <c r="H514" s="10">
        <v>0</v>
      </c>
      <c r="I514" s="10">
        <v>0</v>
      </c>
      <c r="J514" s="10">
        <v>0</v>
      </c>
      <c r="K514" s="10">
        <v>0</v>
      </c>
      <c r="L514" s="10">
        <v>0</v>
      </c>
      <c r="M514" s="10">
        <f>E514+K514-I514-J514-L514</f>
        <v>0.0</v>
      </c>
    </row>
    <row r="515" spans="1:13" ht="25" customHeight="1">
      <c r="A515" s="6" t="s">
        <v>79</v>
      </c>
      <c r="B515" s="7" t="s">
        <v>401</v>
      </c>
      <c r="C515" s="7" t="s">
        <v>139</v>
      </c>
      <c r="D515" s="23">
        <v>3</v>
      </c>
      <c r="E515" s="9">
        <v>892.0173679887987</v>
      </c>
      <c r="F515" s="25">
        <v>0.038</v>
      </c>
      <c r="G515" s="9">
        <v>33.89665998357435</v>
      </c>
      <c r="H515" s="9">
        <v>0</v>
      </c>
      <c r="I515" s="9">
        <v>0</v>
      </c>
      <c r="J515" s="9">
        <v>501.1402980902296</v>
      </c>
      <c r="K515" s="9">
        <v>0</v>
      </c>
      <c r="L515" s="9">
        <v>0</v>
      </c>
      <c r="M515" s="9">
        <f>E515+K515-I515-J515-L515</f>
        <v>390.87706989856906</v>
      </c>
    </row>
    <row r="516" spans="1:13" ht="25" customHeight="1">
      <c r="A516" s="3" t="s">
        <v>79</v>
      </c>
      <c r="B516" s="4" t="s">
        <v>401</v>
      </c>
      <c r="C516" s="4" t="s">
        <v>153</v>
      </c>
      <c r="D516" s="24">
        <v>3</v>
      </c>
      <c r="E516" s="10">
        <v>0</v>
      </c>
      <c r="F516" s="26">
        <v>0.05</v>
      </c>
      <c r="G516" s="10">
        <v>0</v>
      </c>
      <c r="H516" s="10">
        <v>0</v>
      </c>
      <c r="I516" s="10">
        <v>0</v>
      </c>
      <c r="J516" s="10">
        <v>0</v>
      </c>
      <c r="K516" s="10">
        <v>0</v>
      </c>
      <c r="L516" s="10">
        <v>0</v>
      </c>
      <c r="M516" s="10">
        <f>E516+K516-I516-J516-L516</f>
        <v>0.0</v>
      </c>
    </row>
    <row r="517" spans="1:13" ht="25" customHeight="1">
      <c r="A517" s="6" t="s">
        <v>79</v>
      </c>
      <c r="B517" s="7" t="s">
        <v>401</v>
      </c>
      <c r="C517" s="7" t="s">
        <v>198</v>
      </c>
      <c r="D517" s="23">
        <v>3</v>
      </c>
      <c r="E517" s="9">
        <v>0</v>
      </c>
      <c r="F517" s="25">
        <v>0.0475</v>
      </c>
      <c r="G517" s="9">
        <v>0</v>
      </c>
      <c r="H517" s="9">
        <v>0</v>
      </c>
      <c r="I517" s="9">
        <v>0</v>
      </c>
      <c r="J517" s="9">
        <v>0</v>
      </c>
      <c r="K517" s="9">
        <v>0</v>
      </c>
      <c r="L517" s="9">
        <v>0</v>
      </c>
      <c r="M517" s="9">
        <f>E517+K517-I517-J517-L517</f>
        <v>0.0</v>
      </c>
    </row>
    <row r="518" spans="1:13" ht="25" customHeight="1">
      <c r="A518" s="3" t="s">
        <v>79</v>
      </c>
      <c r="B518" s="4" t="s">
        <v>401</v>
      </c>
      <c r="C518" s="4" t="s">
        <v>394</v>
      </c>
      <c r="D518" s="24">
        <v>3</v>
      </c>
      <c r="E518" s="10">
        <v>0</v>
      </c>
      <c r="F518" s="26">
        <v>0.06</v>
      </c>
      <c r="G518" s="10">
        <v>0</v>
      </c>
      <c r="H518" s="10">
        <v>0</v>
      </c>
      <c r="I518" s="10">
        <v>0</v>
      </c>
      <c r="J518" s="10">
        <v>0</v>
      </c>
      <c r="K518" s="10">
        <v>0</v>
      </c>
      <c r="L518" s="10">
        <v>0</v>
      </c>
      <c r="M518" s="10">
        <f>E518+K518-I518-J518-L518</f>
        <v>0.0</v>
      </c>
    </row>
    <row r="519" spans="1:13" ht="25" customHeight="1">
      <c r="A519" s="6" t="s">
        <v>79</v>
      </c>
      <c r="B519" s="7" t="s">
        <v>401</v>
      </c>
      <c r="C519" s="7" t="s">
        <v>395</v>
      </c>
      <c r="D519" s="23">
        <v>3</v>
      </c>
      <c r="E519" s="9">
        <v>0</v>
      </c>
      <c r="F519" s="25">
        <v>0.0575</v>
      </c>
      <c r="G519" s="9">
        <v>0</v>
      </c>
      <c r="H519" s="9">
        <v>0</v>
      </c>
      <c r="I519" s="9">
        <v>0</v>
      </c>
      <c r="J519" s="9">
        <v>0</v>
      </c>
      <c r="K519" s="9">
        <v>0</v>
      </c>
      <c r="L519" s="9">
        <v>0</v>
      </c>
      <c r="M519" s="9">
        <f>E519+K519-I519-J519-L519</f>
        <v>0.0</v>
      </c>
    </row>
    <row r="520" spans="1:13" ht="25" customHeight="1">
      <c r="A520" s="3" t="s">
        <v>79</v>
      </c>
      <c r="B520" s="4" t="s">
        <v>401</v>
      </c>
      <c r="C520" s="4" t="s">
        <v>139</v>
      </c>
      <c r="D520" s="24">
        <v>4</v>
      </c>
      <c r="E520" s="10">
        <v>390.8770698985691</v>
      </c>
      <c r="F520" s="26">
        <v>0.038</v>
      </c>
      <c r="G520" s="10">
        <v>14.85332865614562</v>
      </c>
      <c r="H520" s="10">
        <v>390.8770698985691</v>
      </c>
      <c r="I520" s="10">
        <v>390.8770698985691</v>
      </c>
      <c r="J520" s="10">
        <v>0</v>
      </c>
      <c r="K520" s="10">
        <v>0</v>
      </c>
      <c r="L520" s="10">
        <v>0</v>
      </c>
      <c r="M520" s="10">
        <f>E520+K520-I520-J520-L520</f>
        <v>0.0</v>
      </c>
    </row>
    <row r="521" spans="1:13" ht="25" customHeight="1">
      <c r="A521" s="6" t="s">
        <v>79</v>
      </c>
      <c r="B521" s="7" t="s">
        <v>401</v>
      </c>
      <c r="C521" s="7" t="s">
        <v>153</v>
      </c>
      <c r="D521" s="23">
        <v>4</v>
      </c>
      <c r="E521" s="9">
        <v>0</v>
      </c>
      <c r="F521" s="25">
        <v>0.05</v>
      </c>
      <c r="G521" s="9">
        <v>0</v>
      </c>
      <c r="H521" s="9">
        <v>0</v>
      </c>
      <c r="I521" s="9">
        <v>0</v>
      </c>
      <c r="J521" s="9">
        <v>0</v>
      </c>
      <c r="K521" s="9">
        <v>0</v>
      </c>
      <c r="L521" s="9">
        <v>0</v>
      </c>
      <c r="M521" s="9">
        <f>E521+K521-I521-J521-L521</f>
        <v>0.0</v>
      </c>
    </row>
    <row r="522" spans="1:13" ht="25" customHeight="1">
      <c r="A522" s="3" t="s">
        <v>79</v>
      </c>
      <c r="B522" s="4" t="s">
        <v>401</v>
      </c>
      <c r="C522" s="4" t="s">
        <v>198</v>
      </c>
      <c r="D522" s="24">
        <v>4</v>
      </c>
      <c r="E522" s="10">
        <v>0</v>
      </c>
      <c r="F522" s="26">
        <v>0.0475</v>
      </c>
      <c r="G522" s="10">
        <v>0</v>
      </c>
      <c r="H522" s="10">
        <v>0</v>
      </c>
      <c r="I522" s="10">
        <v>0</v>
      </c>
      <c r="J522" s="10">
        <v>0</v>
      </c>
      <c r="K522" s="10">
        <v>0</v>
      </c>
      <c r="L522" s="10">
        <v>0</v>
      </c>
      <c r="M522" s="10">
        <f>E522+K522-I522-J522-L522</f>
        <v>0.0</v>
      </c>
    </row>
    <row r="523" spans="1:13" ht="25" customHeight="1">
      <c r="A523" s="6" t="s">
        <v>79</v>
      </c>
      <c r="B523" s="7" t="s">
        <v>401</v>
      </c>
      <c r="C523" s="7" t="s">
        <v>394</v>
      </c>
      <c r="D523" s="23">
        <v>4</v>
      </c>
      <c r="E523" s="9">
        <v>0</v>
      </c>
      <c r="F523" s="25">
        <v>0.06</v>
      </c>
      <c r="G523" s="9">
        <v>0</v>
      </c>
      <c r="H523" s="9">
        <v>0</v>
      </c>
      <c r="I523" s="9">
        <v>0</v>
      </c>
      <c r="J523" s="9">
        <v>0</v>
      </c>
      <c r="K523" s="9">
        <v>0</v>
      </c>
      <c r="L523" s="9">
        <v>0</v>
      </c>
      <c r="M523" s="9">
        <f>E523+K523-I523-J523-L523</f>
        <v>0.0</v>
      </c>
    </row>
    <row r="524" spans="1:13" ht="25" customHeight="1">
      <c r="A524" s="3" t="s">
        <v>79</v>
      </c>
      <c r="B524" s="4" t="s">
        <v>401</v>
      </c>
      <c r="C524" s="4" t="s">
        <v>395</v>
      </c>
      <c r="D524" s="24">
        <v>4</v>
      </c>
      <c r="E524" s="10">
        <v>0</v>
      </c>
      <c r="F524" s="26">
        <v>0.0575</v>
      </c>
      <c r="G524" s="10">
        <v>0</v>
      </c>
      <c r="H524" s="10">
        <v>0</v>
      </c>
      <c r="I524" s="10">
        <v>0</v>
      </c>
      <c r="J524" s="10">
        <v>0</v>
      </c>
      <c r="K524" s="10">
        <v>0</v>
      </c>
      <c r="L524" s="10">
        <v>0</v>
      </c>
      <c r="M524" s="10">
        <f>E524+K524-I524-J524-L524</f>
        <v>0.0</v>
      </c>
    </row>
    <row r="525" spans="1:13" ht="25" customHeight="1">
      <c r="A525" s="6" t="s">
        <v>79</v>
      </c>
      <c r="B525" s="7" t="s">
        <v>401</v>
      </c>
      <c r="C525" s="7" t="s">
        <v>139</v>
      </c>
      <c r="D525" s="23">
        <v>5</v>
      </c>
      <c r="E525" s="9">
        <v>0</v>
      </c>
      <c r="F525" s="25">
        <v>0.038</v>
      </c>
      <c r="G525" s="9">
        <v>0</v>
      </c>
      <c r="H525" s="9">
        <v>0</v>
      </c>
      <c r="I525" s="9">
        <v>0</v>
      </c>
      <c r="J525" s="9">
        <v>0</v>
      </c>
      <c r="K525" s="9">
        <v>0</v>
      </c>
      <c r="L525" s="9">
        <v>0</v>
      </c>
      <c r="M525" s="9">
        <f>E525+K525-I525-J525-L525</f>
        <v>0.0</v>
      </c>
    </row>
    <row r="526" spans="1:13" ht="25" customHeight="1">
      <c r="A526" s="3" t="s">
        <v>79</v>
      </c>
      <c r="B526" s="4" t="s">
        <v>401</v>
      </c>
      <c r="C526" s="4" t="s">
        <v>153</v>
      </c>
      <c r="D526" s="24">
        <v>5</v>
      </c>
      <c r="E526" s="10">
        <v>0</v>
      </c>
      <c r="F526" s="26">
        <v>0.05</v>
      </c>
      <c r="G526" s="10">
        <v>0</v>
      </c>
      <c r="H526" s="10">
        <v>0</v>
      </c>
      <c r="I526" s="10">
        <v>0</v>
      </c>
      <c r="J526" s="10">
        <v>0</v>
      </c>
      <c r="K526" s="10">
        <v>0</v>
      </c>
      <c r="L526" s="10">
        <v>0</v>
      </c>
      <c r="M526" s="10">
        <f>E526+K526-I526-J526-L526</f>
        <v>0.0</v>
      </c>
    </row>
    <row r="527" spans="1:13" ht="25" customHeight="1">
      <c r="A527" s="6" t="s">
        <v>79</v>
      </c>
      <c r="B527" s="7" t="s">
        <v>401</v>
      </c>
      <c r="C527" s="7" t="s">
        <v>198</v>
      </c>
      <c r="D527" s="23">
        <v>5</v>
      </c>
      <c r="E527" s="9">
        <v>0</v>
      </c>
      <c r="F527" s="25">
        <v>0.0475</v>
      </c>
      <c r="G527" s="9">
        <v>0</v>
      </c>
      <c r="H527" s="9">
        <v>0</v>
      </c>
      <c r="I527" s="9">
        <v>0</v>
      </c>
      <c r="J527" s="9">
        <v>0</v>
      </c>
      <c r="K527" s="9">
        <v>0</v>
      </c>
      <c r="L527" s="9">
        <v>0</v>
      </c>
      <c r="M527" s="9">
        <f>E527+K527-I527-J527-L527</f>
        <v>0.0</v>
      </c>
    </row>
    <row r="528" spans="1:13" ht="25" customHeight="1">
      <c r="A528" s="3" t="s">
        <v>79</v>
      </c>
      <c r="B528" s="4" t="s">
        <v>401</v>
      </c>
      <c r="C528" s="4" t="s">
        <v>394</v>
      </c>
      <c r="D528" s="24">
        <v>5</v>
      </c>
      <c r="E528" s="10">
        <v>0</v>
      </c>
      <c r="F528" s="26">
        <v>0.06</v>
      </c>
      <c r="G528" s="10">
        <v>0</v>
      </c>
      <c r="H528" s="10">
        <v>0</v>
      </c>
      <c r="I528" s="10">
        <v>0</v>
      </c>
      <c r="J528" s="10">
        <v>0</v>
      </c>
      <c r="K528" s="10">
        <v>0</v>
      </c>
      <c r="L528" s="10">
        <v>0</v>
      </c>
      <c r="M528" s="10">
        <f>E528+K528-I528-J528-L528</f>
        <v>0.0</v>
      </c>
    </row>
    <row r="529" spans="1:13" ht="25" customHeight="1">
      <c r="A529" s="6" t="s">
        <v>79</v>
      </c>
      <c r="B529" s="7" t="s">
        <v>401</v>
      </c>
      <c r="C529" s="7" t="s">
        <v>395</v>
      </c>
      <c r="D529" s="23">
        <v>5</v>
      </c>
      <c r="E529" s="9">
        <v>0</v>
      </c>
      <c r="F529" s="25">
        <v>0.0575</v>
      </c>
      <c r="G529" s="9">
        <v>0</v>
      </c>
      <c r="H529" s="9">
        <v>0</v>
      </c>
      <c r="I529" s="9">
        <v>0</v>
      </c>
      <c r="J529" s="9">
        <v>0</v>
      </c>
      <c r="K529" s="9">
        <v>0</v>
      </c>
      <c r="L529" s="9">
        <v>0</v>
      </c>
      <c r="M529" s="9">
        <f>E529+K529-I529-J529-L529</f>
        <v>0.0</v>
      </c>
    </row>
    <row r="530" spans="1:13" ht="25" customHeight="1">
      <c r="A530" s="3" t="s">
        <v>68</v>
      </c>
      <c r="B530" s="4" t="s">
        <v>402</v>
      </c>
      <c r="C530" s="4" t="s">
        <v>139</v>
      </c>
      <c r="D530" s="24">
        <v>1</v>
      </c>
      <c r="E530" s="10">
        <v>900</v>
      </c>
      <c r="F530" s="26">
        <v>0.038</v>
      </c>
      <c r="G530" s="10">
        <v>34.2</v>
      </c>
      <c r="H530" s="10">
        <v>0</v>
      </c>
      <c r="I530" s="10">
        <v>0</v>
      </c>
      <c r="J530" s="10">
        <v>0</v>
      </c>
      <c r="K530" s="10">
        <v>0</v>
      </c>
      <c r="L530" s="10">
        <v>0</v>
      </c>
      <c r="M530" s="10">
        <f>E530+K530-I530-J530-L530</f>
        <v>900.0</v>
      </c>
    </row>
    <row r="531" spans="1:13" ht="25" customHeight="1">
      <c r="A531" s="6" t="s">
        <v>68</v>
      </c>
      <c r="B531" s="7" t="s">
        <v>402</v>
      </c>
      <c r="C531" s="7" t="s">
        <v>153</v>
      </c>
      <c r="D531" s="23">
        <v>1</v>
      </c>
      <c r="E531" s="9">
        <v>80</v>
      </c>
      <c r="F531" s="25">
        <v>0.05</v>
      </c>
      <c r="G531" s="9">
        <v>4</v>
      </c>
      <c r="H531" s="9">
        <v>16</v>
      </c>
      <c r="I531" s="9">
        <v>16</v>
      </c>
      <c r="J531" s="9">
        <v>0</v>
      </c>
      <c r="K531" s="9">
        <v>0</v>
      </c>
      <c r="L531" s="9">
        <v>0</v>
      </c>
      <c r="M531" s="9">
        <f>E531+K531-I531-J531-L531</f>
        <v>64.0</v>
      </c>
    </row>
    <row r="532" spans="1:13" ht="25" customHeight="1">
      <c r="A532" s="3" t="s">
        <v>68</v>
      </c>
      <c r="B532" s="4" t="s">
        <v>402</v>
      </c>
      <c r="C532" s="4" t="s">
        <v>198</v>
      </c>
      <c r="D532" s="24">
        <v>1</v>
      </c>
      <c r="E532" s="10">
        <v>350</v>
      </c>
      <c r="F532" s="26">
        <v>0.0475</v>
      </c>
      <c r="G532" s="10">
        <v>16.625</v>
      </c>
      <c r="H532" s="10">
        <v>0</v>
      </c>
      <c r="I532" s="10">
        <v>0</v>
      </c>
      <c r="J532" s="10">
        <v>0</v>
      </c>
      <c r="K532" s="10">
        <v>0</v>
      </c>
      <c r="L532" s="10">
        <v>0</v>
      </c>
      <c r="M532" s="10">
        <f>E532+K532-I532-J532-L532</f>
        <v>350.0</v>
      </c>
    </row>
    <row r="533" spans="1:13" ht="25" customHeight="1">
      <c r="A533" s="6" t="s">
        <v>68</v>
      </c>
      <c r="B533" s="7" t="s">
        <v>402</v>
      </c>
      <c r="C533" s="7" t="s">
        <v>394</v>
      </c>
      <c r="D533" s="23">
        <v>1</v>
      </c>
      <c r="E533" s="9">
        <v>1340.10152284264</v>
      </c>
      <c r="F533" s="25">
        <v>0.08500000000000001</v>
      </c>
      <c r="G533" s="9">
        <v>113.9086294416244</v>
      </c>
      <c r="H533" s="9">
        <v>26.80203045685279</v>
      </c>
      <c r="I533" s="9">
        <v>26.80203045685279</v>
      </c>
      <c r="J533" s="9">
        <v>0</v>
      </c>
      <c r="K533" s="9">
        <v>0</v>
      </c>
      <c r="L533" s="9">
        <v>0</v>
      </c>
      <c r="M533" s="9">
        <f>E533+K533-I533-J533-L533</f>
        <v>1313.2994923857868</v>
      </c>
    </row>
    <row r="534" spans="1:13" ht="25" customHeight="1">
      <c r="A534" s="3" t="s">
        <v>68</v>
      </c>
      <c r="B534" s="4" t="s">
        <v>402</v>
      </c>
      <c r="C534" s="4" t="s">
        <v>395</v>
      </c>
      <c r="D534" s="24">
        <v>1</v>
      </c>
      <c r="E534" s="10">
        <v>0</v>
      </c>
      <c r="F534" s="26">
        <v>0.07250000000000001</v>
      </c>
      <c r="G534" s="10">
        <v>0</v>
      </c>
      <c r="H534" s="10">
        <v>0</v>
      </c>
      <c r="I534" s="10">
        <v>0</v>
      </c>
      <c r="J534" s="10">
        <v>0</v>
      </c>
      <c r="K534" s="10">
        <v>265.3291446613579</v>
      </c>
      <c r="L534" s="10">
        <v>0</v>
      </c>
      <c r="M534" s="10">
        <f>E534+K534-I534-J534-L534</f>
        <v>265.3291446613579</v>
      </c>
    </row>
    <row r="535" spans="1:13" ht="25" customHeight="1">
      <c r="A535" s="6" t="s">
        <v>68</v>
      </c>
      <c r="B535" s="7" t="s">
        <v>402</v>
      </c>
      <c r="C535" s="7" t="s">
        <v>139</v>
      </c>
      <c r="D535" s="23">
        <v>2</v>
      </c>
      <c r="E535" s="9">
        <v>900</v>
      </c>
      <c r="F535" s="25">
        <v>0.038</v>
      </c>
      <c r="G535" s="9">
        <v>34.2</v>
      </c>
      <c r="H535" s="9">
        <v>0</v>
      </c>
      <c r="I535" s="9">
        <v>0</v>
      </c>
      <c r="J535" s="9">
        <v>0</v>
      </c>
      <c r="K535" s="9">
        <v>0</v>
      </c>
      <c r="L535" s="9">
        <v>0</v>
      </c>
      <c r="M535" s="9">
        <f>E535+K535-I535-J535-L535</f>
        <v>900.0</v>
      </c>
    </row>
    <row r="536" spans="1:13" ht="25" customHeight="1">
      <c r="A536" s="3" t="s">
        <v>68</v>
      </c>
      <c r="B536" s="4" t="s">
        <v>402</v>
      </c>
      <c r="C536" s="4" t="s">
        <v>153</v>
      </c>
      <c r="D536" s="24">
        <v>2</v>
      </c>
      <c r="E536" s="10">
        <v>64</v>
      </c>
      <c r="F536" s="26">
        <v>0.05</v>
      </c>
      <c r="G536" s="10">
        <v>3.2</v>
      </c>
      <c r="H536" s="10">
        <v>16</v>
      </c>
      <c r="I536" s="10">
        <v>16</v>
      </c>
      <c r="J536" s="10">
        <v>0</v>
      </c>
      <c r="K536" s="10">
        <v>0</v>
      </c>
      <c r="L536" s="10">
        <v>0</v>
      </c>
      <c r="M536" s="10">
        <f>E536+K536-I536-J536-L536</f>
        <v>48.0</v>
      </c>
    </row>
    <row r="537" spans="1:13" ht="25" customHeight="1">
      <c r="A537" s="6" t="s">
        <v>68</v>
      </c>
      <c r="B537" s="7" t="s">
        <v>402</v>
      </c>
      <c r="C537" s="7" t="s">
        <v>198</v>
      </c>
      <c r="D537" s="23">
        <v>2</v>
      </c>
      <c r="E537" s="9">
        <v>350</v>
      </c>
      <c r="F537" s="25">
        <v>0.0475</v>
      </c>
      <c r="G537" s="9">
        <v>16.625</v>
      </c>
      <c r="H537" s="9">
        <v>0</v>
      </c>
      <c r="I537" s="9">
        <v>0</v>
      </c>
      <c r="J537" s="9">
        <v>0</v>
      </c>
      <c r="K537" s="9">
        <v>0</v>
      </c>
      <c r="L537" s="9">
        <v>0</v>
      </c>
      <c r="M537" s="9">
        <f>E537+K537-I537-J537-L537</f>
        <v>350.0</v>
      </c>
    </row>
    <row r="538" spans="1:13" ht="25" customHeight="1">
      <c r="A538" s="3" t="s">
        <v>68</v>
      </c>
      <c r="B538" s="4" t="s">
        <v>402</v>
      </c>
      <c r="C538" s="4" t="s">
        <v>394</v>
      </c>
      <c r="D538" s="24">
        <v>2</v>
      </c>
      <c r="E538" s="10">
        <v>1313.299492385787</v>
      </c>
      <c r="F538" s="26">
        <v>0.0825</v>
      </c>
      <c r="G538" s="10">
        <v>108.3472081218274</v>
      </c>
      <c r="H538" s="10">
        <v>26.80203045685279</v>
      </c>
      <c r="I538" s="10">
        <v>26.80203045685279</v>
      </c>
      <c r="J538" s="10">
        <v>0</v>
      </c>
      <c r="K538" s="10">
        <v>0</v>
      </c>
      <c r="L538" s="10">
        <v>0</v>
      </c>
      <c r="M538" s="10">
        <f>E538+K538-I538-J538-L538</f>
        <v>1286.497461928934</v>
      </c>
    </row>
    <row r="539" spans="1:13" ht="25" customHeight="1">
      <c r="A539" s="6" t="s">
        <v>68</v>
      </c>
      <c r="B539" s="7" t="s">
        <v>402</v>
      </c>
      <c r="C539" s="7" t="s">
        <v>395</v>
      </c>
      <c r="D539" s="23">
        <v>2</v>
      </c>
      <c r="E539" s="9">
        <v>265.3291446613579</v>
      </c>
      <c r="F539" s="25">
        <v>0.07000000000000001</v>
      </c>
      <c r="G539" s="9">
        <v>18.57304012629505</v>
      </c>
      <c r="H539" s="9">
        <v>0</v>
      </c>
      <c r="I539" s="9">
        <v>0</v>
      </c>
      <c r="J539" s="9">
        <v>12.08219838274124</v>
      </c>
      <c r="K539" s="9">
        <v>0</v>
      </c>
      <c r="L539" s="9">
        <v>0</v>
      </c>
      <c r="M539" s="9">
        <f>E539+K539-I539-J539-L539</f>
        <v>253.24694627861663</v>
      </c>
    </row>
    <row r="540" spans="1:13" ht="25" customHeight="1">
      <c r="A540" s="3" t="s">
        <v>68</v>
      </c>
      <c r="B540" s="4" t="s">
        <v>402</v>
      </c>
      <c r="C540" s="4" t="s">
        <v>139</v>
      </c>
      <c r="D540" s="24">
        <v>3</v>
      </c>
      <c r="E540" s="10">
        <v>900</v>
      </c>
      <c r="F540" s="26">
        <v>0.038</v>
      </c>
      <c r="G540" s="10">
        <v>34.2</v>
      </c>
      <c r="H540" s="10">
        <v>0</v>
      </c>
      <c r="I540" s="10">
        <v>0</v>
      </c>
      <c r="J540" s="10">
        <v>0</v>
      </c>
      <c r="K540" s="10">
        <v>0</v>
      </c>
      <c r="L540" s="10">
        <v>0</v>
      </c>
      <c r="M540" s="10">
        <f>E540+K540-I540-J540-L540</f>
        <v>900.0</v>
      </c>
    </row>
    <row r="541" spans="1:13" ht="25" customHeight="1">
      <c r="A541" s="6" t="s">
        <v>68</v>
      </c>
      <c r="B541" s="7" t="s">
        <v>402</v>
      </c>
      <c r="C541" s="7" t="s">
        <v>153</v>
      </c>
      <c r="D541" s="23">
        <v>3</v>
      </c>
      <c r="E541" s="9">
        <v>48</v>
      </c>
      <c r="F541" s="25">
        <v>0.05</v>
      </c>
      <c r="G541" s="9">
        <v>2.4</v>
      </c>
      <c r="H541" s="9">
        <v>16</v>
      </c>
      <c r="I541" s="9">
        <v>16</v>
      </c>
      <c r="J541" s="9">
        <v>0</v>
      </c>
      <c r="K541" s="9">
        <v>0</v>
      </c>
      <c r="L541" s="9">
        <v>0</v>
      </c>
      <c r="M541" s="9">
        <f>E541+K541-I541-J541-L541</f>
        <v>32.0</v>
      </c>
    </row>
    <row r="542" spans="1:13" ht="25" customHeight="1">
      <c r="A542" s="3" t="s">
        <v>68</v>
      </c>
      <c r="B542" s="4" t="s">
        <v>402</v>
      </c>
      <c r="C542" s="4" t="s">
        <v>198</v>
      </c>
      <c r="D542" s="24">
        <v>3</v>
      </c>
      <c r="E542" s="10">
        <v>350</v>
      </c>
      <c r="F542" s="26">
        <v>0.0475</v>
      </c>
      <c r="G542" s="10">
        <v>16.625</v>
      </c>
      <c r="H542" s="10">
        <v>350</v>
      </c>
      <c r="I542" s="10">
        <v>350</v>
      </c>
      <c r="J542" s="10">
        <v>0</v>
      </c>
      <c r="K542" s="10">
        <v>0</v>
      </c>
      <c r="L542" s="10">
        <v>0</v>
      </c>
      <c r="M542" s="10">
        <f>E542+K542-I542-J542-L542</f>
        <v>0.0</v>
      </c>
    </row>
    <row r="543" spans="1:13" ht="25" customHeight="1">
      <c r="A543" s="6" t="s">
        <v>68</v>
      </c>
      <c r="B543" s="7" t="s">
        <v>402</v>
      </c>
      <c r="C543" s="7" t="s">
        <v>394</v>
      </c>
      <c r="D543" s="23">
        <v>3</v>
      </c>
      <c r="E543" s="9">
        <v>1286.497461928934</v>
      </c>
      <c r="F543" s="25">
        <v>0.08</v>
      </c>
      <c r="G543" s="9">
        <v>102.9197969543147</v>
      </c>
      <c r="H543" s="9">
        <v>26.80203045685279</v>
      </c>
      <c r="I543" s="9">
        <v>26.80203045685279</v>
      </c>
      <c r="J543" s="9">
        <v>0</v>
      </c>
      <c r="K543" s="9">
        <v>0</v>
      </c>
      <c r="L543" s="9">
        <v>0</v>
      </c>
      <c r="M543" s="9">
        <f>E543+K543-I543-J543-L543</f>
        <v>1259.695431472081</v>
      </c>
    </row>
    <row r="544" spans="1:13" ht="25" customHeight="1">
      <c r="A544" s="3" t="s">
        <v>68</v>
      </c>
      <c r="B544" s="4" t="s">
        <v>402</v>
      </c>
      <c r="C544" s="4" t="s">
        <v>395</v>
      </c>
      <c r="D544" s="24">
        <v>3</v>
      </c>
      <c r="E544" s="10">
        <v>253.2469462786166</v>
      </c>
      <c r="F544" s="26">
        <v>0.0675</v>
      </c>
      <c r="G544" s="10">
        <v>17.09416887380662</v>
      </c>
      <c r="H544" s="10">
        <v>0</v>
      </c>
      <c r="I544" s="10">
        <v>0</v>
      </c>
      <c r="J544" s="10">
        <v>0</v>
      </c>
      <c r="K544" s="10">
        <v>257.509280676617</v>
      </c>
      <c r="L544" s="10">
        <v>0</v>
      </c>
      <c r="M544" s="10">
        <f>E544+K544-I544-J544-L544</f>
        <v>510.7562269552336</v>
      </c>
    </row>
    <row r="545" spans="1:13" ht="25" customHeight="1">
      <c r="A545" s="6" t="s">
        <v>68</v>
      </c>
      <c r="B545" s="7" t="s">
        <v>402</v>
      </c>
      <c r="C545" s="7" t="s">
        <v>139</v>
      </c>
      <c r="D545" s="23">
        <v>4</v>
      </c>
      <c r="E545" s="9">
        <v>900</v>
      </c>
      <c r="F545" s="25">
        <v>0.038</v>
      </c>
      <c r="G545" s="9">
        <v>34.2</v>
      </c>
      <c r="H545" s="9">
        <v>900</v>
      </c>
      <c r="I545" s="9">
        <v>900</v>
      </c>
      <c r="J545" s="9">
        <v>0</v>
      </c>
      <c r="K545" s="9">
        <v>0</v>
      </c>
      <c r="L545" s="9">
        <v>0</v>
      </c>
      <c r="M545" s="9">
        <f>E545+K545-I545-J545-L545</f>
        <v>0.0</v>
      </c>
    </row>
    <row r="546" spans="1:13" ht="25" customHeight="1">
      <c r="A546" s="3" t="s">
        <v>68</v>
      </c>
      <c r="B546" s="4" t="s">
        <v>402</v>
      </c>
      <c r="C546" s="4" t="s">
        <v>153</v>
      </c>
      <c r="D546" s="24">
        <v>4</v>
      </c>
      <c r="E546" s="10">
        <v>32</v>
      </c>
      <c r="F546" s="26">
        <v>0.05</v>
      </c>
      <c r="G546" s="10">
        <v>1.6</v>
      </c>
      <c r="H546" s="10">
        <v>16</v>
      </c>
      <c r="I546" s="10">
        <v>16</v>
      </c>
      <c r="J546" s="10">
        <v>0</v>
      </c>
      <c r="K546" s="10">
        <v>0</v>
      </c>
      <c r="L546" s="10">
        <v>0</v>
      </c>
      <c r="M546" s="10">
        <f>E546+K546-I546-J546-L546</f>
        <v>16.0</v>
      </c>
    </row>
    <row r="547" spans="1:13" ht="25" customHeight="1">
      <c r="A547" s="6" t="s">
        <v>68</v>
      </c>
      <c r="B547" s="7" t="s">
        <v>402</v>
      </c>
      <c r="C547" s="7" t="s">
        <v>198</v>
      </c>
      <c r="D547" s="23">
        <v>4</v>
      </c>
      <c r="E547" s="9">
        <v>0</v>
      </c>
      <c r="F547" s="25">
        <v>0.0475</v>
      </c>
      <c r="G547" s="9">
        <v>0</v>
      </c>
      <c r="H547" s="9">
        <v>0</v>
      </c>
      <c r="I547" s="9">
        <v>0</v>
      </c>
      <c r="J547" s="9">
        <v>0</v>
      </c>
      <c r="K547" s="9">
        <v>0</v>
      </c>
      <c r="L547" s="9">
        <v>0</v>
      </c>
      <c r="M547" s="9">
        <f>E547+K547-I547-J547-L547</f>
        <v>0.0</v>
      </c>
    </row>
    <row r="548" spans="1:13" ht="25" customHeight="1">
      <c r="A548" s="3" t="s">
        <v>68</v>
      </c>
      <c r="B548" s="4" t="s">
        <v>402</v>
      </c>
      <c r="C548" s="4" t="s">
        <v>394</v>
      </c>
      <c r="D548" s="24">
        <v>4</v>
      </c>
      <c r="E548" s="10">
        <v>1259.695431472081</v>
      </c>
      <c r="F548" s="26">
        <v>0.08</v>
      </c>
      <c r="G548" s="10">
        <v>100.7756345177665</v>
      </c>
      <c r="H548" s="10">
        <v>26.80203045685279</v>
      </c>
      <c r="I548" s="10">
        <v>26.80203045685279</v>
      </c>
      <c r="J548" s="10">
        <v>0</v>
      </c>
      <c r="K548" s="10">
        <v>0</v>
      </c>
      <c r="L548" s="10">
        <v>0</v>
      </c>
      <c r="M548" s="10">
        <f>E548+K548-I548-J548-L548</f>
        <v>1232.8934010152282</v>
      </c>
    </row>
    <row r="549" spans="1:13" ht="25" customHeight="1">
      <c r="A549" s="6" t="s">
        <v>68</v>
      </c>
      <c r="B549" s="7" t="s">
        <v>402</v>
      </c>
      <c r="C549" s="7" t="s">
        <v>395</v>
      </c>
      <c r="D549" s="23">
        <v>4</v>
      </c>
      <c r="E549" s="9">
        <v>510.7562269552336</v>
      </c>
      <c r="F549" s="25">
        <v>0.0675</v>
      </c>
      <c r="G549" s="9">
        <v>34.47604531947827</v>
      </c>
      <c r="H549" s="9">
        <v>0</v>
      </c>
      <c r="I549" s="9">
        <v>0</v>
      </c>
      <c r="J549" s="9">
        <v>0</v>
      </c>
      <c r="K549" s="9">
        <v>119.2437730447664</v>
      </c>
      <c r="L549" s="9">
        <v>0</v>
      </c>
      <c r="M549" s="9">
        <f>E549+K549-I549-J549-L549</f>
        <v>630.0</v>
      </c>
    </row>
    <row r="550" spans="1:13" ht="25" customHeight="1">
      <c r="A550" s="3" t="s">
        <v>68</v>
      </c>
      <c r="B550" s="4" t="s">
        <v>402</v>
      </c>
      <c r="C550" s="4" t="s">
        <v>139</v>
      </c>
      <c r="D550" s="24">
        <v>5</v>
      </c>
      <c r="E550" s="10">
        <v>0</v>
      </c>
      <c r="F550" s="26">
        <v>0.038</v>
      </c>
      <c r="G550" s="10">
        <v>0</v>
      </c>
      <c r="H550" s="10">
        <v>0</v>
      </c>
      <c r="I550" s="10">
        <v>0</v>
      </c>
      <c r="J550" s="10">
        <v>0</v>
      </c>
      <c r="K550" s="10">
        <v>0</v>
      </c>
      <c r="L550" s="10">
        <v>0</v>
      </c>
      <c r="M550" s="10">
        <f>E550+K550-I550-J550-L550</f>
        <v>0.0</v>
      </c>
    </row>
    <row r="551" spans="1:13" ht="25" customHeight="1">
      <c r="A551" s="6" t="s">
        <v>68</v>
      </c>
      <c r="B551" s="7" t="s">
        <v>402</v>
      </c>
      <c r="C551" s="7" t="s">
        <v>153</v>
      </c>
      <c r="D551" s="23">
        <v>5</v>
      </c>
      <c r="E551" s="9">
        <v>16</v>
      </c>
      <c r="F551" s="25">
        <v>0.05</v>
      </c>
      <c r="G551" s="9">
        <v>0.8</v>
      </c>
      <c r="H551" s="9">
        <v>16</v>
      </c>
      <c r="I551" s="9">
        <v>16</v>
      </c>
      <c r="J551" s="9">
        <v>0</v>
      </c>
      <c r="K551" s="9">
        <v>0</v>
      </c>
      <c r="L551" s="9">
        <v>0</v>
      </c>
      <c r="M551" s="9">
        <f>E551+K551-I551-J551-L551</f>
        <v>0.0</v>
      </c>
    </row>
    <row r="552" spans="1:13" ht="25" customHeight="1">
      <c r="A552" s="3" t="s">
        <v>68</v>
      </c>
      <c r="B552" s="4" t="s">
        <v>402</v>
      </c>
      <c r="C552" s="4" t="s">
        <v>198</v>
      </c>
      <c r="D552" s="24">
        <v>5</v>
      </c>
      <c r="E552" s="10">
        <v>0</v>
      </c>
      <c r="F552" s="26">
        <v>0.0475</v>
      </c>
      <c r="G552" s="10">
        <v>0</v>
      </c>
      <c r="H552" s="10">
        <v>0</v>
      </c>
      <c r="I552" s="10">
        <v>0</v>
      </c>
      <c r="J552" s="10">
        <v>0</v>
      </c>
      <c r="K552" s="10">
        <v>0</v>
      </c>
      <c r="L552" s="10">
        <v>0</v>
      </c>
      <c r="M552" s="10">
        <f>E552+K552-I552-J552-L552</f>
        <v>0.0</v>
      </c>
    </row>
    <row r="553" spans="1:13" ht="25" customHeight="1">
      <c r="A553" s="6" t="s">
        <v>68</v>
      </c>
      <c r="B553" s="7" t="s">
        <v>402</v>
      </c>
      <c r="C553" s="7" t="s">
        <v>394</v>
      </c>
      <c r="D553" s="23">
        <v>5</v>
      </c>
      <c r="E553" s="9">
        <v>1232.893401015228</v>
      </c>
      <c r="F553" s="25">
        <v>0.08</v>
      </c>
      <c r="G553" s="9">
        <v>98.63147208121825</v>
      </c>
      <c r="H553" s="9">
        <v>1232.893401015228</v>
      </c>
      <c r="I553" s="9">
        <v>337.723417978914</v>
      </c>
      <c r="J553" s="9">
        <v>0</v>
      </c>
      <c r="K553" s="9">
        <v>0</v>
      </c>
      <c r="L553" s="9">
        <v>0</v>
      </c>
      <c r="M553" s="9">
        <f>E553+K553-I553-J553-L553</f>
        <v>895.1699830363141</v>
      </c>
    </row>
    <row r="554" spans="1:13" ht="25" customHeight="1">
      <c r="A554" s="3" t="s">
        <v>68</v>
      </c>
      <c r="B554" s="4" t="s">
        <v>402</v>
      </c>
      <c r="C554" s="4" t="s">
        <v>395</v>
      </c>
      <c r="D554" s="24">
        <v>5</v>
      </c>
      <c r="E554" s="10">
        <v>630</v>
      </c>
      <c r="F554" s="26">
        <v>0.0675</v>
      </c>
      <c r="G554" s="10">
        <v>42.52500000000001</v>
      </c>
      <c r="H554" s="10">
        <v>630</v>
      </c>
      <c r="I554" s="10">
        <v>0</v>
      </c>
      <c r="J554" s="10">
        <v>0</v>
      </c>
      <c r="K554" s="10">
        <v>0</v>
      </c>
      <c r="L554" s="10">
        <v>0</v>
      </c>
      <c r="M554" s="10">
        <f>E554+K554-I554-J554-L554</f>
        <v>630.0</v>
      </c>
    </row>
    <row r="555" spans="1:13" ht="25" customHeight="1">
      <c r="A555" s="6" t="s">
        <v>78</v>
      </c>
      <c r="B555" s="7" t="s">
        <v>402</v>
      </c>
      <c r="C555" s="7" t="s">
        <v>139</v>
      </c>
      <c r="D555" s="23">
        <v>1</v>
      </c>
      <c r="E555" s="9">
        <v>900</v>
      </c>
      <c r="F555" s="25">
        <v>0.038</v>
      </c>
      <c r="G555" s="9">
        <v>34.2</v>
      </c>
      <c r="H555" s="9">
        <v>0</v>
      </c>
      <c r="I555" s="9">
        <v>0</v>
      </c>
      <c r="J555" s="9">
        <v>0</v>
      </c>
      <c r="K555" s="9">
        <v>0</v>
      </c>
      <c r="L555" s="9">
        <v>0</v>
      </c>
      <c r="M555" s="9">
        <f>E555+K555-I555-J555-L555</f>
        <v>900.0</v>
      </c>
    </row>
    <row r="556" spans="1:13" ht="25" customHeight="1">
      <c r="A556" s="3" t="s">
        <v>78</v>
      </c>
      <c r="B556" s="4" t="s">
        <v>402</v>
      </c>
      <c r="C556" s="4" t="s">
        <v>153</v>
      </c>
      <c r="D556" s="24">
        <v>1</v>
      </c>
      <c r="E556" s="10">
        <v>80</v>
      </c>
      <c r="F556" s="26">
        <v>0.05</v>
      </c>
      <c r="G556" s="10">
        <v>4</v>
      </c>
      <c r="H556" s="10">
        <v>16</v>
      </c>
      <c r="I556" s="10">
        <v>16</v>
      </c>
      <c r="J556" s="10">
        <v>0</v>
      </c>
      <c r="K556" s="10">
        <v>0</v>
      </c>
      <c r="L556" s="10">
        <v>0</v>
      </c>
      <c r="M556" s="10">
        <f>E556+K556-I556-J556-L556</f>
        <v>64.0</v>
      </c>
    </row>
    <row r="557" spans="1:13" ht="25" customHeight="1">
      <c r="A557" s="6" t="s">
        <v>78</v>
      </c>
      <c r="B557" s="7" t="s">
        <v>402</v>
      </c>
      <c r="C557" s="7" t="s">
        <v>198</v>
      </c>
      <c r="D557" s="23">
        <v>1</v>
      </c>
      <c r="E557" s="9">
        <v>350</v>
      </c>
      <c r="F557" s="25">
        <v>0.0475</v>
      </c>
      <c r="G557" s="9">
        <v>16.625</v>
      </c>
      <c r="H557" s="9">
        <v>0</v>
      </c>
      <c r="I557" s="9">
        <v>0</v>
      </c>
      <c r="J557" s="9">
        <v>0</v>
      </c>
      <c r="K557" s="9">
        <v>0</v>
      </c>
      <c r="L557" s="9">
        <v>0</v>
      </c>
      <c r="M557" s="9">
        <f>E557+K557-I557-J557-L557</f>
        <v>350.0</v>
      </c>
    </row>
    <row r="558" spans="1:13" ht="25" customHeight="1">
      <c r="A558" s="3" t="s">
        <v>78</v>
      </c>
      <c r="B558" s="4" t="s">
        <v>402</v>
      </c>
      <c r="C558" s="4" t="s">
        <v>394</v>
      </c>
      <c r="D558" s="24">
        <v>1</v>
      </c>
      <c r="E558" s="10">
        <v>2223.350253807107</v>
      </c>
      <c r="F558" s="26">
        <v>0.08500000000000001</v>
      </c>
      <c r="G558" s="10">
        <v>188.9847715736041</v>
      </c>
      <c r="H558" s="10">
        <v>44.46700507614213</v>
      </c>
      <c r="I558" s="10">
        <v>44.46700507614213</v>
      </c>
      <c r="J558" s="10">
        <v>530.6987741203677</v>
      </c>
      <c r="K558" s="10">
        <v>0</v>
      </c>
      <c r="L558" s="10">
        <v>0</v>
      </c>
      <c r="M558" s="10">
        <f>E558+K558-I558-J558-L558</f>
        <v>1648.184474610597</v>
      </c>
    </row>
    <row r="559" spans="1:13" ht="25" customHeight="1">
      <c r="A559" s="6" t="s">
        <v>78</v>
      </c>
      <c r="B559" s="7" t="s">
        <v>402</v>
      </c>
      <c r="C559" s="7" t="s">
        <v>395</v>
      </c>
      <c r="D559" s="23">
        <v>1</v>
      </c>
      <c r="E559" s="9">
        <v>0</v>
      </c>
      <c r="F559" s="25">
        <v>0.07250000000000001</v>
      </c>
      <c r="G559" s="9">
        <v>0</v>
      </c>
      <c r="H559" s="9">
        <v>0</v>
      </c>
      <c r="I559" s="9">
        <v>0</v>
      </c>
      <c r="J559" s="9">
        <v>0</v>
      </c>
      <c r="K559" s="9">
        <v>0</v>
      </c>
      <c r="L559" s="9">
        <v>0</v>
      </c>
      <c r="M559" s="9">
        <f>E559+K559-I559-J559-L559</f>
        <v>0.0</v>
      </c>
    </row>
    <row r="560" spans="1:13" ht="25" customHeight="1">
      <c r="A560" s="3" t="s">
        <v>78</v>
      </c>
      <c r="B560" s="4" t="s">
        <v>402</v>
      </c>
      <c r="C560" s="4" t="s">
        <v>139</v>
      </c>
      <c r="D560" s="24">
        <v>2</v>
      </c>
      <c r="E560" s="10">
        <v>900</v>
      </c>
      <c r="F560" s="26">
        <v>0.038</v>
      </c>
      <c r="G560" s="10">
        <v>34.2</v>
      </c>
      <c r="H560" s="10">
        <v>0</v>
      </c>
      <c r="I560" s="10">
        <v>0</v>
      </c>
      <c r="J560" s="10">
        <v>0</v>
      </c>
      <c r="K560" s="10">
        <v>0</v>
      </c>
      <c r="L560" s="10">
        <v>0</v>
      </c>
      <c r="M560" s="10">
        <f>E560+K560-I560-J560-L560</f>
        <v>900.0</v>
      </c>
    </row>
    <row r="561" spans="1:13" ht="25" customHeight="1">
      <c r="A561" s="6" t="s">
        <v>78</v>
      </c>
      <c r="B561" s="7" t="s">
        <v>402</v>
      </c>
      <c r="C561" s="7" t="s">
        <v>153</v>
      </c>
      <c r="D561" s="23">
        <v>2</v>
      </c>
      <c r="E561" s="9">
        <v>64</v>
      </c>
      <c r="F561" s="25">
        <v>0.05</v>
      </c>
      <c r="G561" s="9">
        <v>3.2</v>
      </c>
      <c r="H561" s="9">
        <v>16</v>
      </c>
      <c r="I561" s="9">
        <v>16</v>
      </c>
      <c r="J561" s="9">
        <v>0</v>
      </c>
      <c r="K561" s="9">
        <v>0</v>
      </c>
      <c r="L561" s="9">
        <v>0</v>
      </c>
      <c r="M561" s="9">
        <f>E561+K561-I561-J561-L561</f>
        <v>48.0</v>
      </c>
    </row>
    <row r="562" spans="1:13" ht="25" customHeight="1">
      <c r="A562" s="3" t="s">
        <v>78</v>
      </c>
      <c r="B562" s="4" t="s">
        <v>402</v>
      </c>
      <c r="C562" s="4" t="s">
        <v>198</v>
      </c>
      <c r="D562" s="24">
        <v>2</v>
      </c>
      <c r="E562" s="10">
        <v>350</v>
      </c>
      <c r="F562" s="26">
        <v>0.0475</v>
      </c>
      <c r="G562" s="10">
        <v>16.625</v>
      </c>
      <c r="H562" s="10">
        <v>0</v>
      </c>
      <c r="I562" s="10">
        <v>0</v>
      </c>
      <c r="J562" s="10">
        <v>0</v>
      </c>
      <c r="K562" s="10">
        <v>0</v>
      </c>
      <c r="L562" s="10">
        <v>0</v>
      </c>
      <c r="M562" s="10">
        <f>E562+K562-I562-J562-L562</f>
        <v>350.0</v>
      </c>
    </row>
    <row r="563" spans="1:13" ht="25" customHeight="1">
      <c r="A563" s="6" t="s">
        <v>78</v>
      </c>
      <c r="B563" s="7" t="s">
        <v>402</v>
      </c>
      <c r="C563" s="7" t="s">
        <v>394</v>
      </c>
      <c r="D563" s="23">
        <v>2</v>
      </c>
      <c r="E563" s="9">
        <v>1648.184474610597</v>
      </c>
      <c r="F563" s="25">
        <v>0.0825</v>
      </c>
      <c r="G563" s="9">
        <v>135.9752191553742</v>
      </c>
      <c r="H563" s="9">
        <v>44.46700507614213</v>
      </c>
      <c r="I563" s="9">
        <v>44.46700507614213</v>
      </c>
      <c r="J563" s="9">
        <v>0</v>
      </c>
      <c r="K563" s="9">
        <v>0</v>
      </c>
      <c r="L563" s="9">
        <v>0</v>
      </c>
      <c r="M563" s="9">
        <f>E563+K563-I563-J563-L563</f>
        <v>1603.7174695344547</v>
      </c>
    </row>
    <row r="564" spans="1:13" ht="25" customHeight="1">
      <c r="A564" s="3" t="s">
        <v>78</v>
      </c>
      <c r="B564" s="4" t="s">
        <v>402</v>
      </c>
      <c r="C564" s="4" t="s">
        <v>395</v>
      </c>
      <c r="D564" s="24">
        <v>2</v>
      </c>
      <c r="E564" s="10">
        <v>0</v>
      </c>
      <c r="F564" s="26">
        <v>0.07000000000000001</v>
      </c>
      <c r="G564" s="10">
        <v>0</v>
      </c>
      <c r="H564" s="10">
        <v>0</v>
      </c>
      <c r="I564" s="10">
        <v>0</v>
      </c>
      <c r="J564" s="10">
        <v>0</v>
      </c>
      <c r="K564" s="10">
        <v>12.37400441698696</v>
      </c>
      <c r="L564" s="10">
        <v>0</v>
      </c>
      <c r="M564" s="10">
        <f>E564+K564-I564-J564-L564</f>
        <v>12.374004416986963</v>
      </c>
    </row>
    <row r="565" spans="1:13" ht="25" customHeight="1">
      <c r="A565" s="6" t="s">
        <v>78</v>
      </c>
      <c r="B565" s="7" t="s">
        <v>402</v>
      </c>
      <c r="C565" s="7" t="s">
        <v>139</v>
      </c>
      <c r="D565" s="23">
        <v>3</v>
      </c>
      <c r="E565" s="9">
        <v>900</v>
      </c>
      <c r="F565" s="25">
        <v>0.038</v>
      </c>
      <c r="G565" s="9">
        <v>34.2</v>
      </c>
      <c r="H565" s="9">
        <v>0</v>
      </c>
      <c r="I565" s="9">
        <v>0</v>
      </c>
      <c r="J565" s="9">
        <v>0</v>
      </c>
      <c r="K565" s="9">
        <v>0</v>
      </c>
      <c r="L565" s="9">
        <v>0</v>
      </c>
      <c r="M565" s="9">
        <f>E565+K565-I565-J565-L565</f>
        <v>900.0</v>
      </c>
    </row>
    <row r="566" spans="1:13" ht="25" customHeight="1">
      <c r="A566" s="3" t="s">
        <v>78</v>
      </c>
      <c r="B566" s="4" t="s">
        <v>402</v>
      </c>
      <c r="C566" s="4" t="s">
        <v>153</v>
      </c>
      <c r="D566" s="24">
        <v>3</v>
      </c>
      <c r="E566" s="10">
        <v>48</v>
      </c>
      <c r="F566" s="26">
        <v>0.05</v>
      </c>
      <c r="G566" s="10">
        <v>2.4</v>
      </c>
      <c r="H566" s="10">
        <v>16</v>
      </c>
      <c r="I566" s="10">
        <v>16</v>
      </c>
      <c r="J566" s="10">
        <v>0</v>
      </c>
      <c r="K566" s="10">
        <v>0</v>
      </c>
      <c r="L566" s="10">
        <v>0</v>
      </c>
      <c r="M566" s="10">
        <f>E566+K566-I566-J566-L566</f>
        <v>32.0</v>
      </c>
    </row>
    <row r="567" spans="1:13" ht="25" customHeight="1">
      <c r="A567" s="6" t="s">
        <v>78</v>
      </c>
      <c r="B567" s="7" t="s">
        <v>402</v>
      </c>
      <c r="C567" s="7" t="s">
        <v>198</v>
      </c>
      <c r="D567" s="23">
        <v>3</v>
      </c>
      <c r="E567" s="9">
        <v>350</v>
      </c>
      <c r="F567" s="25">
        <v>0.0475</v>
      </c>
      <c r="G567" s="9">
        <v>16.625</v>
      </c>
      <c r="H567" s="9">
        <v>350</v>
      </c>
      <c r="I567" s="9">
        <v>350</v>
      </c>
      <c r="J567" s="9">
        <v>0</v>
      </c>
      <c r="K567" s="9">
        <v>0</v>
      </c>
      <c r="L567" s="9">
        <v>0</v>
      </c>
      <c r="M567" s="9">
        <f>E567+K567-I567-J567-L567</f>
        <v>0.0</v>
      </c>
    </row>
    <row r="568" spans="1:13" ht="25" customHeight="1">
      <c r="A568" s="3" t="s">
        <v>78</v>
      </c>
      <c r="B568" s="4" t="s">
        <v>402</v>
      </c>
      <c r="C568" s="4" t="s">
        <v>394</v>
      </c>
      <c r="D568" s="24">
        <v>3</v>
      </c>
      <c r="E568" s="10">
        <v>1603.717469534455</v>
      </c>
      <c r="F568" s="26">
        <v>0.08</v>
      </c>
      <c r="G568" s="10">
        <v>128.2973975627564</v>
      </c>
      <c r="H568" s="10">
        <v>44.46700507614213</v>
      </c>
      <c r="I568" s="10">
        <v>44.46700507614213</v>
      </c>
      <c r="J568" s="10">
        <v>0</v>
      </c>
      <c r="K568" s="10">
        <v>0</v>
      </c>
      <c r="L568" s="10">
        <v>0</v>
      </c>
      <c r="M568" s="10">
        <f>E568+K568-I568-J568-L568</f>
        <v>1559.2504644583125</v>
      </c>
    </row>
    <row r="569" spans="1:13" ht="25" customHeight="1">
      <c r="A569" s="6" t="s">
        <v>78</v>
      </c>
      <c r="B569" s="7" t="s">
        <v>402</v>
      </c>
      <c r="C569" s="7" t="s">
        <v>395</v>
      </c>
      <c r="D569" s="23">
        <v>3</v>
      </c>
      <c r="E569" s="9">
        <v>12.37400441698696</v>
      </c>
      <c r="F569" s="25">
        <v>0.0675</v>
      </c>
      <c r="G569" s="9">
        <v>0.8352452981466201</v>
      </c>
      <c r="H569" s="9">
        <v>0</v>
      </c>
      <c r="I569" s="9">
        <v>0</v>
      </c>
      <c r="J569" s="9">
        <v>0</v>
      </c>
      <c r="K569" s="9">
        <v>282.0132630704926</v>
      </c>
      <c r="L569" s="9">
        <v>0</v>
      </c>
      <c r="M569" s="9">
        <f>E569+K569-I569-J569-L569</f>
        <v>294.38726748747956</v>
      </c>
    </row>
    <row r="570" spans="1:13" ht="25" customHeight="1">
      <c r="A570" s="3" t="s">
        <v>78</v>
      </c>
      <c r="B570" s="4" t="s">
        <v>402</v>
      </c>
      <c r="C570" s="4" t="s">
        <v>139</v>
      </c>
      <c r="D570" s="24">
        <v>4</v>
      </c>
      <c r="E570" s="10">
        <v>900</v>
      </c>
      <c r="F570" s="26">
        <v>0.038</v>
      </c>
      <c r="G570" s="10">
        <v>34.2</v>
      </c>
      <c r="H570" s="10">
        <v>900</v>
      </c>
      <c r="I570" s="10">
        <v>900</v>
      </c>
      <c r="J570" s="10">
        <v>0</v>
      </c>
      <c r="K570" s="10">
        <v>0</v>
      </c>
      <c r="L570" s="10">
        <v>0</v>
      </c>
      <c r="M570" s="10">
        <f>E570+K570-I570-J570-L570</f>
        <v>0.0</v>
      </c>
    </row>
    <row r="571" spans="1:13" ht="25" customHeight="1">
      <c r="A571" s="6" t="s">
        <v>78</v>
      </c>
      <c r="B571" s="7" t="s">
        <v>402</v>
      </c>
      <c r="C571" s="7" t="s">
        <v>153</v>
      </c>
      <c r="D571" s="23">
        <v>4</v>
      </c>
      <c r="E571" s="9">
        <v>32</v>
      </c>
      <c r="F571" s="25">
        <v>0.05</v>
      </c>
      <c r="G571" s="9">
        <v>1.6</v>
      </c>
      <c r="H571" s="9">
        <v>16</v>
      </c>
      <c r="I571" s="9">
        <v>16</v>
      </c>
      <c r="J571" s="9">
        <v>0</v>
      </c>
      <c r="K571" s="9">
        <v>0</v>
      </c>
      <c r="L571" s="9">
        <v>0</v>
      </c>
      <c r="M571" s="9">
        <f>E571+K571-I571-J571-L571</f>
        <v>16.0</v>
      </c>
    </row>
    <row r="572" spans="1:13" ht="25" customHeight="1">
      <c r="A572" s="3" t="s">
        <v>78</v>
      </c>
      <c r="B572" s="4" t="s">
        <v>402</v>
      </c>
      <c r="C572" s="4" t="s">
        <v>198</v>
      </c>
      <c r="D572" s="24">
        <v>4</v>
      </c>
      <c r="E572" s="10">
        <v>0</v>
      </c>
      <c r="F572" s="26">
        <v>0.0475</v>
      </c>
      <c r="G572" s="10">
        <v>0</v>
      </c>
      <c r="H572" s="10">
        <v>0</v>
      </c>
      <c r="I572" s="10">
        <v>0</v>
      </c>
      <c r="J572" s="10">
        <v>0</v>
      </c>
      <c r="K572" s="10">
        <v>0</v>
      </c>
      <c r="L572" s="10">
        <v>0</v>
      </c>
      <c r="M572" s="10">
        <f>E572+K572-I572-J572-L572</f>
        <v>0.0</v>
      </c>
    </row>
    <row r="573" spans="1:13" ht="25" customHeight="1">
      <c r="A573" s="6" t="s">
        <v>78</v>
      </c>
      <c r="B573" s="7" t="s">
        <v>402</v>
      </c>
      <c r="C573" s="7" t="s">
        <v>394</v>
      </c>
      <c r="D573" s="23">
        <v>4</v>
      </c>
      <c r="E573" s="9">
        <v>1559.250464458313</v>
      </c>
      <c r="F573" s="25">
        <v>0.08</v>
      </c>
      <c r="G573" s="9">
        <v>124.740037156665</v>
      </c>
      <c r="H573" s="9">
        <v>44.46700507614213</v>
      </c>
      <c r="I573" s="9">
        <v>44.46700507614213</v>
      </c>
      <c r="J573" s="9">
        <v>0</v>
      </c>
      <c r="K573" s="9">
        <v>0</v>
      </c>
      <c r="L573" s="9">
        <v>0</v>
      </c>
      <c r="M573" s="9">
        <f>E573+K573-I573-J573-L573</f>
        <v>1514.7834593821703</v>
      </c>
    </row>
    <row r="574" spans="1:13" ht="25" customHeight="1">
      <c r="A574" s="3" t="s">
        <v>78</v>
      </c>
      <c r="B574" s="4" t="s">
        <v>402</v>
      </c>
      <c r="C574" s="4" t="s">
        <v>395</v>
      </c>
      <c r="D574" s="24">
        <v>4</v>
      </c>
      <c r="E574" s="10">
        <v>294.3872674874796</v>
      </c>
      <c r="F574" s="26">
        <v>0.0675</v>
      </c>
      <c r="G574" s="10">
        <v>19.87114055540487</v>
      </c>
      <c r="H574" s="10">
        <v>0</v>
      </c>
      <c r="I574" s="10">
        <v>0</v>
      </c>
      <c r="J574" s="10">
        <v>0</v>
      </c>
      <c r="K574" s="10">
        <v>335.6127325125204</v>
      </c>
      <c r="L574" s="10">
        <v>0</v>
      </c>
      <c r="M574" s="10">
        <f>E574+K574-I574-J574-L574</f>
        <v>630.0</v>
      </c>
    </row>
    <row r="575" spans="1:13" ht="25" customHeight="1">
      <c r="A575" s="6" t="s">
        <v>78</v>
      </c>
      <c r="B575" s="7" t="s">
        <v>402</v>
      </c>
      <c r="C575" s="7" t="s">
        <v>139</v>
      </c>
      <c r="D575" s="23">
        <v>5</v>
      </c>
      <c r="E575" s="9">
        <v>0</v>
      </c>
      <c r="F575" s="25">
        <v>0.038</v>
      </c>
      <c r="G575" s="9">
        <v>0</v>
      </c>
      <c r="H575" s="9">
        <v>0</v>
      </c>
      <c r="I575" s="9">
        <v>0</v>
      </c>
      <c r="J575" s="9">
        <v>0</v>
      </c>
      <c r="K575" s="9">
        <v>0</v>
      </c>
      <c r="L575" s="9">
        <v>0</v>
      </c>
      <c r="M575" s="9">
        <f>E575+K575-I575-J575-L575</f>
        <v>0.0</v>
      </c>
    </row>
    <row r="576" spans="1:13" ht="25" customHeight="1">
      <c r="A576" s="3" t="s">
        <v>78</v>
      </c>
      <c r="B576" s="4" t="s">
        <v>402</v>
      </c>
      <c r="C576" s="4" t="s">
        <v>153</v>
      </c>
      <c r="D576" s="24">
        <v>5</v>
      </c>
      <c r="E576" s="10">
        <v>16</v>
      </c>
      <c r="F576" s="26">
        <v>0.05</v>
      </c>
      <c r="G576" s="10">
        <v>0.8</v>
      </c>
      <c r="H576" s="10">
        <v>16</v>
      </c>
      <c r="I576" s="10">
        <v>16</v>
      </c>
      <c r="J576" s="10">
        <v>0</v>
      </c>
      <c r="K576" s="10">
        <v>0</v>
      </c>
      <c r="L576" s="10">
        <v>0</v>
      </c>
      <c r="M576" s="10">
        <f>E576+K576-I576-J576-L576</f>
        <v>0.0</v>
      </c>
    </row>
    <row r="577" spans="1:13" ht="25" customHeight="1">
      <c r="A577" s="6" t="s">
        <v>78</v>
      </c>
      <c r="B577" s="7" t="s">
        <v>402</v>
      </c>
      <c r="C577" s="7" t="s">
        <v>198</v>
      </c>
      <c r="D577" s="23">
        <v>5</v>
      </c>
      <c r="E577" s="9">
        <v>0</v>
      </c>
      <c r="F577" s="25">
        <v>0.0475</v>
      </c>
      <c r="G577" s="9">
        <v>0</v>
      </c>
      <c r="H577" s="9">
        <v>0</v>
      </c>
      <c r="I577" s="9">
        <v>0</v>
      </c>
      <c r="J577" s="9">
        <v>0</v>
      </c>
      <c r="K577" s="9">
        <v>0</v>
      </c>
      <c r="L577" s="9">
        <v>0</v>
      </c>
      <c r="M577" s="9">
        <f>E577+K577-I577-J577-L577</f>
        <v>0.0</v>
      </c>
    </row>
    <row r="578" spans="1:13" ht="25" customHeight="1">
      <c r="A578" s="3" t="s">
        <v>78</v>
      </c>
      <c r="B578" s="4" t="s">
        <v>402</v>
      </c>
      <c r="C578" s="4" t="s">
        <v>394</v>
      </c>
      <c r="D578" s="24">
        <v>5</v>
      </c>
      <c r="E578" s="10">
        <v>1514.78345938217</v>
      </c>
      <c r="F578" s="26">
        <v>0.08</v>
      </c>
      <c r="G578" s="10">
        <v>121.1826767505736</v>
      </c>
      <c r="H578" s="10">
        <v>1514.78345938217</v>
      </c>
      <c r="I578" s="10">
        <v>512.4943759192433</v>
      </c>
      <c r="J578" s="10">
        <v>0</v>
      </c>
      <c r="K578" s="10">
        <v>0</v>
      </c>
      <c r="L578" s="10">
        <v>0</v>
      </c>
      <c r="M578" s="10">
        <f>E578+K578-I578-J578-L578</f>
        <v>1002.289083462927</v>
      </c>
    </row>
    <row r="579" spans="1:13" ht="25" customHeight="1">
      <c r="A579" s="6" t="s">
        <v>78</v>
      </c>
      <c r="B579" s="7" t="s">
        <v>402</v>
      </c>
      <c r="C579" s="7" t="s">
        <v>395</v>
      </c>
      <c r="D579" s="23">
        <v>5</v>
      </c>
      <c r="E579" s="9">
        <v>630</v>
      </c>
      <c r="F579" s="25">
        <v>0.0675</v>
      </c>
      <c r="G579" s="9">
        <v>42.52500000000001</v>
      </c>
      <c r="H579" s="9">
        <v>630</v>
      </c>
      <c r="I579" s="9">
        <v>0</v>
      </c>
      <c r="J579" s="9">
        <v>0</v>
      </c>
      <c r="K579" s="9">
        <v>0</v>
      </c>
      <c r="L579" s="9">
        <v>0</v>
      </c>
      <c r="M579" s="9">
        <f>E579+K579-I579-J579-L579</f>
        <v>630.0</v>
      </c>
    </row>
    <row r="580" spans="1:13" ht="25" customHeight="1">
      <c r="A580" s="3" t="s">
        <v>79</v>
      </c>
      <c r="B580" s="4" t="s">
        <v>402</v>
      </c>
      <c r="C580" s="4" t="s">
        <v>139</v>
      </c>
      <c r="D580" s="24">
        <v>1</v>
      </c>
      <c r="E580" s="10">
        <v>900</v>
      </c>
      <c r="F580" s="26">
        <v>0.038</v>
      </c>
      <c r="G580" s="10">
        <v>34.2</v>
      </c>
      <c r="H580" s="10">
        <v>0</v>
      </c>
      <c r="I580" s="10">
        <v>0</v>
      </c>
      <c r="J580" s="10">
        <v>0</v>
      </c>
      <c r="K580" s="10">
        <v>0</v>
      </c>
      <c r="L580" s="10">
        <v>0</v>
      </c>
      <c r="M580" s="10">
        <f>E580+K580-I580-J580-L580</f>
        <v>900.0</v>
      </c>
    </row>
    <row r="581" spans="1:13" ht="25" customHeight="1">
      <c r="A581" s="6" t="s">
        <v>79</v>
      </c>
      <c r="B581" s="7" t="s">
        <v>402</v>
      </c>
      <c r="C581" s="7" t="s">
        <v>153</v>
      </c>
      <c r="D581" s="23">
        <v>1</v>
      </c>
      <c r="E581" s="9">
        <v>80</v>
      </c>
      <c r="F581" s="25">
        <v>0.05</v>
      </c>
      <c r="G581" s="9">
        <v>4</v>
      </c>
      <c r="H581" s="9">
        <v>16</v>
      </c>
      <c r="I581" s="9">
        <v>16</v>
      </c>
      <c r="J581" s="9">
        <v>0</v>
      </c>
      <c r="K581" s="9">
        <v>0</v>
      </c>
      <c r="L581" s="9">
        <v>0</v>
      </c>
      <c r="M581" s="9">
        <f>E581+K581-I581-J581-L581</f>
        <v>64.0</v>
      </c>
    </row>
    <row r="582" spans="1:13" ht="25" customHeight="1">
      <c r="A582" s="3" t="s">
        <v>79</v>
      </c>
      <c r="B582" s="4" t="s">
        <v>402</v>
      </c>
      <c r="C582" s="4" t="s">
        <v>198</v>
      </c>
      <c r="D582" s="24">
        <v>1</v>
      </c>
      <c r="E582" s="10">
        <v>350</v>
      </c>
      <c r="F582" s="26">
        <v>0.0475</v>
      </c>
      <c r="G582" s="10">
        <v>16.625</v>
      </c>
      <c r="H582" s="10">
        <v>0</v>
      </c>
      <c r="I582" s="10">
        <v>0</v>
      </c>
      <c r="J582" s="10">
        <v>0</v>
      </c>
      <c r="K582" s="10">
        <v>0</v>
      </c>
      <c r="L582" s="10">
        <v>0</v>
      </c>
      <c r="M582" s="10">
        <f>E582+K582-I582-J582-L582</f>
        <v>350.0</v>
      </c>
    </row>
    <row r="583" spans="1:13" ht="25" customHeight="1">
      <c r="A583" s="6" t="s">
        <v>79</v>
      </c>
      <c r="B583" s="7" t="s">
        <v>402</v>
      </c>
      <c r="C583" s="7" t="s">
        <v>394</v>
      </c>
      <c r="D583" s="23">
        <v>1</v>
      </c>
      <c r="E583" s="9">
        <v>304.5685279187817</v>
      </c>
      <c r="F583" s="25">
        <v>0.08500000000000001</v>
      </c>
      <c r="G583" s="9">
        <v>25.88832487309645</v>
      </c>
      <c r="H583" s="9">
        <v>6.091370558375635</v>
      </c>
      <c r="I583" s="9">
        <v>6.091370558375635</v>
      </c>
      <c r="J583" s="9">
        <v>0</v>
      </c>
      <c r="K583" s="9">
        <v>0</v>
      </c>
      <c r="L583" s="9">
        <v>0</v>
      </c>
      <c r="M583" s="9">
        <f>E583+K583-I583-J583-L583</f>
        <v>298.4771573604061</v>
      </c>
    </row>
    <row r="584" spans="1:13" ht="25" customHeight="1">
      <c r="A584" s="3" t="s">
        <v>79</v>
      </c>
      <c r="B584" s="4" t="s">
        <v>402</v>
      </c>
      <c r="C584" s="4" t="s">
        <v>395</v>
      </c>
      <c r="D584" s="24">
        <v>1</v>
      </c>
      <c r="E584" s="10">
        <v>0</v>
      </c>
      <c r="F584" s="26">
        <v>0.07250000000000001</v>
      </c>
      <c r="G584" s="10">
        <v>0</v>
      </c>
      <c r="H584" s="10">
        <v>0</v>
      </c>
      <c r="I584" s="10">
        <v>0</v>
      </c>
      <c r="J584" s="10">
        <v>0</v>
      </c>
      <c r="K584" s="10">
        <v>178.6032563364848</v>
      </c>
      <c r="L584" s="10">
        <v>0</v>
      </c>
      <c r="M584" s="10">
        <f>E584+K584-I584-J584-L584</f>
        <v>178.60325633648483</v>
      </c>
    </row>
    <row r="585" spans="1:13" ht="25" customHeight="1">
      <c r="A585" s="6" t="s">
        <v>79</v>
      </c>
      <c r="B585" s="7" t="s">
        <v>402</v>
      </c>
      <c r="C585" s="7" t="s">
        <v>139</v>
      </c>
      <c r="D585" s="23">
        <v>2</v>
      </c>
      <c r="E585" s="9">
        <v>900</v>
      </c>
      <c r="F585" s="25">
        <v>0.038</v>
      </c>
      <c r="G585" s="9">
        <v>34.2</v>
      </c>
      <c r="H585" s="9">
        <v>0</v>
      </c>
      <c r="I585" s="9">
        <v>0</v>
      </c>
      <c r="J585" s="9">
        <v>0</v>
      </c>
      <c r="K585" s="9">
        <v>0</v>
      </c>
      <c r="L585" s="9">
        <v>0</v>
      </c>
      <c r="M585" s="9">
        <f>E585+K585-I585-J585-L585</f>
        <v>900.0</v>
      </c>
    </row>
    <row r="586" spans="1:13" ht="25" customHeight="1">
      <c r="A586" s="3" t="s">
        <v>79</v>
      </c>
      <c r="B586" s="4" t="s">
        <v>402</v>
      </c>
      <c r="C586" s="4" t="s">
        <v>153</v>
      </c>
      <c r="D586" s="24">
        <v>2</v>
      </c>
      <c r="E586" s="10">
        <v>64</v>
      </c>
      <c r="F586" s="26">
        <v>0.05</v>
      </c>
      <c r="G586" s="10">
        <v>3.2</v>
      </c>
      <c r="H586" s="10">
        <v>16</v>
      </c>
      <c r="I586" s="10">
        <v>16</v>
      </c>
      <c r="J586" s="10">
        <v>0</v>
      </c>
      <c r="K586" s="10">
        <v>0</v>
      </c>
      <c r="L586" s="10">
        <v>0</v>
      </c>
      <c r="M586" s="10">
        <f>E586+K586-I586-J586-L586</f>
        <v>48.0</v>
      </c>
    </row>
    <row r="587" spans="1:13" ht="25" customHeight="1">
      <c r="A587" s="6" t="s">
        <v>79</v>
      </c>
      <c r="B587" s="7" t="s">
        <v>402</v>
      </c>
      <c r="C587" s="7" t="s">
        <v>198</v>
      </c>
      <c r="D587" s="23">
        <v>2</v>
      </c>
      <c r="E587" s="9">
        <v>350</v>
      </c>
      <c r="F587" s="25">
        <v>0.0475</v>
      </c>
      <c r="G587" s="9">
        <v>16.625</v>
      </c>
      <c r="H587" s="9">
        <v>0</v>
      </c>
      <c r="I587" s="9">
        <v>0</v>
      </c>
      <c r="J587" s="9">
        <v>0</v>
      </c>
      <c r="K587" s="9">
        <v>0</v>
      </c>
      <c r="L587" s="9">
        <v>0</v>
      </c>
      <c r="M587" s="9">
        <f>E587+K587-I587-J587-L587</f>
        <v>350.0</v>
      </c>
    </row>
    <row r="588" spans="1:13" ht="25" customHeight="1">
      <c r="A588" s="3" t="s">
        <v>79</v>
      </c>
      <c r="B588" s="4" t="s">
        <v>402</v>
      </c>
      <c r="C588" s="4" t="s">
        <v>394</v>
      </c>
      <c r="D588" s="24">
        <v>2</v>
      </c>
      <c r="E588" s="10">
        <v>298.4771573604061</v>
      </c>
      <c r="F588" s="26">
        <v>0.0825</v>
      </c>
      <c r="G588" s="10">
        <v>24.62436548223351</v>
      </c>
      <c r="H588" s="10">
        <v>6.091370558375635</v>
      </c>
      <c r="I588" s="10">
        <v>6.091370558375635</v>
      </c>
      <c r="J588" s="10">
        <v>0</v>
      </c>
      <c r="K588" s="10">
        <v>0</v>
      </c>
      <c r="L588" s="10">
        <v>0</v>
      </c>
      <c r="M588" s="10">
        <f>E588+K588-I588-J588-L588</f>
        <v>292.3857868020305</v>
      </c>
    </row>
    <row r="589" spans="1:13" ht="25" customHeight="1">
      <c r="A589" s="6" t="s">
        <v>79</v>
      </c>
      <c r="B589" s="7" t="s">
        <v>402</v>
      </c>
      <c r="C589" s="7" t="s">
        <v>395</v>
      </c>
      <c r="D589" s="23">
        <v>2</v>
      </c>
      <c r="E589" s="9">
        <v>178.6032563364848</v>
      </c>
      <c r="F589" s="25">
        <v>0.07000000000000001</v>
      </c>
      <c r="G589" s="9">
        <v>12.50222794355394</v>
      </c>
      <c r="H589" s="9">
        <v>0</v>
      </c>
      <c r="I589" s="9">
        <v>0</v>
      </c>
      <c r="J589" s="9">
        <v>100.1380993979695</v>
      </c>
      <c r="K589" s="9">
        <v>0</v>
      </c>
      <c r="L589" s="9">
        <v>0</v>
      </c>
      <c r="M589" s="9">
        <f>E589+K589-I589-J589-L589</f>
        <v>78.46515693851529</v>
      </c>
    </row>
    <row r="590" spans="1:13" ht="25" customHeight="1">
      <c r="A590" s="3" t="s">
        <v>79</v>
      </c>
      <c r="B590" s="4" t="s">
        <v>402</v>
      </c>
      <c r="C590" s="4" t="s">
        <v>139</v>
      </c>
      <c r="D590" s="24">
        <v>3</v>
      </c>
      <c r="E590" s="10">
        <v>900</v>
      </c>
      <c r="F590" s="26">
        <v>0.038</v>
      </c>
      <c r="G590" s="10">
        <v>34.2</v>
      </c>
      <c r="H590" s="10">
        <v>0</v>
      </c>
      <c r="I590" s="10">
        <v>0</v>
      </c>
      <c r="J590" s="10">
        <v>0</v>
      </c>
      <c r="K590" s="10">
        <v>0</v>
      </c>
      <c r="L590" s="10">
        <v>0</v>
      </c>
      <c r="M590" s="10">
        <f>E590+K590-I590-J590-L590</f>
        <v>900.0</v>
      </c>
    </row>
    <row r="591" spans="1:13" ht="25" customHeight="1">
      <c r="A591" s="6" t="s">
        <v>79</v>
      </c>
      <c r="B591" s="7" t="s">
        <v>402</v>
      </c>
      <c r="C591" s="7" t="s">
        <v>153</v>
      </c>
      <c r="D591" s="23">
        <v>3</v>
      </c>
      <c r="E591" s="9">
        <v>48</v>
      </c>
      <c r="F591" s="25">
        <v>0.05</v>
      </c>
      <c r="G591" s="9">
        <v>2.4</v>
      </c>
      <c r="H591" s="9">
        <v>16</v>
      </c>
      <c r="I591" s="9">
        <v>16</v>
      </c>
      <c r="J591" s="9">
        <v>0</v>
      </c>
      <c r="K591" s="9">
        <v>0</v>
      </c>
      <c r="L591" s="9">
        <v>0</v>
      </c>
      <c r="M591" s="9">
        <f>E591+K591-I591-J591-L591</f>
        <v>32.0</v>
      </c>
    </row>
    <row r="592" spans="1:13" ht="25" customHeight="1">
      <c r="A592" s="3" t="s">
        <v>79</v>
      </c>
      <c r="B592" s="4" t="s">
        <v>402</v>
      </c>
      <c r="C592" s="4" t="s">
        <v>198</v>
      </c>
      <c r="D592" s="24">
        <v>3</v>
      </c>
      <c r="E592" s="10">
        <v>350</v>
      </c>
      <c r="F592" s="26">
        <v>0.0475</v>
      </c>
      <c r="G592" s="10">
        <v>16.625</v>
      </c>
      <c r="H592" s="10">
        <v>350</v>
      </c>
      <c r="I592" s="10">
        <v>350</v>
      </c>
      <c r="J592" s="10">
        <v>0</v>
      </c>
      <c r="K592" s="10">
        <v>0</v>
      </c>
      <c r="L592" s="10">
        <v>0</v>
      </c>
      <c r="M592" s="10">
        <f>E592+K592-I592-J592-L592</f>
        <v>0.0</v>
      </c>
    </row>
    <row r="593" spans="1:13" ht="25" customHeight="1">
      <c r="A593" s="6" t="s">
        <v>79</v>
      </c>
      <c r="B593" s="7" t="s">
        <v>402</v>
      </c>
      <c r="C593" s="7" t="s">
        <v>394</v>
      </c>
      <c r="D593" s="23">
        <v>3</v>
      </c>
      <c r="E593" s="9">
        <v>292.3857868020305</v>
      </c>
      <c r="F593" s="25">
        <v>0.08</v>
      </c>
      <c r="G593" s="9">
        <v>23.39086294416244</v>
      </c>
      <c r="H593" s="9">
        <v>6.091370558375635</v>
      </c>
      <c r="I593" s="9">
        <v>6.091370558375635</v>
      </c>
      <c r="J593" s="9">
        <v>0</v>
      </c>
      <c r="K593" s="9">
        <v>0</v>
      </c>
      <c r="L593" s="9">
        <v>0</v>
      </c>
      <c r="M593" s="9">
        <f>E593+K593-I593-J593-L593</f>
        <v>286.2944162436549</v>
      </c>
    </row>
    <row r="594" spans="1:13" ht="25" customHeight="1">
      <c r="A594" s="3" t="s">
        <v>79</v>
      </c>
      <c r="B594" s="4" t="s">
        <v>402</v>
      </c>
      <c r="C594" s="4" t="s">
        <v>395</v>
      </c>
      <c r="D594" s="24">
        <v>3</v>
      </c>
      <c r="E594" s="10">
        <v>78.46515693851529</v>
      </c>
      <c r="F594" s="26">
        <v>0.0675</v>
      </c>
      <c r="G594" s="10">
        <v>5.296398093349783</v>
      </c>
      <c r="H594" s="10">
        <v>0</v>
      </c>
      <c r="I594" s="10">
        <v>0</v>
      </c>
      <c r="J594" s="10">
        <v>1.13686837721616E-13</v>
      </c>
      <c r="K594" s="10">
        <v>168.3035921851831</v>
      </c>
      <c r="L594" s="10">
        <v>0</v>
      </c>
      <c r="M594" s="10">
        <f>E594+K594-I594-J594-L594</f>
        <v>246.76874912369829</v>
      </c>
    </row>
    <row r="595" spans="1:13" ht="25" customHeight="1">
      <c r="A595" s="6" t="s">
        <v>79</v>
      </c>
      <c r="B595" s="7" t="s">
        <v>402</v>
      </c>
      <c r="C595" s="7" t="s">
        <v>139</v>
      </c>
      <c r="D595" s="23">
        <v>4</v>
      </c>
      <c r="E595" s="9">
        <v>900</v>
      </c>
      <c r="F595" s="25">
        <v>0.038</v>
      </c>
      <c r="G595" s="9">
        <v>34.2</v>
      </c>
      <c r="H595" s="9">
        <v>900</v>
      </c>
      <c r="I595" s="9">
        <v>900</v>
      </c>
      <c r="J595" s="9">
        <v>0</v>
      </c>
      <c r="K595" s="9">
        <v>0</v>
      </c>
      <c r="L595" s="9">
        <v>0</v>
      </c>
      <c r="M595" s="9">
        <f>E595+K595-I595-J595-L595</f>
        <v>0.0</v>
      </c>
    </row>
    <row r="596" spans="1:13" ht="25" customHeight="1">
      <c r="A596" s="3" t="s">
        <v>79</v>
      </c>
      <c r="B596" s="4" t="s">
        <v>402</v>
      </c>
      <c r="C596" s="4" t="s">
        <v>153</v>
      </c>
      <c r="D596" s="24">
        <v>4</v>
      </c>
      <c r="E596" s="10">
        <v>32</v>
      </c>
      <c r="F596" s="26">
        <v>0.05</v>
      </c>
      <c r="G596" s="10">
        <v>1.6</v>
      </c>
      <c r="H596" s="10">
        <v>16</v>
      </c>
      <c r="I596" s="10">
        <v>16</v>
      </c>
      <c r="J596" s="10">
        <v>0</v>
      </c>
      <c r="K596" s="10">
        <v>0</v>
      </c>
      <c r="L596" s="10">
        <v>0</v>
      </c>
      <c r="M596" s="10">
        <f>E596+K596-I596-J596-L596</f>
        <v>16.0</v>
      </c>
    </row>
    <row r="597" spans="1:13" ht="25" customHeight="1">
      <c r="A597" s="6" t="s">
        <v>79</v>
      </c>
      <c r="B597" s="7" t="s">
        <v>402</v>
      </c>
      <c r="C597" s="7" t="s">
        <v>198</v>
      </c>
      <c r="D597" s="23">
        <v>4</v>
      </c>
      <c r="E597" s="9">
        <v>0</v>
      </c>
      <c r="F597" s="25">
        <v>0.0475</v>
      </c>
      <c r="G597" s="9">
        <v>0</v>
      </c>
      <c r="H597" s="9">
        <v>0</v>
      </c>
      <c r="I597" s="9">
        <v>0</v>
      </c>
      <c r="J597" s="9">
        <v>0</v>
      </c>
      <c r="K597" s="9">
        <v>0</v>
      </c>
      <c r="L597" s="9">
        <v>0</v>
      </c>
      <c r="M597" s="9">
        <f>E597+K597-I597-J597-L597</f>
        <v>0.0</v>
      </c>
    </row>
    <row r="598" spans="1:13" ht="25" customHeight="1">
      <c r="A598" s="3" t="s">
        <v>79</v>
      </c>
      <c r="B598" s="4" t="s">
        <v>402</v>
      </c>
      <c r="C598" s="4" t="s">
        <v>394</v>
      </c>
      <c r="D598" s="24">
        <v>4</v>
      </c>
      <c r="E598" s="10">
        <v>286.2944162436549</v>
      </c>
      <c r="F598" s="26">
        <v>0.08</v>
      </c>
      <c r="G598" s="10">
        <v>22.90355329949239</v>
      </c>
      <c r="H598" s="10">
        <v>6.091370558375635</v>
      </c>
      <c r="I598" s="10">
        <v>6.091370558375635</v>
      </c>
      <c r="J598" s="10">
        <v>0</v>
      </c>
      <c r="K598" s="10">
        <v>0</v>
      </c>
      <c r="L598" s="10">
        <v>0</v>
      </c>
      <c r="M598" s="10">
        <f>E598+K598-I598-J598-L598</f>
        <v>280.2030456852793</v>
      </c>
    </row>
    <row r="599" spans="1:13" ht="25" customHeight="1">
      <c r="A599" s="6" t="s">
        <v>79</v>
      </c>
      <c r="B599" s="7" t="s">
        <v>402</v>
      </c>
      <c r="C599" s="7" t="s">
        <v>395</v>
      </c>
      <c r="D599" s="23">
        <v>4</v>
      </c>
      <c r="E599" s="9">
        <v>246.7687491236983</v>
      </c>
      <c r="F599" s="25">
        <v>0.0675</v>
      </c>
      <c r="G599" s="9">
        <v>16.65689056584964</v>
      </c>
      <c r="H599" s="9">
        <v>0</v>
      </c>
      <c r="I599" s="9">
        <v>0</v>
      </c>
      <c r="J599" s="9">
        <v>0</v>
      </c>
      <c r="K599" s="9">
        <v>383.2312508763017</v>
      </c>
      <c r="L599" s="9">
        <v>0</v>
      </c>
      <c r="M599" s="9">
        <f>E599+K599-I599-J599-L599</f>
        <v>630.0</v>
      </c>
    </row>
    <row r="600" spans="1:13" ht="25" customHeight="1">
      <c r="A600" s="3" t="s">
        <v>79</v>
      </c>
      <c r="B600" s="4" t="s">
        <v>402</v>
      </c>
      <c r="C600" s="4" t="s">
        <v>139</v>
      </c>
      <c r="D600" s="24">
        <v>5</v>
      </c>
      <c r="E600" s="10">
        <v>0</v>
      </c>
      <c r="F600" s="26">
        <v>0.038</v>
      </c>
      <c r="G600" s="10">
        <v>0</v>
      </c>
      <c r="H600" s="10">
        <v>0</v>
      </c>
      <c r="I600" s="10">
        <v>0</v>
      </c>
      <c r="J600" s="10">
        <v>0</v>
      </c>
      <c r="K600" s="10">
        <v>0</v>
      </c>
      <c r="L600" s="10">
        <v>0</v>
      </c>
      <c r="M600" s="10">
        <f>E600+K600-I600-J600-L600</f>
        <v>0.0</v>
      </c>
    </row>
    <row r="601" spans="1:13" ht="25" customHeight="1">
      <c r="A601" s="6" t="s">
        <v>79</v>
      </c>
      <c r="B601" s="7" t="s">
        <v>402</v>
      </c>
      <c r="C601" s="7" t="s">
        <v>153</v>
      </c>
      <c r="D601" s="23">
        <v>5</v>
      </c>
      <c r="E601" s="9">
        <v>16</v>
      </c>
      <c r="F601" s="25">
        <v>0.05</v>
      </c>
      <c r="G601" s="9">
        <v>0.8</v>
      </c>
      <c r="H601" s="9">
        <v>16</v>
      </c>
      <c r="I601" s="9">
        <v>16</v>
      </c>
      <c r="J601" s="9">
        <v>0</v>
      </c>
      <c r="K601" s="9">
        <v>0</v>
      </c>
      <c r="L601" s="9">
        <v>0</v>
      </c>
      <c r="M601" s="9">
        <f>E601+K601-I601-J601-L601</f>
        <v>0.0</v>
      </c>
    </row>
    <row r="602" spans="1:13" ht="25" customHeight="1">
      <c r="A602" s="3" t="s">
        <v>79</v>
      </c>
      <c r="B602" s="4" t="s">
        <v>402</v>
      </c>
      <c r="C602" s="4" t="s">
        <v>198</v>
      </c>
      <c r="D602" s="24">
        <v>5</v>
      </c>
      <c r="E602" s="10">
        <v>0</v>
      </c>
      <c r="F602" s="26">
        <v>0.0475</v>
      </c>
      <c r="G602" s="10">
        <v>0</v>
      </c>
      <c r="H602" s="10">
        <v>0</v>
      </c>
      <c r="I602" s="10">
        <v>0</v>
      </c>
      <c r="J602" s="10">
        <v>0</v>
      </c>
      <c r="K602" s="10">
        <v>0</v>
      </c>
      <c r="L602" s="10">
        <v>0</v>
      </c>
      <c r="M602" s="10">
        <f>E602+K602-I602-J602-L602</f>
        <v>0.0</v>
      </c>
    </row>
    <row r="603" spans="1:13" ht="25" customHeight="1">
      <c r="A603" s="6" t="s">
        <v>79</v>
      </c>
      <c r="B603" s="7" t="s">
        <v>402</v>
      </c>
      <c r="C603" s="7" t="s">
        <v>394</v>
      </c>
      <c r="D603" s="23">
        <v>5</v>
      </c>
      <c r="E603" s="9">
        <v>280.2030456852793</v>
      </c>
      <c r="F603" s="25">
        <v>0.08</v>
      </c>
      <c r="G603" s="9">
        <v>22.41624365482234</v>
      </c>
      <c r="H603" s="9">
        <v>280.2030456852793</v>
      </c>
      <c r="I603" s="9">
        <v>280.2030456852793</v>
      </c>
      <c r="J603" s="9">
        <v>0</v>
      </c>
      <c r="K603" s="9">
        <v>0</v>
      </c>
      <c r="L603" s="9">
        <v>0</v>
      </c>
      <c r="M603" s="9">
        <f>E603+K603-I603-J603-L603</f>
        <v>0.0</v>
      </c>
    </row>
    <row r="604" spans="1:13" ht="25" customHeight="1">
      <c r="A604" s="3" t="s">
        <v>79</v>
      </c>
      <c r="B604" s="4" t="s">
        <v>402</v>
      </c>
      <c r="C604" s="4" t="s">
        <v>395</v>
      </c>
      <c r="D604" s="24">
        <v>5</v>
      </c>
      <c r="E604" s="10">
        <v>630</v>
      </c>
      <c r="F604" s="26">
        <v>0.0675</v>
      </c>
      <c r="G604" s="10">
        <v>42.52500000000001</v>
      </c>
      <c r="H604" s="10">
        <v>630</v>
      </c>
      <c r="I604" s="10">
        <v>471.1483583223711</v>
      </c>
      <c r="J604" s="10">
        <v>0</v>
      </c>
      <c r="K604" s="10">
        <v>0</v>
      </c>
      <c r="L604" s="10">
        <v>0</v>
      </c>
      <c r="M604" s="10">
        <f>E604+K604-I604-J604-L604</f>
        <v>158.85164167762895</v>
      </c>
    </row>
    <row r="605" spans="1:13" ht="25" customHeight="1">
      <c r="A605" s="6" t="s">
        <v>68</v>
      </c>
      <c r="B605" s="7" t="s">
        <v>403</v>
      </c>
      <c r="C605" s="7" t="s">
        <v>139</v>
      </c>
      <c r="D605" s="23">
        <v>1</v>
      </c>
      <c r="E605" s="9">
        <v>900</v>
      </c>
      <c r="F605" s="25">
        <v>0.038</v>
      </c>
      <c r="G605" s="9">
        <v>34.2</v>
      </c>
      <c r="H605" s="9">
        <v>0</v>
      </c>
      <c r="I605" s="9">
        <v>0</v>
      </c>
      <c r="J605" s="9">
        <v>0</v>
      </c>
      <c r="K605" s="9">
        <v>0</v>
      </c>
      <c r="L605" s="9">
        <v>0</v>
      </c>
      <c r="M605" s="9">
        <f>E605+K605-I605-J605-L605</f>
        <v>900.0</v>
      </c>
    </row>
    <row r="606" spans="1:13" ht="25" customHeight="1">
      <c r="A606" s="3" t="s">
        <v>68</v>
      </c>
      <c r="B606" s="4" t="s">
        <v>403</v>
      </c>
      <c r="C606" s="4" t="s">
        <v>153</v>
      </c>
      <c r="D606" s="24">
        <v>1</v>
      </c>
      <c r="E606" s="10">
        <v>80</v>
      </c>
      <c r="F606" s="26">
        <v>0.05</v>
      </c>
      <c r="G606" s="10">
        <v>4</v>
      </c>
      <c r="H606" s="10">
        <v>16</v>
      </c>
      <c r="I606" s="10">
        <v>16</v>
      </c>
      <c r="J606" s="10">
        <v>0</v>
      </c>
      <c r="K606" s="10">
        <v>0</v>
      </c>
      <c r="L606" s="10">
        <v>0</v>
      </c>
      <c r="M606" s="10">
        <f>E606+K606-I606-J606-L606</f>
        <v>64.0</v>
      </c>
    </row>
    <row r="607" spans="1:13" ht="25" customHeight="1">
      <c r="A607" s="6" t="s">
        <v>68</v>
      </c>
      <c r="B607" s="7" t="s">
        <v>403</v>
      </c>
      <c r="C607" s="7" t="s">
        <v>198</v>
      </c>
      <c r="D607" s="23">
        <v>1</v>
      </c>
      <c r="E607" s="9">
        <v>350</v>
      </c>
      <c r="F607" s="25">
        <v>0.0475</v>
      </c>
      <c r="G607" s="9">
        <v>16.625</v>
      </c>
      <c r="H607" s="9">
        <v>0</v>
      </c>
      <c r="I607" s="9">
        <v>0</v>
      </c>
      <c r="J607" s="9">
        <v>0</v>
      </c>
      <c r="K607" s="9">
        <v>0</v>
      </c>
      <c r="L607" s="9">
        <v>0</v>
      </c>
      <c r="M607" s="9">
        <f>E607+K607-I607-J607-L607</f>
        <v>350.0</v>
      </c>
    </row>
    <row r="608" spans="1:13" ht="25" customHeight="1">
      <c r="A608" s="3" t="s">
        <v>68</v>
      </c>
      <c r="B608" s="4" t="s">
        <v>403</v>
      </c>
      <c r="C608" s="4" t="s">
        <v>394</v>
      </c>
      <c r="D608" s="24">
        <v>1</v>
      </c>
      <c r="E608" s="10">
        <v>1340.10152284264</v>
      </c>
      <c r="F608" s="26">
        <v>0.065</v>
      </c>
      <c r="G608" s="10">
        <v>87.10659898477158</v>
      </c>
      <c r="H608" s="10">
        <v>26.80203045685279</v>
      </c>
      <c r="I608" s="10">
        <v>26.80203045685279</v>
      </c>
      <c r="J608" s="10">
        <v>143.1402120853901</v>
      </c>
      <c r="K608" s="10">
        <v>0</v>
      </c>
      <c r="L608" s="10">
        <v>0</v>
      </c>
      <c r="M608" s="10">
        <f>E608+K608-I608-J608-L608</f>
        <v>1170.1592803003969</v>
      </c>
    </row>
    <row r="609" spans="1:13" ht="25" customHeight="1">
      <c r="A609" s="6" t="s">
        <v>68</v>
      </c>
      <c r="B609" s="7" t="s">
        <v>403</v>
      </c>
      <c r="C609" s="7" t="s">
        <v>395</v>
      </c>
      <c r="D609" s="23">
        <v>1</v>
      </c>
      <c r="E609" s="9">
        <v>0</v>
      </c>
      <c r="F609" s="25">
        <v>0.0625</v>
      </c>
      <c r="G609" s="9">
        <v>0</v>
      </c>
      <c r="H609" s="9">
        <v>0</v>
      </c>
      <c r="I609" s="9">
        <v>0</v>
      </c>
      <c r="J609" s="9">
        <v>0</v>
      </c>
      <c r="K609" s="9">
        <v>0</v>
      </c>
      <c r="L609" s="9">
        <v>0</v>
      </c>
      <c r="M609" s="9">
        <f>E609+K609-I609-J609-L609</f>
        <v>0.0</v>
      </c>
    </row>
    <row r="610" spans="1:13" ht="25" customHeight="1">
      <c r="A610" s="3" t="s">
        <v>68</v>
      </c>
      <c r="B610" s="4" t="s">
        <v>403</v>
      </c>
      <c r="C610" s="4" t="s">
        <v>139</v>
      </c>
      <c r="D610" s="24">
        <v>2</v>
      </c>
      <c r="E610" s="10">
        <v>900</v>
      </c>
      <c r="F610" s="26">
        <v>0.038</v>
      </c>
      <c r="G610" s="10">
        <v>34.2</v>
      </c>
      <c r="H610" s="10">
        <v>0</v>
      </c>
      <c r="I610" s="10">
        <v>0</v>
      </c>
      <c r="J610" s="10">
        <v>0</v>
      </c>
      <c r="K610" s="10">
        <v>0</v>
      </c>
      <c r="L610" s="10">
        <v>0</v>
      </c>
      <c r="M610" s="10">
        <f>E610+K610-I610-J610-L610</f>
        <v>900.0</v>
      </c>
    </row>
    <row r="611" spans="1:13" ht="25" customHeight="1">
      <c r="A611" s="6" t="s">
        <v>68</v>
      </c>
      <c r="B611" s="7" t="s">
        <v>403</v>
      </c>
      <c r="C611" s="7" t="s">
        <v>153</v>
      </c>
      <c r="D611" s="23">
        <v>2</v>
      </c>
      <c r="E611" s="9">
        <v>64</v>
      </c>
      <c r="F611" s="25">
        <v>0.05</v>
      </c>
      <c r="G611" s="9">
        <v>3.2</v>
      </c>
      <c r="H611" s="9">
        <v>16</v>
      </c>
      <c r="I611" s="9">
        <v>16</v>
      </c>
      <c r="J611" s="9">
        <v>0</v>
      </c>
      <c r="K611" s="9">
        <v>0</v>
      </c>
      <c r="L611" s="9">
        <v>0</v>
      </c>
      <c r="M611" s="9">
        <f>E611+K611-I611-J611-L611</f>
        <v>48.0</v>
      </c>
    </row>
    <row r="612" spans="1:13" ht="25" customHeight="1">
      <c r="A612" s="3" t="s">
        <v>68</v>
      </c>
      <c r="B612" s="4" t="s">
        <v>403</v>
      </c>
      <c r="C612" s="4" t="s">
        <v>198</v>
      </c>
      <c r="D612" s="24">
        <v>2</v>
      </c>
      <c r="E612" s="10">
        <v>350</v>
      </c>
      <c r="F612" s="26">
        <v>0.0475</v>
      </c>
      <c r="G612" s="10">
        <v>16.625</v>
      </c>
      <c r="H612" s="10">
        <v>0</v>
      </c>
      <c r="I612" s="10">
        <v>0</v>
      </c>
      <c r="J612" s="10">
        <v>0</v>
      </c>
      <c r="K612" s="10">
        <v>0</v>
      </c>
      <c r="L612" s="10">
        <v>0</v>
      </c>
      <c r="M612" s="10">
        <f>E612+K612-I612-J612-L612</f>
        <v>350.0</v>
      </c>
    </row>
    <row r="613" spans="1:13" ht="25" customHeight="1">
      <c r="A613" s="6" t="s">
        <v>68</v>
      </c>
      <c r="B613" s="7" t="s">
        <v>403</v>
      </c>
      <c r="C613" s="7" t="s">
        <v>394</v>
      </c>
      <c r="D613" s="23">
        <v>2</v>
      </c>
      <c r="E613" s="9">
        <v>1170.159280300397</v>
      </c>
      <c r="F613" s="25">
        <v>0.0625</v>
      </c>
      <c r="G613" s="9">
        <v>73.1349550187748</v>
      </c>
      <c r="H613" s="9">
        <v>26.80203045685279</v>
      </c>
      <c r="I613" s="9">
        <v>26.80203045685279</v>
      </c>
      <c r="J613" s="9">
        <v>96.05223915235331</v>
      </c>
      <c r="K613" s="9">
        <v>0</v>
      </c>
      <c r="L613" s="9">
        <v>0</v>
      </c>
      <c r="M613" s="9">
        <f>E613+K613-I613-J613-L613</f>
        <v>1047.3050106911905</v>
      </c>
    </row>
    <row r="614" spans="1:13" ht="25" customHeight="1">
      <c r="A614" s="3" t="s">
        <v>68</v>
      </c>
      <c r="B614" s="4" t="s">
        <v>403</v>
      </c>
      <c r="C614" s="4" t="s">
        <v>395</v>
      </c>
      <c r="D614" s="24">
        <v>2</v>
      </c>
      <c r="E614" s="10">
        <v>0</v>
      </c>
      <c r="F614" s="26">
        <v>0.06</v>
      </c>
      <c r="G614" s="10">
        <v>0</v>
      </c>
      <c r="H614" s="10">
        <v>0</v>
      </c>
      <c r="I614" s="10">
        <v>0</v>
      </c>
      <c r="J614" s="10">
        <v>0</v>
      </c>
      <c r="K614" s="10">
        <v>0</v>
      </c>
      <c r="L614" s="10">
        <v>0</v>
      </c>
      <c r="M614" s="10">
        <f>E614+K614-I614-J614-L614</f>
        <v>0.0</v>
      </c>
    </row>
    <row r="615" spans="1:13" ht="25" customHeight="1">
      <c r="A615" s="6" t="s">
        <v>68</v>
      </c>
      <c r="B615" s="7" t="s">
        <v>403</v>
      </c>
      <c r="C615" s="7" t="s">
        <v>139</v>
      </c>
      <c r="D615" s="23">
        <v>3</v>
      </c>
      <c r="E615" s="9">
        <v>900</v>
      </c>
      <c r="F615" s="25">
        <v>0.038</v>
      </c>
      <c r="G615" s="9">
        <v>34.2</v>
      </c>
      <c r="H615" s="9">
        <v>0</v>
      </c>
      <c r="I615" s="9">
        <v>0</v>
      </c>
      <c r="J615" s="9">
        <v>0</v>
      </c>
      <c r="K615" s="9">
        <v>0</v>
      </c>
      <c r="L615" s="9">
        <v>0</v>
      </c>
      <c r="M615" s="9">
        <f>E615+K615-I615-J615-L615</f>
        <v>900.0</v>
      </c>
    </row>
    <row r="616" spans="1:13" ht="25" customHeight="1">
      <c r="A616" s="3" t="s">
        <v>68</v>
      </c>
      <c r="B616" s="4" t="s">
        <v>403</v>
      </c>
      <c r="C616" s="4" t="s">
        <v>153</v>
      </c>
      <c r="D616" s="24">
        <v>3</v>
      </c>
      <c r="E616" s="10">
        <v>48</v>
      </c>
      <c r="F616" s="26">
        <v>0.05</v>
      </c>
      <c r="G616" s="10">
        <v>2.4</v>
      </c>
      <c r="H616" s="10">
        <v>16</v>
      </c>
      <c r="I616" s="10">
        <v>16</v>
      </c>
      <c r="J616" s="10">
        <v>0</v>
      </c>
      <c r="K616" s="10">
        <v>0</v>
      </c>
      <c r="L616" s="10">
        <v>0</v>
      </c>
      <c r="M616" s="10">
        <f>E616+K616-I616-J616-L616</f>
        <v>32.0</v>
      </c>
    </row>
    <row r="617" spans="1:13" ht="25" customHeight="1">
      <c r="A617" s="6" t="s">
        <v>68</v>
      </c>
      <c r="B617" s="7" t="s">
        <v>403</v>
      </c>
      <c r="C617" s="7" t="s">
        <v>198</v>
      </c>
      <c r="D617" s="23">
        <v>3</v>
      </c>
      <c r="E617" s="9">
        <v>350</v>
      </c>
      <c r="F617" s="25">
        <v>0.0475</v>
      </c>
      <c r="G617" s="9">
        <v>16.625</v>
      </c>
      <c r="H617" s="9">
        <v>350</v>
      </c>
      <c r="I617" s="9">
        <v>350</v>
      </c>
      <c r="J617" s="9">
        <v>0</v>
      </c>
      <c r="K617" s="9">
        <v>0</v>
      </c>
      <c r="L617" s="9">
        <v>0</v>
      </c>
      <c r="M617" s="9">
        <f>E617+K617-I617-J617-L617</f>
        <v>0.0</v>
      </c>
    </row>
    <row r="618" spans="1:13" ht="25" customHeight="1">
      <c r="A618" s="3" t="s">
        <v>68</v>
      </c>
      <c r="B618" s="4" t="s">
        <v>403</v>
      </c>
      <c r="C618" s="4" t="s">
        <v>394</v>
      </c>
      <c r="D618" s="24">
        <v>3</v>
      </c>
      <c r="E618" s="10">
        <v>1047.305010691191</v>
      </c>
      <c r="F618" s="26">
        <v>0.06</v>
      </c>
      <c r="G618" s="10">
        <v>62.83830064147143</v>
      </c>
      <c r="H618" s="10">
        <v>26.80203045685279</v>
      </c>
      <c r="I618" s="10">
        <v>26.80203045685279</v>
      </c>
      <c r="J618" s="10">
        <v>0</v>
      </c>
      <c r="K618" s="10">
        <v>0</v>
      </c>
      <c r="L618" s="10">
        <v>0</v>
      </c>
      <c r="M618" s="10">
        <f>E618+K618-I618-J618-L618</f>
        <v>1020.5029802343378</v>
      </c>
    </row>
    <row r="619" spans="1:13" ht="25" customHeight="1">
      <c r="A619" s="6" t="s">
        <v>68</v>
      </c>
      <c r="B619" s="7" t="s">
        <v>403</v>
      </c>
      <c r="C619" s="7" t="s">
        <v>395</v>
      </c>
      <c r="D619" s="23">
        <v>3</v>
      </c>
      <c r="E619" s="9">
        <v>0</v>
      </c>
      <c r="F619" s="25">
        <v>0.0575</v>
      </c>
      <c r="G619" s="9">
        <v>0</v>
      </c>
      <c r="H619" s="9">
        <v>0</v>
      </c>
      <c r="I619" s="9">
        <v>0</v>
      </c>
      <c r="J619" s="9">
        <v>0</v>
      </c>
      <c r="K619" s="9">
        <v>155.8431841678366</v>
      </c>
      <c r="L619" s="9">
        <v>0</v>
      </c>
      <c r="M619" s="9">
        <f>E619+K619-I619-J619-L619</f>
        <v>155.84318416783663</v>
      </c>
    </row>
    <row r="620" spans="1:13" ht="25" customHeight="1">
      <c r="A620" s="3" t="s">
        <v>68</v>
      </c>
      <c r="B620" s="4" t="s">
        <v>403</v>
      </c>
      <c r="C620" s="4" t="s">
        <v>139</v>
      </c>
      <c r="D620" s="24">
        <v>4</v>
      </c>
      <c r="E620" s="10">
        <v>900</v>
      </c>
      <c r="F620" s="26">
        <v>0.038</v>
      </c>
      <c r="G620" s="10">
        <v>34.2</v>
      </c>
      <c r="H620" s="10">
        <v>900</v>
      </c>
      <c r="I620" s="10">
        <v>900</v>
      </c>
      <c r="J620" s="10">
        <v>0</v>
      </c>
      <c r="K620" s="10">
        <v>0</v>
      </c>
      <c r="L620" s="10">
        <v>0</v>
      </c>
      <c r="M620" s="10">
        <f>E620+K620-I620-J620-L620</f>
        <v>0.0</v>
      </c>
    </row>
    <row r="621" spans="1:13" ht="25" customHeight="1">
      <c r="A621" s="6" t="s">
        <v>68</v>
      </c>
      <c r="B621" s="7" t="s">
        <v>403</v>
      </c>
      <c r="C621" s="7" t="s">
        <v>153</v>
      </c>
      <c r="D621" s="23">
        <v>4</v>
      </c>
      <c r="E621" s="9">
        <v>32</v>
      </c>
      <c r="F621" s="25">
        <v>0.05</v>
      </c>
      <c r="G621" s="9">
        <v>1.6</v>
      </c>
      <c r="H621" s="9">
        <v>16</v>
      </c>
      <c r="I621" s="9">
        <v>16</v>
      </c>
      <c r="J621" s="9">
        <v>0</v>
      </c>
      <c r="K621" s="9">
        <v>0</v>
      </c>
      <c r="L621" s="9">
        <v>0</v>
      </c>
      <c r="M621" s="9">
        <f>E621+K621-I621-J621-L621</f>
        <v>16.0</v>
      </c>
    </row>
    <row r="622" spans="1:13" ht="25" customHeight="1">
      <c r="A622" s="3" t="s">
        <v>68</v>
      </c>
      <c r="B622" s="4" t="s">
        <v>403</v>
      </c>
      <c r="C622" s="4" t="s">
        <v>198</v>
      </c>
      <c r="D622" s="24">
        <v>4</v>
      </c>
      <c r="E622" s="10">
        <v>0</v>
      </c>
      <c r="F622" s="26">
        <v>0.0475</v>
      </c>
      <c r="G622" s="10">
        <v>0</v>
      </c>
      <c r="H622" s="10">
        <v>0</v>
      </c>
      <c r="I622" s="10">
        <v>0</v>
      </c>
      <c r="J622" s="10">
        <v>0</v>
      </c>
      <c r="K622" s="10">
        <v>0</v>
      </c>
      <c r="L622" s="10">
        <v>0</v>
      </c>
      <c r="M622" s="10">
        <f>E622+K622-I622-J622-L622</f>
        <v>0.0</v>
      </c>
    </row>
    <row r="623" spans="1:13" ht="25" customHeight="1">
      <c r="A623" s="6" t="s">
        <v>68</v>
      </c>
      <c r="B623" s="7" t="s">
        <v>403</v>
      </c>
      <c r="C623" s="7" t="s">
        <v>394</v>
      </c>
      <c r="D623" s="23">
        <v>4</v>
      </c>
      <c r="E623" s="9">
        <v>1020.502980234338</v>
      </c>
      <c r="F623" s="25">
        <v>0.06</v>
      </c>
      <c r="G623" s="9">
        <v>61.23017881406027</v>
      </c>
      <c r="H623" s="9">
        <v>26.80203045685279</v>
      </c>
      <c r="I623" s="9">
        <v>26.80203045685279</v>
      </c>
      <c r="J623" s="9">
        <v>0</v>
      </c>
      <c r="K623" s="9">
        <v>0</v>
      </c>
      <c r="L623" s="9">
        <v>0</v>
      </c>
      <c r="M623" s="9">
        <f>E623+K623-I623-J623-L623</f>
        <v>993.700949777485</v>
      </c>
    </row>
    <row r="624" spans="1:13" ht="25" customHeight="1">
      <c r="A624" s="3" t="s">
        <v>68</v>
      </c>
      <c r="B624" s="4" t="s">
        <v>403</v>
      </c>
      <c r="C624" s="4" t="s">
        <v>395</v>
      </c>
      <c r="D624" s="24">
        <v>4</v>
      </c>
      <c r="E624" s="10">
        <v>155.8431841678366</v>
      </c>
      <c r="F624" s="26">
        <v>0.0575</v>
      </c>
      <c r="G624" s="10">
        <v>8.960983089650606</v>
      </c>
      <c r="H624" s="10">
        <v>0</v>
      </c>
      <c r="I624" s="10">
        <v>0</v>
      </c>
      <c r="J624" s="10">
        <v>0</v>
      </c>
      <c r="K624" s="10">
        <v>474.1568158321634</v>
      </c>
      <c r="L624" s="10">
        <v>0</v>
      </c>
      <c r="M624" s="10">
        <f>E624+K624-I624-J624-L624</f>
        <v>630.0</v>
      </c>
    </row>
    <row r="625" spans="1:13" ht="25" customHeight="1">
      <c r="A625" s="6" t="s">
        <v>68</v>
      </c>
      <c r="B625" s="7" t="s">
        <v>403</v>
      </c>
      <c r="C625" s="7" t="s">
        <v>139</v>
      </c>
      <c r="D625" s="23">
        <v>5</v>
      </c>
      <c r="E625" s="9">
        <v>0</v>
      </c>
      <c r="F625" s="25">
        <v>0.038</v>
      </c>
      <c r="G625" s="9">
        <v>0</v>
      </c>
      <c r="H625" s="9">
        <v>0</v>
      </c>
      <c r="I625" s="9">
        <v>0</v>
      </c>
      <c r="J625" s="9">
        <v>0</v>
      </c>
      <c r="K625" s="9">
        <v>0</v>
      </c>
      <c r="L625" s="9">
        <v>0</v>
      </c>
      <c r="M625" s="9">
        <f>E625+K625-I625-J625-L625</f>
        <v>0.0</v>
      </c>
    </row>
    <row r="626" spans="1:13" ht="25" customHeight="1">
      <c r="A626" s="3" t="s">
        <v>68</v>
      </c>
      <c r="B626" s="4" t="s">
        <v>403</v>
      </c>
      <c r="C626" s="4" t="s">
        <v>153</v>
      </c>
      <c r="D626" s="24">
        <v>5</v>
      </c>
      <c r="E626" s="10">
        <v>16</v>
      </c>
      <c r="F626" s="26">
        <v>0.05</v>
      </c>
      <c r="G626" s="10">
        <v>0.8</v>
      </c>
      <c r="H626" s="10">
        <v>16</v>
      </c>
      <c r="I626" s="10">
        <v>16</v>
      </c>
      <c r="J626" s="10">
        <v>0</v>
      </c>
      <c r="K626" s="10">
        <v>0</v>
      </c>
      <c r="L626" s="10">
        <v>0</v>
      </c>
      <c r="M626" s="10">
        <f>E626+K626-I626-J626-L626</f>
        <v>0.0</v>
      </c>
    </row>
    <row r="627" spans="1:13" ht="25" customHeight="1">
      <c r="A627" s="6" t="s">
        <v>68</v>
      </c>
      <c r="B627" s="7" t="s">
        <v>403</v>
      </c>
      <c r="C627" s="7" t="s">
        <v>198</v>
      </c>
      <c r="D627" s="23">
        <v>5</v>
      </c>
      <c r="E627" s="9">
        <v>0</v>
      </c>
      <c r="F627" s="25">
        <v>0.0475</v>
      </c>
      <c r="G627" s="9">
        <v>0</v>
      </c>
      <c r="H627" s="9">
        <v>0</v>
      </c>
      <c r="I627" s="9">
        <v>0</v>
      </c>
      <c r="J627" s="9">
        <v>0</v>
      </c>
      <c r="K627" s="9">
        <v>0</v>
      </c>
      <c r="L627" s="9">
        <v>0</v>
      </c>
      <c r="M627" s="9">
        <f>E627+K627-I627-J627-L627</f>
        <v>0.0</v>
      </c>
    </row>
    <row r="628" spans="1:13" ht="25" customHeight="1">
      <c r="A628" s="3" t="s">
        <v>68</v>
      </c>
      <c r="B628" s="4" t="s">
        <v>403</v>
      </c>
      <c r="C628" s="4" t="s">
        <v>394</v>
      </c>
      <c r="D628" s="24">
        <v>5</v>
      </c>
      <c r="E628" s="10">
        <v>993.700949777485</v>
      </c>
      <c r="F628" s="26">
        <v>0.06</v>
      </c>
      <c r="G628" s="10">
        <v>59.62205698664911</v>
      </c>
      <c r="H628" s="10">
        <v>993.700949777485</v>
      </c>
      <c r="I628" s="10">
        <v>863.4578595636441</v>
      </c>
      <c r="J628" s="10">
        <v>0</v>
      </c>
      <c r="K628" s="10">
        <v>0</v>
      </c>
      <c r="L628" s="10">
        <v>0</v>
      </c>
      <c r="M628" s="10">
        <f>E628+K628-I628-J628-L628</f>
        <v>130.2430902138409</v>
      </c>
    </row>
    <row r="629" spans="1:13" ht="25" customHeight="1">
      <c r="A629" s="6" t="s">
        <v>68</v>
      </c>
      <c r="B629" s="7" t="s">
        <v>403</v>
      </c>
      <c r="C629" s="7" t="s">
        <v>395</v>
      </c>
      <c r="D629" s="23">
        <v>5</v>
      </c>
      <c r="E629" s="9">
        <v>630</v>
      </c>
      <c r="F629" s="25">
        <v>0.0575</v>
      </c>
      <c r="G629" s="9">
        <v>36.225</v>
      </c>
      <c r="H629" s="9">
        <v>630</v>
      </c>
      <c r="I629" s="9">
        <v>0</v>
      </c>
      <c r="J629" s="9">
        <v>0</v>
      </c>
      <c r="K629" s="9">
        <v>0</v>
      </c>
      <c r="L629" s="9">
        <v>0</v>
      </c>
      <c r="M629" s="9">
        <f>E629+K629-I629-J629-L629</f>
        <v>630.0</v>
      </c>
    </row>
    <row r="630" spans="1:13" ht="25" customHeight="1">
      <c r="A630" s="3" t="s">
        <v>78</v>
      </c>
      <c r="B630" s="4" t="s">
        <v>403</v>
      </c>
      <c r="C630" s="4" t="s">
        <v>139</v>
      </c>
      <c r="D630" s="24">
        <v>1</v>
      </c>
      <c r="E630" s="10">
        <v>900</v>
      </c>
      <c r="F630" s="26">
        <v>0.038</v>
      </c>
      <c r="G630" s="10">
        <v>34.2</v>
      </c>
      <c r="H630" s="10">
        <v>0</v>
      </c>
      <c r="I630" s="10">
        <v>0</v>
      </c>
      <c r="J630" s="10">
        <v>0</v>
      </c>
      <c r="K630" s="10">
        <v>0</v>
      </c>
      <c r="L630" s="10">
        <v>0</v>
      </c>
      <c r="M630" s="10">
        <f>E630+K630-I630-J630-L630</f>
        <v>900.0</v>
      </c>
    </row>
    <row r="631" spans="1:13" ht="25" customHeight="1">
      <c r="A631" s="6" t="s">
        <v>78</v>
      </c>
      <c r="B631" s="7" t="s">
        <v>403</v>
      </c>
      <c r="C631" s="7" t="s">
        <v>153</v>
      </c>
      <c r="D631" s="23">
        <v>1</v>
      </c>
      <c r="E631" s="9">
        <v>80</v>
      </c>
      <c r="F631" s="25">
        <v>0.05</v>
      </c>
      <c r="G631" s="9">
        <v>4</v>
      </c>
      <c r="H631" s="9">
        <v>16</v>
      </c>
      <c r="I631" s="9">
        <v>16</v>
      </c>
      <c r="J631" s="9">
        <v>0</v>
      </c>
      <c r="K631" s="9">
        <v>0</v>
      </c>
      <c r="L631" s="9">
        <v>0</v>
      </c>
      <c r="M631" s="9">
        <f>E631+K631-I631-J631-L631</f>
        <v>64.0</v>
      </c>
    </row>
    <row r="632" spans="1:13" ht="25" customHeight="1">
      <c r="A632" s="3" t="s">
        <v>78</v>
      </c>
      <c r="B632" s="4" t="s">
        <v>403</v>
      </c>
      <c r="C632" s="4" t="s">
        <v>198</v>
      </c>
      <c r="D632" s="24">
        <v>1</v>
      </c>
      <c r="E632" s="10">
        <v>350</v>
      </c>
      <c r="F632" s="26">
        <v>0.0475</v>
      </c>
      <c r="G632" s="10">
        <v>16.625</v>
      </c>
      <c r="H632" s="10">
        <v>0</v>
      </c>
      <c r="I632" s="10">
        <v>0</v>
      </c>
      <c r="J632" s="10">
        <v>0</v>
      </c>
      <c r="K632" s="10">
        <v>0</v>
      </c>
      <c r="L632" s="10">
        <v>0</v>
      </c>
      <c r="M632" s="10">
        <f>E632+K632-I632-J632-L632</f>
        <v>350.0</v>
      </c>
    </row>
    <row r="633" spans="1:13" ht="25" customHeight="1">
      <c r="A633" s="6" t="s">
        <v>78</v>
      </c>
      <c r="B633" s="7" t="s">
        <v>403</v>
      </c>
      <c r="C633" s="7" t="s">
        <v>394</v>
      </c>
      <c r="D633" s="23">
        <v>1</v>
      </c>
      <c r="E633" s="9">
        <v>2223.350253807107</v>
      </c>
      <c r="F633" s="25">
        <v>0.065</v>
      </c>
      <c r="G633" s="9">
        <v>144.5177664974619</v>
      </c>
      <c r="H633" s="9">
        <v>44.46700507614213</v>
      </c>
      <c r="I633" s="9">
        <v>44.46700507614213</v>
      </c>
      <c r="J633" s="9">
        <v>952.4168618315832</v>
      </c>
      <c r="K633" s="9">
        <v>0</v>
      </c>
      <c r="L633" s="9">
        <v>0</v>
      </c>
      <c r="M633" s="9">
        <f>E633+K633-I633-J633-L633</f>
        <v>1226.4663868993814</v>
      </c>
    </row>
    <row r="634" spans="1:13" ht="25" customHeight="1">
      <c r="A634" s="3" t="s">
        <v>78</v>
      </c>
      <c r="B634" s="4" t="s">
        <v>403</v>
      </c>
      <c r="C634" s="4" t="s">
        <v>395</v>
      </c>
      <c r="D634" s="24">
        <v>1</v>
      </c>
      <c r="E634" s="10">
        <v>0</v>
      </c>
      <c r="F634" s="26">
        <v>0.0625</v>
      </c>
      <c r="G634" s="10">
        <v>0</v>
      </c>
      <c r="H634" s="10">
        <v>0</v>
      </c>
      <c r="I634" s="10">
        <v>0</v>
      </c>
      <c r="J634" s="10">
        <v>0</v>
      </c>
      <c r="K634" s="10">
        <v>0</v>
      </c>
      <c r="L634" s="10">
        <v>0</v>
      </c>
      <c r="M634" s="10">
        <f>E634+K634-I634-J634-L634</f>
        <v>0.0</v>
      </c>
    </row>
    <row r="635" spans="1:13" ht="25" customHeight="1">
      <c r="A635" s="6" t="s">
        <v>78</v>
      </c>
      <c r="B635" s="7" t="s">
        <v>403</v>
      </c>
      <c r="C635" s="7" t="s">
        <v>139</v>
      </c>
      <c r="D635" s="23">
        <v>2</v>
      </c>
      <c r="E635" s="9">
        <v>900</v>
      </c>
      <c r="F635" s="25">
        <v>0.038</v>
      </c>
      <c r="G635" s="9">
        <v>34.2</v>
      </c>
      <c r="H635" s="9">
        <v>0</v>
      </c>
      <c r="I635" s="9">
        <v>0</v>
      </c>
      <c r="J635" s="9">
        <v>0</v>
      </c>
      <c r="K635" s="9">
        <v>0</v>
      </c>
      <c r="L635" s="9">
        <v>0</v>
      </c>
      <c r="M635" s="9">
        <f>E635+K635-I635-J635-L635</f>
        <v>900.0</v>
      </c>
    </row>
    <row r="636" spans="1:13" ht="25" customHeight="1">
      <c r="A636" s="3" t="s">
        <v>78</v>
      </c>
      <c r="B636" s="4" t="s">
        <v>403</v>
      </c>
      <c r="C636" s="4" t="s">
        <v>153</v>
      </c>
      <c r="D636" s="24">
        <v>2</v>
      </c>
      <c r="E636" s="10">
        <v>64</v>
      </c>
      <c r="F636" s="26">
        <v>0.05</v>
      </c>
      <c r="G636" s="10">
        <v>3.2</v>
      </c>
      <c r="H636" s="10">
        <v>16</v>
      </c>
      <c r="I636" s="10">
        <v>16</v>
      </c>
      <c r="J636" s="10">
        <v>0</v>
      </c>
      <c r="K636" s="10">
        <v>0</v>
      </c>
      <c r="L636" s="10">
        <v>0</v>
      </c>
      <c r="M636" s="10">
        <f>E636+K636-I636-J636-L636</f>
        <v>48.0</v>
      </c>
    </row>
    <row r="637" spans="1:13" ht="25" customHeight="1">
      <c r="A637" s="6" t="s">
        <v>78</v>
      </c>
      <c r="B637" s="7" t="s">
        <v>403</v>
      </c>
      <c r="C637" s="7" t="s">
        <v>198</v>
      </c>
      <c r="D637" s="23">
        <v>2</v>
      </c>
      <c r="E637" s="9">
        <v>350</v>
      </c>
      <c r="F637" s="25">
        <v>0.0475</v>
      </c>
      <c r="G637" s="9">
        <v>16.625</v>
      </c>
      <c r="H637" s="9">
        <v>0</v>
      </c>
      <c r="I637" s="9">
        <v>0</v>
      </c>
      <c r="J637" s="9">
        <v>0</v>
      </c>
      <c r="K637" s="9">
        <v>0</v>
      </c>
      <c r="L637" s="9">
        <v>0</v>
      </c>
      <c r="M637" s="9">
        <f>E637+K637-I637-J637-L637</f>
        <v>350.0</v>
      </c>
    </row>
    <row r="638" spans="1:13" ht="25" customHeight="1">
      <c r="A638" s="3" t="s">
        <v>78</v>
      </c>
      <c r="B638" s="4" t="s">
        <v>403</v>
      </c>
      <c r="C638" s="4" t="s">
        <v>394</v>
      </c>
      <c r="D638" s="24">
        <v>2</v>
      </c>
      <c r="E638" s="10">
        <v>1226.466386899381</v>
      </c>
      <c r="F638" s="26">
        <v>0.0625</v>
      </c>
      <c r="G638" s="10">
        <v>76.65414918121134</v>
      </c>
      <c r="H638" s="10">
        <v>44.46700507614213</v>
      </c>
      <c r="I638" s="10">
        <v>44.46700507614213</v>
      </c>
      <c r="J638" s="10">
        <v>75.74786891123676</v>
      </c>
      <c r="K638" s="10">
        <v>0</v>
      </c>
      <c r="L638" s="10">
        <v>0</v>
      </c>
      <c r="M638" s="10">
        <f>E638+K638-I638-J638-L638</f>
        <v>1106.2515129120025</v>
      </c>
    </row>
    <row r="639" spans="1:13" ht="25" customHeight="1">
      <c r="A639" s="6" t="s">
        <v>78</v>
      </c>
      <c r="B639" s="7" t="s">
        <v>403</v>
      </c>
      <c r="C639" s="7" t="s">
        <v>395</v>
      </c>
      <c r="D639" s="23">
        <v>2</v>
      </c>
      <c r="E639" s="9">
        <v>0</v>
      </c>
      <c r="F639" s="25">
        <v>0.06</v>
      </c>
      <c r="G639" s="9">
        <v>0</v>
      </c>
      <c r="H639" s="9">
        <v>0</v>
      </c>
      <c r="I639" s="9">
        <v>0</v>
      </c>
      <c r="J639" s="9">
        <v>0</v>
      </c>
      <c r="K639" s="9">
        <v>0</v>
      </c>
      <c r="L639" s="9">
        <v>0</v>
      </c>
      <c r="M639" s="9">
        <f>E639+K639-I639-J639-L639</f>
        <v>0.0</v>
      </c>
    </row>
    <row r="640" spans="1:13" ht="25" customHeight="1">
      <c r="A640" s="3" t="s">
        <v>78</v>
      </c>
      <c r="B640" s="4" t="s">
        <v>403</v>
      </c>
      <c r="C640" s="4" t="s">
        <v>139</v>
      </c>
      <c r="D640" s="24">
        <v>3</v>
      </c>
      <c r="E640" s="10">
        <v>900</v>
      </c>
      <c r="F640" s="26">
        <v>0.038</v>
      </c>
      <c r="G640" s="10">
        <v>34.2</v>
      </c>
      <c r="H640" s="10">
        <v>0</v>
      </c>
      <c r="I640" s="10">
        <v>0</v>
      </c>
      <c r="J640" s="10">
        <v>0</v>
      </c>
      <c r="K640" s="10">
        <v>0</v>
      </c>
      <c r="L640" s="10">
        <v>0</v>
      </c>
      <c r="M640" s="10">
        <f>E640+K640-I640-J640-L640</f>
        <v>900.0</v>
      </c>
    </row>
    <row r="641" spans="1:13" ht="25" customHeight="1">
      <c r="A641" s="6" t="s">
        <v>78</v>
      </c>
      <c r="B641" s="7" t="s">
        <v>403</v>
      </c>
      <c r="C641" s="7" t="s">
        <v>153</v>
      </c>
      <c r="D641" s="23">
        <v>3</v>
      </c>
      <c r="E641" s="9">
        <v>48</v>
      </c>
      <c r="F641" s="25">
        <v>0.05</v>
      </c>
      <c r="G641" s="9">
        <v>2.4</v>
      </c>
      <c r="H641" s="9">
        <v>16</v>
      </c>
      <c r="I641" s="9">
        <v>16</v>
      </c>
      <c r="J641" s="9">
        <v>0</v>
      </c>
      <c r="K641" s="9">
        <v>0</v>
      </c>
      <c r="L641" s="9">
        <v>0</v>
      </c>
      <c r="M641" s="9">
        <f>E641+K641-I641-J641-L641</f>
        <v>32.0</v>
      </c>
    </row>
    <row r="642" spans="1:13" ht="25" customHeight="1">
      <c r="A642" s="3" t="s">
        <v>78</v>
      </c>
      <c r="B642" s="4" t="s">
        <v>403</v>
      </c>
      <c r="C642" s="4" t="s">
        <v>198</v>
      </c>
      <c r="D642" s="24">
        <v>3</v>
      </c>
      <c r="E642" s="10">
        <v>350</v>
      </c>
      <c r="F642" s="26">
        <v>0.0475</v>
      </c>
      <c r="G642" s="10">
        <v>16.625</v>
      </c>
      <c r="H642" s="10">
        <v>350</v>
      </c>
      <c r="I642" s="10">
        <v>350</v>
      </c>
      <c r="J642" s="10">
        <v>0</v>
      </c>
      <c r="K642" s="10">
        <v>0</v>
      </c>
      <c r="L642" s="10">
        <v>0</v>
      </c>
      <c r="M642" s="10">
        <f>E642+K642-I642-J642-L642</f>
        <v>0.0</v>
      </c>
    </row>
    <row r="643" spans="1:13" ht="25" customHeight="1">
      <c r="A643" s="6" t="s">
        <v>78</v>
      </c>
      <c r="B643" s="7" t="s">
        <v>403</v>
      </c>
      <c r="C643" s="7" t="s">
        <v>394</v>
      </c>
      <c r="D643" s="23">
        <v>3</v>
      </c>
      <c r="E643" s="9">
        <v>1106.251512912002</v>
      </c>
      <c r="F643" s="25">
        <v>0.06</v>
      </c>
      <c r="G643" s="9">
        <v>66.37509077472015</v>
      </c>
      <c r="H643" s="9">
        <v>44.46700507614213</v>
      </c>
      <c r="I643" s="9">
        <v>44.46700507614213</v>
      </c>
      <c r="J643" s="9">
        <v>0</v>
      </c>
      <c r="K643" s="9">
        <v>0</v>
      </c>
      <c r="L643" s="9">
        <v>0</v>
      </c>
      <c r="M643" s="9">
        <f>E643+K643-I643-J643-L643</f>
        <v>1061.7845078358603</v>
      </c>
    </row>
    <row r="644" spans="1:13" ht="25" customHeight="1">
      <c r="A644" s="3" t="s">
        <v>78</v>
      </c>
      <c r="B644" s="4" t="s">
        <v>403</v>
      </c>
      <c r="C644" s="4" t="s">
        <v>395</v>
      </c>
      <c r="D644" s="24">
        <v>3</v>
      </c>
      <c r="E644" s="10">
        <v>0</v>
      </c>
      <c r="F644" s="26">
        <v>0.0575</v>
      </c>
      <c r="G644" s="10">
        <v>0</v>
      </c>
      <c r="H644" s="10">
        <v>0</v>
      </c>
      <c r="I644" s="10">
        <v>0</v>
      </c>
      <c r="J644" s="10">
        <v>0</v>
      </c>
      <c r="K644" s="10">
        <v>176.1607513870628</v>
      </c>
      <c r="L644" s="10">
        <v>0</v>
      </c>
      <c r="M644" s="10">
        <f>E644+K644-I644-J644-L644</f>
        <v>176.16075138706276</v>
      </c>
    </row>
    <row r="645" spans="1:13" ht="25" customHeight="1">
      <c r="A645" s="6" t="s">
        <v>78</v>
      </c>
      <c r="B645" s="7" t="s">
        <v>403</v>
      </c>
      <c r="C645" s="7" t="s">
        <v>139</v>
      </c>
      <c r="D645" s="23">
        <v>4</v>
      </c>
      <c r="E645" s="9">
        <v>900</v>
      </c>
      <c r="F645" s="25">
        <v>0.038</v>
      </c>
      <c r="G645" s="9">
        <v>34.2</v>
      </c>
      <c r="H645" s="9">
        <v>900</v>
      </c>
      <c r="I645" s="9">
        <v>900</v>
      </c>
      <c r="J645" s="9">
        <v>0</v>
      </c>
      <c r="K645" s="9">
        <v>0</v>
      </c>
      <c r="L645" s="9">
        <v>0</v>
      </c>
      <c r="M645" s="9">
        <f>E645+K645-I645-J645-L645</f>
        <v>0.0</v>
      </c>
    </row>
    <row r="646" spans="1:13" ht="25" customHeight="1">
      <c r="A646" s="3" t="s">
        <v>78</v>
      </c>
      <c r="B646" s="4" t="s">
        <v>403</v>
      </c>
      <c r="C646" s="4" t="s">
        <v>153</v>
      </c>
      <c r="D646" s="24">
        <v>4</v>
      </c>
      <c r="E646" s="10">
        <v>32</v>
      </c>
      <c r="F646" s="26">
        <v>0.05</v>
      </c>
      <c r="G646" s="10">
        <v>1.6</v>
      </c>
      <c r="H646" s="10">
        <v>16</v>
      </c>
      <c r="I646" s="10">
        <v>16</v>
      </c>
      <c r="J646" s="10">
        <v>0</v>
      </c>
      <c r="K646" s="10">
        <v>0</v>
      </c>
      <c r="L646" s="10">
        <v>0</v>
      </c>
      <c r="M646" s="10">
        <f>E646+K646-I646-J646-L646</f>
        <v>16.0</v>
      </c>
    </row>
    <row r="647" spans="1:13" ht="25" customHeight="1">
      <c r="A647" s="6" t="s">
        <v>78</v>
      </c>
      <c r="B647" s="7" t="s">
        <v>403</v>
      </c>
      <c r="C647" s="7" t="s">
        <v>198</v>
      </c>
      <c r="D647" s="23">
        <v>4</v>
      </c>
      <c r="E647" s="9">
        <v>0</v>
      </c>
      <c r="F647" s="25">
        <v>0.0475</v>
      </c>
      <c r="G647" s="9">
        <v>0</v>
      </c>
      <c r="H647" s="9">
        <v>0</v>
      </c>
      <c r="I647" s="9">
        <v>0</v>
      </c>
      <c r="J647" s="9">
        <v>0</v>
      </c>
      <c r="K647" s="9">
        <v>0</v>
      </c>
      <c r="L647" s="9">
        <v>0</v>
      </c>
      <c r="M647" s="9">
        <f>E647+K647-I647-J647-L647</f>
        <v>0.0</v>
      </c>
    </row>
    <row r="648" spans="1:13" ht="25" customHeight="1">
      <c r="A648" s="3" t="s">
        <v>78</v>
      </c>
      <c r="B648" s="4" t="s">
        <v>403</v>
      </c>
      <c r="C648" s="4" t="s">
        <v>394</v>
      </c>
      <c r="D648" s="24">
        <v>4</v>
      </c>
      <c r="E648" s="10">
        <v>1061.78450783586</v>
      </c>
      <c r="F648" s="26">
        <v>0.06</v>
      </c>
      <c r="G648" s="10">
        <v>63.70707047015162</v>
      </c>
      <c r="H648" s="10">
        <v>44.46700507614213</v>
      </c>
      <c r="I648" s="10">
        <v>44.46700507614213</v>
      </c>
      <c r="J648" s="10">
        <v>0</v>
      </c>
      <c r="K648" s="10">
        <v>0</v>
      </c>
      <c r="L648" s="10">
        <v>0</v>
      </c>
      <c r="M648" s="10">
        <f>E648+K648-I648-J648-L648</f>
        <v>1017.3175027597181</v>
      </c>
    </row>
    <row r="649" spans="1:13" ht="25" customHeight="1">
      <c r="A649" s="6" t="s">
        <v>78</v>
      </c>
      <c r="B649" s="7" t="s">
        <v>403</v>
      </c>
      <c r="C649" s="7" t="s">
        <v>395</v>
      </c>
      <c r="D649" s="23">
        <v>4</v>
      </c>
      <c r="E649" s="9">
        <v>176.1607513870628</v>
      </c>
      <c r="F649" s="25">
        <v>0.0575</v>
      </c>
      <c r="G649" s="9">
        <v>10.12924320475611</v>
      </c>
      <c r="H649" s="9">
        <v>0</v>
      </c>
      <c r="I649" s="9">
        <v>0</v>
      </c>
      <c r="J649" s="9">
        <v>0</v>
      </c>
      <c r="K649" s="9">
        <v>453.8392486129372</v>
      </c>
      <c r="L649" s="9">
        <v>0</v>
      </c>
      <c r="M649" s="9">
        <f>E649+K649-I649-J649-L649</f>
        <v>630.0</v>
      </c>
    </row>
    <row r="650" spans="1:13" ht="25" customHeight="1">
      <c r="A650" s="3" t="s">
        <v>78</v>
      </c>
      <c r="B650" s="4" t="s">
        <v>403</v>
      </c>
      <c r="C650" s="4" t="s">
        <v>139</v>
      </c>
      <c r="D650" s="24">
        <v>5</v>
      </c>
      <c r="E650" s="10">
        <v>0</v>
      </c>
      <c r="F650" s="26">
        <v>0.038</v>
      </c>
      <c r="G650" s="10">
        <v>0</v>
      </c>
      <c r="H650" s="10">
        <v>0</v>
      </c>
      <c r="I650" s="10">
        <v>0</v>
      </c>
      <c r="J650" s="10">
        <v>0</v>
      </c>
      <c r="K650" s="10">
        <v>0</v>
      </c>
      <c r="L650" s="10">
        <v>0</v>
      </c>
      <c r="M650" s="10">
        <f>E650+K650-I650-J650-L650</f>
        <v>0.0</v>
      </c>
    </row>
    <row r="651" spans="1:13" ht="25" customHeight="1">
      <c r="A651" s="6" t="s">
        <v>78</v>
      </c>
      <c r="B651" s="7" t="s">
        <v>403</v>
      </c>
      <c r="C651" s="7" t="s">
        <v>153</v>
      </c>
      <c r="D651" s="23">
        <v>5</v>
      </c>
      <c r="E651" s="9">
        <v>16</v>
      </c>
      <c r="F651" s="25">
        <v>0.05</v>
      </c>
      <c r="G651" s="9">
        <v>0.8</v>
      </c>
      <c r="H651" s="9">
        <v>16</v>
      </c>
      <c r="I651" s="9">
        <v>16</v>
      </c>
      <c r="J651" s="9">
        <v>0</v>
      </c>
      <c r="K651" s="9">
        <v>0</v>
      </c>
      <c r="L651" s="9">
        <v>0</v>
      </c>
      <c r="M651" s="9">
        <f>E651+K651-I651-J651-L651</f>
        <v>0.0</v>
      </c>
    </row>
    <row r="652" spans="1:13" ht="25" customHeight="1">
      <c r="A652" s="3" t="s">
        <v>78</v>
      </c>
      <c r="B652" s="4" t="s">
        <v>403</v>
      </c>
      <c r="C652" s="4" t="s">
        <v>198</v>
      </c>
      <c r="D652" s="24">
        <v>5</v>
      </c>
      <c r="E652" s="10">
        <v>0</v>
      </c>
      <c r="F652" s="26">
        <v>0.0475</v>
      </c>
      <c r="G652" s="10">
        <v>0</v>
      </c>
      <c r="H652" s="10">
        <v>0</v>
      </c>
      <c r="I652" s="10">
        <v>0</v>
      </c>
      <c r="J652" s="10">
        <v>0</v>
      </c>
      <c r="K652" s="10">
        <v>0</v>
      </c>
      <c r="L652" s="10">
        <v>0</v>
      </c>
      <c r="M652" s="10">
        <f>E652+K652-I652-J652-L652</f>
        <v>0.0</v>
      </c>
    </row>
    <row r="653" spans="1:13" ht="25" customHeight="1">
      <c r="A653" s="6" t="s">
        <v>78</v>
      </c>
      <c r="B653" s="7" t="s">
        <v>403</v>
      </c>
      <c r="C653" s="7" t="s">
        <v>394</v>
      </c>
      <c r="D653" s="23">
        <v>5</v>
      </c>
      <c r="E653" s="9">
        <v>1017.317502759718</v>
      </c>
      <c r="F653" s="25">
        <v>0.06</v>
      </c>
      <c r="G653" s="9">
        <v>61.03905016558309</v>
      </c>
      <c r="H653" s="9">
        <v>1017.317502759718</v>
      </c>
      <c r="I653" s="9">
        <v>821.6787090125304</v>
      </c>
      <c r="J653" s="9">
        <v>0</v>
      </c>
      <c r="K653" s="9">
        <v>0</v>
      </c>
      <c r="L653" s="9">
        <v>0</v>
      </c>
      <c r="M653" s="9">
        <f>E653+K653-I653-J653-L653</f>
        <v>195.63879374718772</v>
      </c>
    </row>
    <row r="654" spans="1:13" ht="25" customHeight="1">
      <c r="A654" s="3" t="s">
        <v>78</v>
      </c>
      <c r="B654" s="4" t="s">
        <v>403</v>
      </c>
      <c r="C654" s="4" t="s">
        <v>395</v>
      </c>
      <c r="D654" s="24">
        <v>5</v>
      </c>
      <c r="E654" s="10">
        <v>630</v>
      </c>
      <c r="F654" s="26">
        <v>0.0575</v>
      </c>
      <c r="G654" s="10">
        <v>36.225</v>
      </c>
      <c r="H654" s="10">
        <v>630</v>
      </c>
      <c r="I654" s="10">
        <v>0</v>
      </c>
      <c r="J654" s="10">
        <v>0</v>
      </c>
      <c r="K654" s="10">
        <v>0</v>
      </c>
      <c r="L654" s="10">
        <v>0</v>
      </c>
      <c r="M654" s="10">
        <f>E654+K654-I654-J654-L654</f>
        <v>630.0</v>
      </c>
    </row>
    <row r="655" spans="1:13" ht="25" customHeight="1">
      <c r="A655" s="6" t="s">
        <v>79</v>
      </c>
      <c r="B655" s="7" t="s">
        <v>403</v>
      </c>
      <c r="C655" s="7" t="s">
        <v>139</v>
      </c>
      <c r="D655" s="23">
        <v>1</v>
      </c>
      <c r="E655" s="9">
        <v>900</v>
      </c>
      <c r="F655" s="25">
        <v>0.038</v>
      </c>
      <c r="G655" s="9">
        <v>34.2</v>
      </c>
      <c r="H655" s="9">
        <v>0</v>
      </c>
      <c r="I655" s="9">
        <v>0</v>
      </c>
      <c r="J655" s="9">
        <v>0</v>
      </c>
      <c r="K655" s="9">
        <v>0</v>
      </c>
      <c r="L655" s="9">
        <v>0</v>
      </c>
      <c r="M655" s="9">
        <f>E655+K655-I655-J655-L655</f>
        <v>900.0</v>
      </c>
    </row>
    <row r="656" spans="1:13" ht="25" customHeight="1">
      <c r="A656" s="3" t="s">
        <v>79</v>
      </c>
      <c r="B656" s="4" t="s">
        <v>403</v>
      </c>
      <c r="C656" s="4" t="s">
        <v>153</v>
      </c>
      <c r="D656" s="24">
        <v>1</v>
      </c>
      <c r="E656" s="10">
        <v>80</v>
      </c>
      <c r="F656" s="26">
        <v>0.05</v>
      </c>
      <c r="G656" s="10">
        <v>4</v>
      </c>
      <c r="H656" s="10">
        <v>16</v>
      </c>
      <c r="I656" s="10">
        <v>16</v>
      </c>
      <c r="J656" s="10">
        <v>0</v>
      </c>
      <c r="K656" s="10">
        <v>0</v>
      </c>
      <c r="L656" s="10">
        <v>0</v>
      </c>
      <c r="M656" s="10">
        <f>E656+K656-I656-J656-L656</f>
        <v>64.0</v>
      </c>
    </row>
    <row r="657" spans="1:13" ht="25" customHeight="1">
      <c r="A657" s="6" t="s">
        <v>79</v>
      </c>
      <c r="B657" s="7" t="s">
        <v>403</v>
      </c>
      <c r="C657" s="7" t="s">
        <v>198</v>
      </c>
      <c r="D657" s="23">
        <v>1</v>
      </c>
      <c r="E657" s="9">
        <v>350</v>
      </c>
      <c r="F657" s="25">
        <v>0.0475</v>
      </c>
      <c r="G657" s="9">
        <v>16.625</v>
      </c>
      <c r="H657" s="9">
        <v>0</v>
      </c>
      <c r="I657" s="9">
        <v>0</v>
      </c>
      <c r="J657" s="9">
        <v>0</v>
      </c>
      <c r="K657" s="9">
        <v>0</v>
      </c>
      <c r="L657" s="9">
        <v>0</v>
      </c>
      <c r="M657" s="9">
        <f>E657+K657-I657-J657-L657</f>
        <v>350.0</v>
      </c>
    </row>
    <row r="658" spans="1:13" ht="25" customHeight="1">
      <c r="A658" s="3" t="s">
        <v>79</v>
      </c>
      <c r="B658" s="4" t="s">
        <v>403</v>
      </c>
      <c r="C658" s="4" t="s">
        <v>394</v>
      </c>
      <c r="D658" s="24">
        <v>1</v>
      </c>
      <c r="E658" s="10">
        <v>304.5685279187817</v>
      </c>
      <c r="F658" s="26">
        <v>0.065</v>
      </c>
      <c r="G658" s="10">
        <v>19.79695431472081</v>
      </c>
      <c r="H658" s="10">
        <v>6.091370558375635</v>
      </c>
      <c r="I658" s="10">
        <v>6.091370558375635</v>
      </c>
      <c r="J658" s="10">
        <v>214.3331054864054</v>
      </c>
      <c r="K658" s="10">
        <v>0</v>
      </c>
      <c r="L658" s="10">
        <v>0</v>
      </c>
      <c r="M658" s="10">
        <f>E658+K658-I658-J658-L658</f>
        <v>84.1440518740007</v>
      </c>
    </row>
    <row r="659" spans="1:13" ht="25" customHeight="1">
      <c r="A659" s="6" t="s">
        <v>79</v>
      </c>
      <c r="B659" s="7" t="s">
        <v>403</v>
      </c>
      <c r="C659" s="7" t="s">
        <v>395</v>
      </c>
      <c r="D659" s="23">
        <v>1</v>
      </c>
      <c r="E659" s="9">
        <v>0</v>
      </c>
      <c r="F659" s="25">
        <v>0.0625</v>
      </c>
      <c r="G659" s="9">
        <v>0</v>
      </c>
      <c r="H659" s="9">
        <v>0</v>
      </c>
      <c r="I659" s="9">
        <v>0</v>
      </c>
      <c r="J659" s="9">
        <v>0</v>
      </c>
      <c r="K659" s="9">
        <v>0</v>
      </c>
      <c r="L659" s="9">
        <v>0</v>
      </c>
      <c r="M659" s="9">
        <f>E659+K659-I659-J659-L659</f>
        <v>0.0</v>
      </c>
    </row>
    <row r="660" spans="1:13" ht="25" customHeight="1">
      <c r="A660" s="3" t="s">
        <v>79</v>
      </c>
      <c r="B660" s="4" t="s">
        <v>403</v>
      </c>
      <c r="C660" s="4" t="s">
        <v>139</v>
      </c>
      <c r="D660" s="24">
        <v>2</v>
      </c>
      <c r="E660" s="10">
        <v>900</v>
      </c>
      <c r="F660" s="26">
        <v>0.038</v>
      </c>
      <c r="G660" s="10">
        <v>34.2</v>
      </c>
      <c r="H660" s="10">
        <v>0</v>
      </c>
      <c r="I660" s="10">
        <v>0</v>
      </c>
      <c r="J660" s="10">
        <v>0</v>
      </c>
      <c r="K660" s="10">
        <v>0</v>
      </c>
      <c r="L660" s="10">
        <v>0</v>
      </c>
      <c r="M660" s="10">
        <f>E660+K660-I660-J660-L660</f>
        <v>900.0</v>
      </c>
    </row>
    <row r="661" spans="1:13" ht="25" customHeight="1">
      <c r="A661" s="6" t="s">
        <v>79</v>
      </c>
      <c r="B661" s="7" t="s">
        <v>403</v>
      </c>
      <c r="C661" s="7" t="s">
        <v>153</v>
      </c>
      <c r="D661" s="23">
        <v>2</v>
      </c>
      <c r="E661" s="9">
        <v>64</v>
      </c>
      <c r="F661" s="25">
        <v>0.05</v>
      </c>
      <c r="G661" s="9">
        <v>3.2</v>
      </c>
      <c r="H661" s="9">
        <v>16</v>
      </c>
      <c r="I661" s="9">
        <v>16</v>
      </c>
      <c r="J661" s="9">
        <v>48</v>
      </c>
      <c r="K661" s="9">
        <v>0</v>
      </c>
      <c r="L661" s="9">
        <v>0</v>
      </c>
      <c r="M661" s="9">
        <f>E661+K661-I661-J661-L661</f>
        <v>0.0</v>
      </c>
    </row>
    <row r="662" spans="1:13" ht="25" customHeight="1">
      <c r="A662" s="3" t="s">
        <v>79</v>
      </c>
      <c r="B662" s="4" t="s">
        <v>403</v>
      </c>
      <c r="C662" s="4" t="s">
        <v>198</v>
      </c>
      <c r="D662" s="24">
        <v>2</v>
      </c>
      <c r="E662" s="10">
        <v>350</v>
      </c>
      <c r="F662" s="26">
        <v>0.0475</v>
      </c>
      <c r="G662" s="10">
        <v>16.625</v>
      </c>
      <c r="H662" s="10">
        <v>0</v>
      </c>
      <c r="I662" s="10">
        <v>0</v>
      </c>
      <c r="J662" s="10">
        <v>41.61718156769287</v>
      </c>
      <c r="K662" s="10">
        <v>0</v>
      </c>
      <c r="L662" s="10">
        <v>0</v>
      </c>
      <c r="M662" s="10">
        <f>E662+K662-I662-J662-L662</f>
        <v>308.38281843230715</v>
      </c>
    </row>
    <row r="663" spans="1:13" ht="25" customHeight="1">
      <c r="A663" s="6" t="s">
        <v>79</v>
      </c>
      <c r="B663" s="7" t="s">
        <v>403</v>
      </c>
      <c r="C663" s="7" t="s">
        <v>394</v>
      </c>
      <c r="D663" s="23">
        <v>2</v>
      </c>
      <c r="E663" s="9">
        <v>84.1440518740007</v>
      </c>
      <c r="F663" s="25">
        <v>0.0625</v>
      </c>
      <c r="G663" s="9">
        <v>5.259003242125043</v>
      </c>
      <c r="H663" s="9">
        <v>6.091370558375635</v>
      </c>
      <c r="I663" s="9">
        <v>6.091370558375635</v>
      </c>
      <c r="J663" s="9">
        <v>78.05268131562507</v>
      </c>
      <c r="K663" s="9">
        <v>0</v>
      </c>
      <c r="L663" s="9">
        <v>0</v>
      </c>
      <c r="M663" s="9">
        <f>E663+K663-I663-J663-L663</f>
        <v>0.0</v>
      </c>
    </row>
    <row r="664" spans="1:13" ht="25" customHeight="1">
      <c r="A664" s="3" t="s">
        <v>79</v>
      </c>
      <c r="B664" s="4" t="s">
        <v>403</v>
      </c>
      <c r="C664" s="4" t="s">
        <v>395</v>
      </c>
      <c r="D664" s="24">
        <v>2</v>
      </c>
      <c r="E664" s="10">
        <v>0</v>
      </c>
      <c r="F664" s="26">
        <v>0.06</v>
      </c>
      <c r="G664" s="10">
        <v>0</v>
      </c>
      <c r="H664" s="10">
        <v>0</v>
      </c>
      <c r="I664" s="10">
        <v>0</v>
      </c>
      <c r="J664" s="10">
        <v>0</v>
      </c>
      <c r="K664" s="10">
        <v>0</v>
      </c>
      <c r="L664" s="10">
        <v>0</v>
      </c>
      <c r="M664" s="10">
        <f>E664+K664-I664-J664-L664</f>
        <v>0.0</v>
      </c>
    </row>
    <row r="665" spans="1:13" ht="25" customHeight="1">
      <c r="A665" s="6" t="s">
        <v>79</v>
      </c>
      <c r="B665" s="7" t="s">
        <v>403</v>
      </c>
      <c r="C665" s="7" t="s">
        <v>139</v>
      </c>
      <c r="D665" s="23">
        <v>3</v>
      </c>
      <c r="E665" s="9">
        <v>900</v>
      </c>
      <c r="F665" s="25">
        <v>0.038</v>
      </c>
      <c r="G665" s="9">
        <v>34.2</v>
      </c>
      <c r="H665" s="9">
        <v>0</v>
      </c>
      <c r="I665" s="9">
        <v>0</v>
      </c>
      <c r="J665" s="9">
        <v>0</v>
      </c>
      <c r="K665" s="9">
        <v>0</v>
      </c>
      <c r="L665" s="9">
        <v>0</v>
      </c>
      <c r="M665" s="9">
        <f>E665+K665-I665-J665-L665</f>
        <v>900.0</v>
      </c>
    </row>
    <row r="666" spans="1:13" ht="25" customHeight="1">
      <c r="A666" s="3" t="s">
        <v>79</v>
      </c>
      <c r="B666" s="4" t="s">
        <v>403</v>
      </c>
      <c r="C666" s="4" t="s">
        <v>153</v>
      </c>
      <c r="D666" s="24">
        <v>3</v>
      </c>
      <c r="E666" s="10">
        <v>0</v>
      </c>
      <c r="F666" s="26">
        <v>0.05</v>
      </c>
      <c r="G666" s="10">
        <v>0</v>
      </c>
      <c r="H666" s="10">
        <v>0</v>
      </c>
      <c r="I666" s="10">
        <v>0</v>
      </c>
      <c r="J666" s="10">
        <v>0</v>
      </c>
      <c r="K666" s="10">
        <v>0</v>
      </c>
      <c r="L666" s="10">
        <v>0</v>
      </c>
      <c r="M666" s="10">
        <f>E666+K666-I666-J666-L666</f>
        <v>0.0</v>
      </c>
    </row>
    <row r="667" spans="1:13" ht="25" customHeight="1">
      <c r="A667" s="6" t="s">
        <v>79</v>
      </c>
      <c r="B667" s="7" t="s">
        <v>403</v>
      </c>
      <c r="C667" s="7" t="s">
        <v>198</v>
      </c>
      <c r="D667" s="23">
        <v>3</v>
      </c>
      <c r="E667" s="9">
        <v>308.3828184323071</v>
      </c>
      <c r="F667" s="25">
        <v>0.0475</v>
      </c>
      <c r="G667" s="9">
        <v>14.64818387553459</v>
      </c>
      <c r="H667" s="9">
        <v>308.3828184323071</v>
      </c>
      <c r="I667" s="9">
        <v>308.3828184323071</v>
      </c>
      <c r="J667" s="9">
        <v>0</v>
      </c>
      <c r="K667" s="9">
        <v>0</v>
      </c>
      <c r="L667" s="9">
        <v>0</v>
      </c>
      <c r="M667" s="9">
        <f>E667+K667-I667-J667-L667</f>
        <v>0.0</v>
      </c>
    </row>
    <row r="668" spans="1:13" ht="25" customHeight="1">
      <c r="A668" s="3" t="s">
        <v>79</v>
      </c>
      <c r="B668" s="4" t="s">
        <v>403</v>
      </c>
      <c r="C668" s="4" t="s">
        <v>394</v>
      </c>
      <c r="D668" s="24">
        <v>3</v>
      </c>
      <c r="E668" s="10">
        <v>0</v>
      </c>
      <c r="F668" s="26">
        <v>0.06</v>
      </c>
      <c r="G668" s="10">
        <v>0</v>
      </c>
      <c r="H668" s="10">
        <v>0</v>
      </c>
      <c r="I668" s="10">
        <v>0</v>
      </c>
      <c r="J668" s="10">
        <v>0</v>
      </c>
      <c r="K668" s="10">
        <v>0</v>
      </c>
      <c r="L668" s="10">
        <v>0</v>
      </c>
      <c r="M668" s="10">
        <f>E668+K668-I668-J668-L668</f>
        <v>0.0</v>
      </c>
    </row>
    <row r="669" spans="1:13" ht="25" customHeight="1">
      <c r="A669" s="6" t="s">
        <v>79</v>
      </c>
      <c r="B669" s="7" t="s">
        <v>403</v>
      </c>
      <c r="C669" s="7" t="s">
        <v>395</v>
      </c>
      <c r="D669" s="23">
        <v>3</v>
      </c>
      <c r="E669" s="9">
        <v>0</v>
      </c>
      <c r="F669" s="25">
        <v>0.0575</v>
      </c>
      <c r="G669" s="9">
        <v>0</v>
      </c>
      <c r="H669" s="9">
        <v>0</v>
      </c>
      <c r="I669" s="9">
        <v>0</v>
      </c>
      <c r="J669" s="9">
        <v>0</v>
      </c>
      <c r="K669" s="9">
        <v>21.01263456883839</v>
      </c>
      <c r="L669" s="9">
        <v>0</v>
      </c>
      <c r="M669" s="9">
        <f>E669+K669-I669-J669-L669</f>
        <v>21.012634568838394</v>
      </c>
    </row>
    <row r="670" spans="1:13" ht="25" customHeight="1">
      <c r="A670" s="3" t="s">
        <v>79</v>
      </c>
      <c r="B670" s="4" t="s">
        <v>403</v>
      </c>
      <c r="C670" s="4" t="s">
        <v>139</v>
      </c>
      <c r="D670" s="24">
        <v>4</v>
      </c>
      <c r="E670" s="10">
        <v>900</v>
      </c>
      <c r="F670" s="26">
        <v>0.038</v>
      </c>
      <c r="G670" s="10">
        <v>34.2</v>
      </c>
      <c r="H670" s="10">
        <v>900</v>
      </c>
      <c r="I670" s="10">
        <v>900</v>
      </c>
      <c r="J670" s="10">
        <v>0</v>
      </c>
      <c r="K670" s="10">
        <v>0</v>
      </c>
      <c r="L670" s="10">
        <v>0</v>
      </c>
      <c r="M670" s="10">
        <f>E670+K670-I670-J670-L670</f>
        <v>0.0</v>
      </c>
    </row>
    <row r="671" spans="1:13" ht="25" customHeight="1">
      <c r="A671" s="6" t="s">
        <v>79</v>
      </c>
      <c r="B671" s="7" t="s">
        <v>403</v>
      </c>
      <c r="C671" s="7" t="s">
        <v>153</v>
      </c>
      <c r="D671" s="23">
        <v>4</v>
      </c>
      <c r="E671" s="9">
        <v>0</v>
      </c>
      <c r="F671" s="25">
        <v>0.05</v>
      </c>
      <c r="G671" s="9">
        <v>0</v>
      </c>
      <c r="H671" s="9">
        <v>0</v>
      </c>
      <c r="I671" s="9">
        <v>0</v>
      </c>
      <c r="J671" s="9">
        <v>0</v>
      </c>
      <c r="K671" s="9">
        <v>0</v>
      </c>
      <c r="L671" s="9">
        <v>0</v>
      </c>
      <c r="M671" s="9">
        <f>E671+K671-I671-J671-L671</f>
        <v>0.0</v>
      </c>
    </row>
    <row r="672" spans="1:13" ht="25" customHeight="1">
      <c r="A672" s="3" t="s">
        <v>79</v>
      </c>
      <c r="B672" s="4" t="s">
        <v>403</v>
      </c>
      <c r="C672" s="4" t="s">
        <v>198</v>
      </c>
      <c r="D672" s="24">
        <v>4</v>
      </c>
      <c r="E672" s="10">
        <v>0</v>
      </c>
      <c r="F672" s="26">
        <v>0.0475</v>
      </c>
      <c r="G672" s="10">
        <v>0</v>
      </c>
      <c r="H672" s="10">
        <v>0</v>
      </c>
      <c r="I672" s="10">
        <v>0</v>
      </c>
      <c r="J672" s="10">
        <v>0</v>
      </c>
      <c r="K672" s="10">
        <v>0</v>
      </c>
      <c r="L672" s="10">
        <v>0</v>
      </c>
      <c r="M672" s="10">
        <f>E672+K672-I672-J672-L672</f>
        <v>0.0</v>
      </c>
    </row>
    <row r="673" spans="1:13" ht="25" customHeight="1">
      <c r="A673" s="6" t="s">
        <v>79</v>
      </c>
      <c r="B673" s="7" t="s">
        <v>403</v>
      </c>
      <c r="C673" s="7" t="s">
        <v>394</v>
      </c>
      <c r="D673" s="23">
        <v>4</v>
      </c>
      <c r="E673" s="9">
        <v>0</v>
      </c>
      <c r="F673" s="25">
        <v>0.06</v>
      </c>
      <c r="G673" s="9">
        <v>0</v>
      </c>
      <c r="H673" s="9">
        <v>0</v>
      </c>
      <c r="I673" s="9">
        <v>0</v>
      </c>
      <c r="J673" s="9">
        <v>0</v>
      </c>
      <c r="K673" s="9">
        <v>0</v>
      </c>
      <c r="L673" s="9">
        <v>0</v>
      </c>
      <c r="M673" s="9">
        <f>E673+K673-I673-J673-L673</f>
        <v>0.0</v>
      </c>
    </row>
    <row r="674" spans="1:13" ht="25" customHeight="1">
      <c r="A674" s="3" t="s">
        <v>79</v>
      </c>
      <c r="B674" s="4" t="s">
        <v>403</v>
      </c>
      <c r="C674" s="4" t="s">
        <v>395</v>
      </c>
      <c r="D674" s="24">
        <v>4</v>
      </c>
      <c r="E674" s="10">
        <v>21.01263456883839</v>
      </c>
      <c r="F674" s="26">
        <v>0.0575</v>
      </c>
      <c r="G674" s="10">
        <v>1.208226487708208</v>
      </c>
      <c r="H674" s="10">
        <v>0</v>
      </c>
      <c r="I674" s="10">
        <v>0</v>
      </c>
      <c r="J674" s="10">
        <v>0</v>
      </c>
      <c r="K674" s="10">
        <v>562.0921804514082</v>
      </c>
      <c r="L674" s="10">
        <v>0</v>
      </c>
      <c r="M674" s="10">
        <f>E674+K674-I674-J674-L674</f>
        <v>583.1048150202466</v>
      </c>
    </row>
    <row r="675" spans="1:13" ht="25" customHeight="1">
      <c r="A675" s="6" t="s">
        <v>79</v>
      </c>
      <c r="B675" s="7" t="s">
        <v>403</v>
      </c>
      <c r="C675" s="7" t="s">
        <v>139</v>
      </c>
      <c r="D675" s="23">
        <v>5</v>
      </c>
      <c r="E675" s="9">
        <v>0</v>
      </c>
      <c r="F675" s="25">
        <v>0.038</v>
      </c>
      <c r="G675" s="9">
        <v>0</v>
      </c>
      <c r="H675" s="9">
        <v>0</v>
      </c>
      <c r="I675" s="9">
        <v>0</v>
      </c>
      <c r="J675" s="9">
        <v>0</v>
      </c>
      <c r="K675" s="9">
        <v>0</v>
      </c>
      <c r="L675" s="9">
        <v>0</v>
      </c>
      <c r="M675" s="9">
        <f>E675+K675-I675-J675-L675</f>
        <v>0.0</v>
      </c>
    </row>
    <row r="676" spans="1:13" ht="25" customHeight="1">
      <c r="A676" s="3" t="s">
        <v>79</v>
      </c>
      <c r="B676" s="4" t="s">
        <v>403</v>
      </c>
      <c r="C676" s="4" t="s">
        <v>153</v>
      </c>
      <c r="D676" s="24">
        <v>5</v>
      </c>
      <c r="E676" s="10">
        <v>0</v>
      </c>
      <c r="F676" s="26">
        <v>0.05</v>
      </c>
      <c r="G676" s="10">
        <v>0</v>
      </c>
      <c r="H676" s="10">
        <v>0</v>
      </c>
      <c r="I676" s="10">
        <v>0</v>
      </c>
      <c r="J676" s="10">
        <v>0</v>
      </c>
      <c r="K676" s="10">
        <v>0</v>
      </c>
      <c r="L676" s="10">
        <v>0</v>
      </c>
      <c r="M676" s="10">
        <f>E676+K676-I676-J676-L676</f>
        <v>0.0</v>
      </c>
    </row>
    <row r="677" spans="1:13" ht="25" customHeight="1">
      <c r="A677" s="6" t="s">
        <v>79</v>
      </c>
      <c r="B677" s="7" t="s">
        <v>403</v>
      </c>
      <c r="C677" s="7" t="s">
        <v>198</v>
      </c>
      <c r="D677" s="23">
        <v>5</v>
      </c>
      <c r="E677" s="9">
        <v>0</v>
      </c>
      <c r="F677" s="25">
        <v>0.0475</v>
      </c>
      <c r="G677" s="9">
        <v>0</v>
      </c>
      <c r="H677" s="9">
        <v>0</v>
      </c>
      <c r="I677" s="9">
        <v>0</v>
      </c>
      <c r="J677" s="9">
        <v>0</v>
      </c>
      <c r="K677" s="9">
        <v>0</v>
      </c>
      <c r="L677" s="9">
        <v>0</v>
      </c>
      <c r="M677" s="9">
        <f>E677+K677-I677-J677-L677</f>
        <v>0.0</v>
      </c>
    </row>
    <row r="678" spans="1:13" ht="25" customHeight="1">
      <c r="A678" s="3" t="s">
        <v>79</v>
      </c>
      <c r="B678" s="4" t="s">
        <v>403</v>
      </c>
      <c r="C678" s="4" t="s">
        <v>394</v>
      </c>
      <c r="D678" s="24">
        <v>5</v>
      </c>
      <c r="E678" s="10">
        <v>0</v>
      </c>
      <c r="F678" s="26">
        <v>0.06</v>
      </c>
      <c r="G678" s="10">
        <v>0</v>
      </c>
      <c r="H678" s="10">
        <v>0</v>
      </c>
      <c r="I678" s="10">
        <v>0</v>
      </c>
      <c r="J678" s="10">
        <v>0</v>
      </c>
      <c r="K678" s="10">
        <v>0</v>
      </c>
      <c r="L678" s="10">
        <v>0</v>
      </c>
      <c r="M678" s="10">
        <f>E678+K678-I678-J678-L678</f>
        <v>0.0</v>
      </c>
    </row>
    <row r="679" spans="1:13" ht="25" customHeight="1">
      <c r="A679" s="6" t="s">
        <v>79</v>
      </c>
      <c r="B679" s="7" t="s">
        <v>403</v>
      </c>
      <c r="C679" s="7" t="s">
        <v>395</v>
      </c>
      <c r="D679" s="23">
        <v>5</v>
      </c>
      <c r="E679" s="9">
        <v>583.1048150202466</v>
      </c>
      <c r="F679" s="25">
        <v>0.0575</v>
      </c>
      <c r="G679" s="9">
        <v>33.52852686366418</v>
      </c>
      <c r="H679" s="9">
        <v>583.1048150202466</v>
      </c>
      <c r="I679" s="9">
        <v>583.1048150202466</v>
      </c>
      <c r="J679" s="9">
        <v>0</v>
      </c>
      <c r="K679" s="9">
        <v>0</v>
      </c>
      <c r="L679" s="9">
        <v>0</v>
      </c>
      <c r="M679" s="9">
        <f>E679+K679-I679-J679-L679</f>
        <v>0.0</v>
      </c>
    </row>
    <row r="680" spans="1:13" ht="25" customHeight="1">
      <c r="A680" s="3" t="s">
        <v>68</v>
      </c>
      <c r="B680" s="4" t="s">
        <v>404</v>
      </c>
      <c r="C680" s="4" t="s">
        <v>139</v>
      </c>
      <c r="D680" s="24">
        <v>1</v>
      </c>
      <c r="E680" s="10">
        <v>900</v>
      </c>
      <c r="F680" s="26">
        <v>0.038</v>
      </c>
      <c r="G680" s="10">
        <v>34.2</v>
      </c>
      <c r="H680" s="10">
        <v>0</v>
      </c>
      <c r="I680" s="10">
        <v>0</v>
      </c>
      <c r="J680" s="10">
        <v>0</v>
      </c>
      <c r="K680" s="10">
        <v>0</v>
      </c>
      <c r="L680" s="10">
        <v>0</v>
      </c>
      <c r="M680" s="10">
        <f>E680+K680-I680-J680-L680</f>
        <v>900.0</v>
      </c>
    </row>
    <row r="681" spans="1:13" ht="25" customHeight="1">
      <c r="A681" s="6" t="s">
        <v>68</v>
      </c>
      <c r="B681" s="7" t="s">
        <v>404</v>
      </c>
      <c r="C681" s="7" t="s">
        <v>153</v>
      </c>
      <c r="D681" s="23">
        <v>1</v>
      </c>
      <c r="E681" s="9">
        <v>80</v>
      </c>
      <c r="F681" s="25">
        <v>0.05</v>
      </c>
      <c r="G681" s="9">
        <v>4</v>
      </c>
      <c r="H681" s="9">
        <v>16</v>
      </c>
      <c r="I681" s="9">
        <v>16</v>
      </c>
      <c r="J681" s="9">
        <v>0</v>
      </c>
      <c r="K681" s="9">
        <v>0</v>
      </c>
      <c r="L681" s="9">
        <v>0</v>
      </c>
      <c r="M681" s="9">
        <f>E681+K681-I681-J681-L681</f>
        <v>64.0</v>
      </c>
    </row>
    <row r="682" spans="1:13" ht="25" customHeight="1">
      <c r="A682" s="3" t="s">
        <v>68</v>
      </c>
      <c r="B682" s="4" t="s">
        <v>404</v>
      </c>
      <c r="C682" s="4" t="s">
        <v>198</v>
      </c>
      <c r="D682" s="24">
        <v>1</v>
      </c>
      <c r="E682" s="10">
        <v>350</v>
      </c>
      <c r="F682" s="26">
        <v>0.0475</v>
      </c>
      <c r="G682" s="10">
        <v>16.625</v>
      </c>
      <c r="H682" s="10">
        <v>0</v>
      </c>
      <c r="I682" s="10">
        <v>0</v>
      </c>
      <c r="J682" s="10">
        <v>0</v>
      </c>
      <c r="K682" s="10">
        <v>0</v>
      </c>
      <c r="L682" s="10">
        <v>0</v>
      </c>
      <c r="M682" s="10">
        <f>E682+K682-I682-J682-L682</f>
        <v>350.0</v>
      </c>
    </row>
    <row r="683" spans="1:13" ht="25" customHeight="1">
      <c r="A683" s="6" t="s">
        <v>68</v>
      </c>
      <c r="B683" s="7" t="s">
        <v>404</v>
      </c>
      <c r="C683" s="7" t="s">
        <v>394</v>
      </c>
      <c r="D683" s="23">
        <v>1</v>
      </c>
      <c r="E683" s="9">
        <v>1340.10152284264</v>
      </c>
      <c r="F683" s="25">
        <v>0.065</v>
      </c>
      <c r="G683" s="9">
        <v>87.10659898477158</v>
      </c>
      <c r="H683" s="9">
        <v>26.80203045685279</v>
      </c>
      <c r="I683" s="9">
        <v>26.80203045685279</v>
      </c>
      <c r="J683" s="9">
        <v>0</v>
      </c>
      <c r="K683" s="9">
        <v>0</v>
      </c>
      <c r="L683" s="9">
        <v>0</v>
      </c>
      <c r="M683" s="9">
        <f>E683+K683-I683-J683-L683</f>
        <v>1313.2994923857868</v>
      </c>
    </row>
    <row r="684" spans="1:13" ht="25" customHeight="1">
      <c r="A684" s="3" t="s">
        <v>68</v>
      </c>
      <c r="B684" s="4" t="s">
        <v>404</v>
      </c>
      <c r="C684" s="4" t="s">
        <v>395</v>
      </c>
      <c r="D684" s="24">
        <v>1</v>
      </c>
      <c r="E684" s="10">
        <v>0</v>
      </c>
      <c r="F684" s="26">
        <v>0.0625</v>
      </c>
      <c r="G684" s="10">
        <v>0</v>
      </c>
      <c r="H684" s="10">
        <v>0</v>
      </c>
      <c r="I684" s="10">
        <v>0</v>
      </c>
      <c r="J684" s="10">
        <v>0</v>
      </c>
      <c r="K684" s="10">
        <v>25.77487353104755</v>
      </c>
      <c r="L684" s="10">
        <v>0</v>
      </c>
      <c r="M684" s="10">
        <f>E684+K684-I684-J684-L684</f>
        <v>25.774873531047547</v>
      </c>
    </row>
    <row r="685" spans="1:13" ht="25" customHeight="1">
      <c r="A685" s="6" t="s">
        <v>68</v>
      </c>
      <c r="B685" s="7" t="s">
        <v>404</v>
      </c>
      <c r="C685" s="7" t="s">
        <v>139</v>
      </c>
      <c r="D685" s="23">
        <v>2</v>
      </c>
      <c r="E685" s="9">
        <v>900</v>
      </c>
      <c r="F685" s="25">
        <v>0.038</v>
      </c>
      <c r="G685" s="9">
        <v>34.2</v>
      </c>
      <c r="H685" s="9">
        <v>0</v>
      </c>
      <c r="I685" s="9">
        <v>0</v>
      </c>
      <c r="J685" s="9">
        <v>0</v>
      </c>
      <c r="K685" s="9">
        <v>0</v>
      </c>
      <c r="L685" s="9">
        <v>0</v>
      </c>
      <c r="M685" s="9">
        <f>E685+K685-I685-J685-L685</f>
        <v>900.0</v>
      </c>
    </row>
    <row r="686" spans="1:13" ht="25" customHeight="1">
      <c r="A686" s="3" t="s">
        <v>68</v>
      </c>
      <c r="B686" s="4" t="s">
        <v>404</v>
      </c>
      <c r="C686" s="4" t="s">
        <v>153</v>
      </c>
      <c r="D686" s="24">
        <v>2</v>
      </c>
      <c r="E686" s="10">
        <v>64</v>
      </c>
      <c r="F686" s="26">
        <v>0.05</v>
      </c>
      <c r="G686" s="10">
        <v>3.2</v>
      </c>
      <c r="H686" s="10">
        <v>16</v>
      </c>
      <c r="I686" s="10">
        <v>16</v>
      </c>
      <c r="J686" s="10">
        <v>0</v>
      </c>
      <c r="K686" s="10">
        <v>0</v>
      </c>
      <c r="L686" s="10">
        <v>0</v>
      </c>
      <c r="M686" s="10">
        <f>E686+K686-I686-J686-L686</f>
        <v>48.0</v>
      </c>
    </row>
    <row r="687" spans="1:13" ht="25" customHeight="1">
      <c r="A687" s="6" t="s">
        <v>68</v>
      </c>
      <c r="B687" s="7" t="s">
        <v>404</v>
      </c>
      <c r="C687" s="7" t="s">
        <v>198</v>
      </c>
      <c r="D687" s="23">
        <v>2</v>
      </c>
      <c r="E687" s="9">
        <v>350</v>
      </c>
      <c r="F687" s="25">
        <v>0.0475</v>
      </c>
      <c r="G687" s="9">
        <v>16.625</v>
      </c>
      <c r="H687" s="9">
        <v>0</v>
      </c>
      <c r="I687" s="9">
        <v>0</v>
      </c>
      <c r="J687" s="9">
        <v>0</v>
      </c>
      <c r="K687" s="9">
        <v>0</v>
      </c>
      <c r="L687" s="9">
        <v>0</v>
      </c>
      <c r="M687" s="9">
        <f>E687+K687-I687-J687-L687</f>
        <v>350.0</v>
      </c>
    </row>
    <row r="688" spans="1:13" ht="25" customHeight="1">
      <c r="A688" s="3" t="s">
        <v>68</v>
      </c>
      <c r="B688" s="4" t="s">
        <v>404</v>
      </c>
      <c r="C688" s="4" t="s">
        <v>394</v>
      </c>
      <c r="D688" s="24">
        <v>2</v>
      </c>
      <c r="E688" s="10">
        <v>1313.299492385787</v>
      </c>
      <c r="F688" s="26">
        <v>0.0625</v>
      </c>
      <c r="G688" s="10">
        <v>82.08121827411168</v>
      </c>
      <c r="H688" s="10">
        <v>26.80203045685279</v>
      </c>
      <c r="I688" s="10">
        <v>26.80203045685279</v>
      </c>
      <c r="J688" s="10">
        <v>51.98367173049439</v>
      </c>
      <c r="K688" s="10">
        <v>0</v>
      </c>
      <c r="L688" s="10">
        <v>0</v>
      </c>
      <c r="M688" s="10">
        <f>E688+K688-I688-J688-L688</f>
        <v>1234.5137901984394</v>
      </c>
    </row>
    <row r="689" spans="1:13" ht="25" customHeight="1">
      <c r="A689" s="6" t="s">
        <v>68</v>
      </c>
      <c r="B689" s="7" t="s">
        <v>404</v>
      </c>
      <c r="C689" s="7" t="s">
        <v>395</v>
      </c>
      <c r="D689" s="23">
        <v>2</v>
      </c>
      <c r="E689" s="9">
        <v>25.77487353104755</v>
      </c>
      <c r="F689" s="25">
        <v>0.06</v>
      </c>
      <c r="G689" s="9">
        <v>1.546492411862853</v>
      </c>
      <c r="H689" s="9">
        <v>0</v>
      </c>
      <c r="I689" s="9">
        <v>0</v>
      </c>
      <c r="J689" s="9">
        <v>25.77487353104755</v>
      </c>
      <c r="K689" s="9">
        <v>0</v>
      </c>
      <c r="L689" s="9">
        <v>0</v>
      </c>
      <c r="M689" s="9">
        <f>E689+K689-I689-J689-L689</f>
        <v>0.0</v>
      </c>
    </row>
    <row r="690" spans="1:13" ht="25" customHeight="1">
      <c r="A690" s="3" t="s">
        <v>68</v>
      </c>
      <c r="B690" s="4" t="s">
        <v>404</v>
      </c>
      <c r="C690" s="4" t="s">
        <v>139</v>
      </c>
      <c r="D690" s="24">
        <v>3</v>
      </c>
      <c r="E690" s="10">
        <v>900</v>
      </c>
      <c r="F690" s="26">
        <v>0.038</v>
      </c>
      <c r="G690" s="10">
        <v>34.2</v>
      </c>
      <c r="H690" s="10">
        <v>0</v>
      </c>
      <c r="I690" s="10">
        <v>0</v>
      </c>
      <c r="J690" s="10">
        <v>0</v>
      </c>
      <c r="K690" s="10">
        <v>0</v>
      </c>
      <c r="L690" s="10">
        <v>0</v>
      </c>
      <c r="M690" s="10">
        <f>E690+K690-I690-J690-L690</f>
        <v>900.0</v>
      </c>
    </row>
    <row r="691" spans="1:13" ht="25" customHeight="1">
      <c r="A691" s="6" t="s">
        <v>68</v>
      </c>
      <c r="B691" s="7" t="s">
        <v>404</v>
      </c>
      <c r="C691" s="7" t="s">
        <v>153</v>
      </c>
      <c r="D691" s="23">
        <v>3</v>
      </c>
      <c r="E691" s="9">
        <v>48</v>
      </c>
      <c r="F691" s="25">
        <v>0.05</v>
      </c>
      <c r="G691" s="9">
        <v>2.4</v>
      </c>
      <c r="H691" s="9">
        <v>16</v>
      </c>
      <c r="I691" s="9">
        <v>16</v>
      </c>
      <c r="J691" s="9">
        <v>0</v>
      </c>
      <c r="K691" s="9">
        <v>0</v>
      </c>
      <c r="L691" s="9">
        <v>0</v>
      </c>
      <c r="M691" s="9">
        <f>E691+K691-I691-J691-L691</f>
        <v>32.0</v>
      </c>
    </row>
    <row r="692" spans="1:13" ht="25" customHeight="1">
      <c r="A692" s="3" t="s">
        <v>68</v>
      </c>
      <c r="B692" s="4" t="s">
        <v>404</v>
      </c>
      <c r="C692" s="4" t="s">
        <v>198</v>
      </c>
      <c r="D692" s="24">
        <v>3</v>
      </c>
      <c r="E692" s="10">
        <v>350</v>
      </c>
      <c r="F692" s="26">
        <v>0.0475</v>
      </c>
      <c r="G692" s="10">
        <v>16.625</v>
      </c>
      <c r="H692" s="10">
        <v>350</v>
      </c>
      <c r="I692" s="10">
        <v>350</v>
      </c>
      <c r="J692" s="10">
        <v>0</v>
      </c>
      <c r="K692" s="10">
        <v>0</v>
      </c>
      <c r="L692" s="10">
        <v>0</v>
      </c>
      <c r="M692" s="10">
        <f>E692+K692-I692-J692-L692</f>
        <v>0.0</v>
      </c>
    </row>
    <row r="693" spans="1:13" ht="25" customHeight="1">
      <c r="A693" s="6" t="s">
        <v>68</v>
      </c>
      <c r="B693" s="7" t="s">
        <v>404</v>
      </c>
      <c r="C693" s="7" t="s">
        <v>394</v>
      </c>
      <c r="D693" s="23">
        <v>3</v>
      </c>
      <c r="E693" s="9">
        <v>1234.513790198439</v>
      </c>
      <c r="F693" s="25">
        <v>0.06</v>
      </c>
      <c r="G693" s="9">
        <v>74.07082741190638</v>
      </c>
      <c r="H693" s="9">
        <v>26.80203045685279</v>
      </c>
      <c r="I693" s="9">
        <v>26.80203045685279</v>
      </c>
      <c r="J693" s="9">
        <v>0</v>
      </c>
      <c r="K693" s="9">
        <v>0</v>
      </c>
      <c r="L693" s="9">
        <v>0</v>
      </c>
      <c r="M693" s="9">
        <f>E693+K693-I693-J693-L693</f>
        <v>1207.7117597415865</v>
      </c>
    </row>
    <row r="694" spans="1:13" ht="25" customHeight="1">
      <c r="A694" s="3" t="s">
        <v>68</v>
      </c>
      <c r="B694" s="4" t="s">
        <v>404</v>
      </c>
      <c r="C694" s="4" t="s">
        <v>395</v>
      </c>
      <c r="D694" s="24">
        <v>3</v>
      </c>
      <c r="E694" s="10">
        <v>0</v>
      </c>
      <c r="F694" s="26">
        <v>0.0575</v>
      </c>
      <c r="G694" s="10">
        <v>0</v>
      </c>
      <c r="H694" s="10">
        <v>0</v>
      </c>
      <c r="I694" s="10">
        <v>0</v>
      </c>
      <c r="J694" s="10">
        <v>0</v>
      </c>
      <c r="K694" s="10">
        <v>174.9523095645852</v>
      </c>
      <c r="L694" s="10">
        <v>0</v>
      </c>
      <c r="M694" s="10">
        <f>E694+K694-I694-J694-L694</f>
        <v>174.95230956458522</v>
      </c>
    </row>
    <row r="695" spans="1:13" ht="25" customHeight="1">
      <c r="A695" s="6" t="s">
        <v>68</v>
      </c>
      <c r="B695" s="7" t="s">
        <v>404</v>
      </c>
      <c r="C695" s="7" t="s">
        <v>139</v>
      </c>
      <c r="D695" s="23">
        <v>4</v>
      </c>
      <c r="E695" s="9">
        <v>900</v>
      </c>
      <c r="F695" s="25">
        <v>0.038</v>
      </c>
      <c r="G695" s="9">
        <v>34.2</v>
      </c>
      <c r="H695" s="9">
        <v>900</v>
      </c>
      <c r="I695" s="9">
        <v>900</v>
      </c>
      <c r="J695" s="9">
        <v>0</v>
      </c>
      <c r="K695" s="9">
        <v>0</v>
      </c>
      <c r="L695" s="9">
        <v>0</v>
      </c>
      <c r="M695" s="9">
        <f>E695+K695-I695-J695-L695</f>
        <v>0.0</v>
      </c>
    </row>
    <row r="696" spans="1:13" ht="25" customHeight="1">
      <c r="A696" s="3" t="s">
        <v>68</v>
      </c>
      <c r="B696" s="4" t="s">
        <v>404</v>
      </c>
      <c r="C696" s="4" t="s">
        <v>153</v>
      </c>
      <c r="D696" s="24">
        <v>4</v>
      </c>
      <c r="E696" s="10">
        <v>32</v>
      </c>
      <c r="F696" s="26">
        <v>0.05</v>
      </c>
      <c r="G696" s="10">
        <v>1.6</v>
      </c>
      <c r="H696" s="10">
        <v>16</v>
      </c>
      <c r="I696" s="10">
        <v>16</v>
      </c>
      <c r="J696" s="10">
        <v>0</v>
      </c>
      <c r="K696" s="10">
        <v>0</v>
      </c>
      <c r="L696" s="10">
        <v>0</v>
      </c>
      <c r="M696" s="10">
        <f>E696+K696-I696-J696-L696</f>
        <v>16.0</v>
      </c>
    </row>
    <row r="697" spans="1:13" ht="25" customHeight="1">
      <c r="A697" s="6" t="s">
        <v>68</v>
      </c>
      <c r="B697" s="7" t="s">
        <v>404</v>
      </c>
      <c r="C697" s="7" t="s">
        <v>198</v>
      </c>
      <c r="D697" s="23">
        <v>4</v>
      </c>
      <c r="E697" s="9">
        <v>0</v>
      </c>
      <c r="F697" s="25">
        <v>0.0475</v>
      </c>
      <c r="G697" s="9">
        <v>0</v>
      </c>
      <c r="H697" s="9">
        <v>0</v>
      </c>
      <c r="I697" s="9">
        <v>0</v>
      </c>
      <c r="J697" s="9">
        <v>0</v>
      </c>
      <c r="K697" s="9">
        <v>0</v>
      </c>
      <c r="L697" s="9">
        <v>0</v>
      </c>
      <c r="M697" s="9">
        <f>E697+K697-I697-J697-L697</f>
        <v>0.0</v>
      </c>
    </row>
    <row r="698" spans="1:13" ht="25" customHeight="1">
      <c r="A698" s="3" t="s">
        <v>68</v>
      </c>
      <c r="B698" s="4" t="s">
        <v>404</v>
      </c>
      <c r="C698" s="4" t="s">
        <v>394</v>
      </c>
      <c r="D698" s="24">
        <v>4</v>
      </c>
      <c r="E698" s="10">
        <v>1207.711759741587</v>
      </c>
      <c r="F698" s="26">
        <v>0.06</v>
      </c>
      <c r="G698" s="10">
        <v>72.4627055844952</v>
      </c>
      <c r="H698" s="10">
        <v>26.80203045685279</v>
      </c>
      <c r="I698" s="10">
        <v>26.80203045685279</v>
      </c>
      <c r="J698" s="10">
        <v>0</v>
      </c>
      <c r="K698" s="10">
        <v>0</v>
      </c>
      <c r="L698" s="10">
        <v>0</v>
      </c>
      <c r="M698" s="10">
        <f>E698+K698-I698-J698-L698</f>
        <v>1180.9097292847337</v>
      </c>
    </row>
    <row r="699" spans="1:13" ht="25" customHeight="1">
      <c r="A699" s="6" t="s">
        <v>68</v>
      </c>
      <c r="B699" s="7" t="s">
        <v>404</v>
      </c>
      <c r="C699" s="7" t="s">
        <v>395</v>
      </c>
      <c r="D699" s="23">
        <v>4</v>
      </c>
      <c r="E699" s="9">
        <v>174.9523095645852</v>
      </c>
      <c r="F699" s="25">
        <v>0.0575</v>
      </c>
      <c r="G699" s="9">
        <v>10.05975779996365</v>
      </c>
      <c r="H699" s="9">
        <v>0</v>
      </c>
      <c r="I699" s="9">
        <v>0</v>
      </c>
      <c r="J699" s="9">
        <v>0</v>
      </c>
      <c r="K699" s="9">
        <v>455.0476904354148</v>
      </c>
      <c r="L699" s="9">
        <v>0</v>
      </c>
      <c r="M699" s="9">
        <f>E699+K699-I699-J699-L699</f>
        <v>630.0</v>
      </c>
    </row>
    <row r="700" spans="1:13" ht="25" customHeight="1">
      <c r="A700" s="3" t="s">
        <v>68</v>
      </c>
      <c r="B700" s="4" t="s">
        <v>404</v>
      </c>
      <c r="C700" s="4" t="s">
        <v>139</v>
      </c>
      <c r="D700" s="24">
        <v>5</v>
      </c>
      <c r="E700" s="10">
        <v>0</v>
      </c>
      <c r="F700" s="26">
        <v>0.038</v>
      </c>
      <c r="G700" s="10">
        <v>0</v>
      </c>
      <c r="H700" s="10">
        <v>0</v>
      </c>
      <c r="I700" s="10">
        <v>0</v>
      </c>
      <c r="J700" s="10">
        <v>0</v>
      </c>
      <c r="K700" s="10">
        <v>0</v>
      </c>
      <c r="L700" s="10">
        <v>0</v>
      </c>
      <c r="M700" s="10">
        <f>E700+K700-I700-J700-L700</f>
        <v>0.0</v>
      </c>
    </row>
    <row r="701" spans="1:13" ht="25" customHeight="1">
      <c r="A701" s="6" t="s">
        <v>68</v>
      </c>
      <c r="B701" s="7" t="s">
        <v>404</v>
      </c>
      <c r="C701" s="7" t="s">
        <v>153</v>
      </c>
      <c r="D701" s="23">
        <v>5</v>
      </c>
      <c r="E701" s="9">
        <v>16</v>
      </c>
      <c r="F701" s="25">
        <v>0.05</v>
      </c>
      <c r="G701" s="9">
        <v>0.8</v>
      </c>
      <c r="H701" s="9">
        <v>16</v>
      </c>
      <c r="I701" s="9">
        <v>16</v>
      </c>
      <c r="J701" s="9">
        <v>0</v>
      </c>
      <c r="K701" s="9">
        <v>0</v>
      </c>
      <c r="L701" s="9">
        <v>0</v>
      </c>
      <c r="M701" s="9">
        <f>E701+K701-I701-J701-L701</f>
        <v>0.0</v>
      </c>
    </row>
    <row r="702" spans="1:13" ht="25" customHeight="1">
      <c r="A702" s="3" t="s">
        <v>68</v>
      </c>
      <c r="B702" s="4" t="s">
        <v>404</v>
      </c>
      <c r="C702" s="4" t="s">
        <v>198</v>
      </c>
      <c r="D702" s="24">
        <v>5</v>
      </c>
      <c r="E702" s="10">
        <v>0</v>
      </c>
      <c r="F702" s="26">
        <v>0.0475</v>
      </c>
      <c r="G702" s="10">
        <v>0</v>
      </c>
      <c r="H702" s="10">
        <v>0</v>
      </c>
      <c r="I702" s="10">
        <v>0</v>
      </c>
      <c r="J702" s="10">
        <v>0</v>
      </c>
      <c r="K702" s="10">
        <v>0</v>
      </c>
      <c r="L702" s="10">
        <v>0</v>
      </c>
      <c r="M702" s="10">
        <f>E702+K702-I702-J702-L702</f>
        <v>0.0</v>
      </c>
    </row>
    <row r="703" spans="1:13" ht="25" customHeight="1">
      <c r="A703" s="6" t="s">
        <v>68</v>
      </c>
      <c r="B703" s="7" t="s">
        <v>404</v>
      </c>
      <c r="C703" s="7" t="s">
        <v>394</v>
      </c>
      <c r="D703" s="23">
        <v>5</v>
      </c>
      <c r="E703" s="9">
        <v>1180.909729284734</v>
      </c>
      <c r="F703" s="25">
        <v>0.06</v>
      </c>
      <c r="G703" s="9">
        <v>70.85458375708403</v>
      </c>
      <c r="H703" s="9">
        <v>1180.909729284734</v>
      </c>
      <c r="I703" s="9">
        <v>804.4983696102946</v>
      </c>
      <c r="J703" s="9">
        <v>0</v>
      </c>
      <c r="K703" s="9">
        <v>0</v>
      </c>
      <c r="L703" s="9">
        <v>0</v>
      </c>
      <c r="M703" s="9">
        <f>E703+K703-I703-J703-L703</f>
        <v>376.41135967443904</v>
      </c>
    </row>
    <row r="704" spans="1:13" ht="25" customHeight="1">
      <c r="A704" s="3" t="s">
        <v>68</v>
      </c>
      <c r="B704" s="4" t="s">
        <v>404</v>
      </c>
      <c r="C704" s="4" t="s">
        <v>395</v>
      </c>
      <c r="D704" s="24">
        <v>5</v>
      </c>
      <c r="E704" s="10">
        <v>630</v>
      </c>
      <c r="F704" s="26">
        <v>0.0575</v>
      </c>
      <c r="G704" s="10">
        <v>36.225</v>
      </c>
      <c r="H704" s="10">
        <v>630</v>
      </c>
      <c r="I704" s="10">
        <v>0</v>
      </c>
      <c r="J704" s="10">
        <v>0</v>
      </c>
      <c r="K704" s="10">
        <v>0</v>
      </c>
      <c r="L704" s="10">
        <v>0</v>
      </c>
      <c r="M704" s="10">
        <f>E704+K704-I704-J704-L704</f>
        <v>630.0</v>
      </c>
    </row>
    <row r="705" spans="1:13" ht="25" customHeight="1">
      <c r="A705" s="6" t="s">
        <v>78</v>
      </c>
      <c r="B705" s="7" t="s">
        <v>404</v>
      </c>
      <c r="C705" s="7" t="s">
        <v>139</v>
      </c>
      <c r="D705" s="23">
        <v>1</v>
      </c>
      <c r="E705" s="9">
        <v>900</v>
      </c>
      <c r="F705" s="25">
        <v>0.038</v>
      </c>
      <c r="G705" s="9">
        <v>34.2</v>
      </c>
      <c r="H705" s="9">
        <v>0</v>
      </c>
      <c r="I705" s="9">
        <v>0</v>
      </c>
      <c r="J705" s="9">
        <v>0</v>
      </c>
      <c r="K705" s="9">
        <v>0</v>
      </c>
      <c r="L705" s="9">
        <v>0</v>
      </c>
      <c r="M705" s="9">
        <f>E705+K705-I705-J705-L705</f>
        <v>900.0</v>
      </c>
    </row>
    <row r="706" spans="1:13" ht="25" customHeight="1">
      <c r="A706" s="3" t="s">
        <v>78</v>
      </c>
      <c r="B706" s="4" t="s">
        <v>404</v>
      </c>
      <c r="C706" s="4" t="s">
        <v>153</v>
      </c>
      <c r="D706" s="24">
        <v>1</v>
      </c>
      <c r="E706" s="10">
        <v>80</v>
      </c>
      <c r="F706" s="26">
        <v>0.05</v>
      </c>
      <c r="G706" s="10">
        <v>4</v>
      </c>
      <c r="H706" s="10">
        <v>16</v>
      </c>
      <c r="I706" s="10">
        <v>16</v>
      </c>
      <c r="J706" s="10">
        <v>0</v>
      </c>
      <c r="K706" s="10">
        <v>0</v>
      </c>
      <c r="L706" s="10">
        <v>0</v>
      </c>
      <c r="M706" s="10">
        <f>E706+K706-I706-J706-L706</f>
        <v>64.0</v>
      </c>
    </row>
    <row r="707" spans="1:13" ht="25" customHeight="1">
      <c r="A707" s="6" t="s">
        <v>78</v>
      </c>
      <c r="B707" s="7" t="s">
        <v>404</v>
      </c>
      <c r="C707" s="7" t="s">
        <v>198</v>
      </c>
      <c r="D707" s="23">
        <v>1</v>
      </c>
      <c r="E707" s="9">
        <v>350</v>
      </c>
      <c r="F707" s="25">
        <v>0.0475</v>
      </c>
      <c r="G707" s="9">
        <v>16.625</v>
      </c>
      <c r="H707" s="9">
        <v>0</v>
      </c>
      <c r="I707" s="9">
        <v>0</v>
      </c>
      <c r="J707" s="9">
        <v>0</v>
      </c>
      <c r="K707" s="9">
        <v>0</v>
      </c>
      <c r="L707" s="9">
        <v>0</v>
      </c>
      <c r="M707" s="9">
        <f>E707+K707-I707-J707-L707</f>
        <v>350.0</v>
      </c>
    </row>
    <row r="708" spans="1:13" ht="25" customHeight="1">
      <c r="A708" s="3" t="s">
        <v>78</v>
      </c>
      <c r="B708" s="4" t="s">
        <v>404</v>
      </c>
      <c r="C708" s="4" t="s">
        <v>394</v>
      </c>
      <c r="D708" s="24">
        <v>1</v>
      </c>
      <c r="E708" s="10">
        <v>2223.350253807107</v>
      </c>
      <c r="F708" s="26">
        <v>0.065</v>
      </c>
      <c r="G708" s="10">
        <v>144.5177664974619</v>
      </c>
      <c r="H708" s="10">
        <v>44.46700507614213</v>
      </c>
      <c r="I708" s="10">
        <v>44.46700507614213</v>
      </c>
      <c r="J708" s="10">
        <v>783.5017762151454</v>
      </c>
      <c r="K708" s="10">
        <v>0</v>
      </c>
      <c r="L708" s="10">
        <v>0</v>
      </c>
      <c r="M708" s="10">
        <f>E708+K708-I708-J708-L708</f>
        <v>1395.3814725158193</v>
      </c>
    </row>
    <row r="709" spans="1:13" ht="25" customHeight="1">
      <c r="A709" s="6" t="s">
        <v>78</v>
      </c>
      <c r="B709" s="7" t="s">
        <v>404</v>
      </c>
      <c r="C709" s="7" t="s">
        <v>395</v>
      </c>
      <c r="D709" s="23">
        <v>1</v>
      </c>
      <c r="E709" s="9">
        <v>0</v>
      </c>
      <c r="F709" s="25">
        <v>0.0625</v>
      </c>
      <c r="G709" s="9">
        <v>0</v>
      </c>
      <c r="H709" s="9">
        <v>0</v>
      </c>
      <c r="I709" s="9">
        <v>0</v>
      </c>
      <c r="J709" s="9">
        <v>0</v>
      </c>
      <c r="K709" s="9">
        <v>0</v>
      </c>
      <c r="L709" s="9">
        <v>0</v>
      </c>
      <c r="M709" s="9">
        <f>E709+K709-I709-J709-L709</f>
        <v>0.0</v>
      </c>
    </row>
    <row r="710" spans="1:13" ht="25" customHeight="1">
      <c r="A710" s="3" t="s">
        <v>78</v>
      </c>
      <c r="B710" s="4" t="s">
        <v>404</v>
      </c>
      <c r="C710" s="4" t="s">
        <v>139</v>
      </c>
      <c r="D710" s="24">
        <v>2</v>
      </c>
      <c r="E710" s="10">
        <v>900</v>
      </c>
      <c r="F710" s="26">
        <v>0.038</v>
      </c>
      <c r="G710" s="10">
        <v>34.2</v>
      </c>
      <c r="H710" s="10">
        <v>0</v>
      </c>
      <c r="I710" s="10">
        <v>0</v>
      </c>
      <c r="J710" s="10">
        <v>0</v>
      </c>
      <c r="K710" s="10">
        <v>0</v>
      </c>
      <c r="L710" s="10">
        <v>0</v>
      </c>
      <c r="M710" s="10">
        <f>E710+K710-I710-J710-L710</f>
        <v>900.0</v>
      </c>
    </row>
    <row r="711" spans="1:13" ht="25" customHeight="1">
      <c r="A711" s="6" t="s">
        <v>78</v>
      </c>
      <c r="B711" s="7" t="s">
        <v>404</v>
      </c>
      <c r="C711" s="7" t="s">
        <v>153</v>
      </c>
      <c r="D711" s="23">
        <v>2</v>
      </c>
      <c r="E711" s="9">
        <v>64</v>
      </c>
      <c r="F711" s="25">
        <v>0.05</v>
      </c>
      <c r="G711" s="9">
        <v>3.2</v>
      </c>
      <c r="H711" s="9">
        <v>16</v>
      </c>
      <c r="I711" s="9">
        <v>16</v>
      </c>
      <c r="J711" s="9">
        <v>0</v>
      </c>
      <c r="K711" s="9">
        <v>0</v>
      </c>
      <c r="L711" s="9">
        <v>0</v>
      </c>
      <c r="M711" s="9">
        <f>E711+K711-I711-J711-L711</f>
        <v>48.0</v>
      </c>
    </row>
    <row r="712" spans="1:13" ht="25" customHeight="1">
      <c r="A712" s="3" t="s">
        <v>78</v>
      </c>
      <c r="B712" s="4" t="s">
        <v>404</v>
      </c>
      <c r="C712" s="4" t="s">
        <v>198</v>
      </c>
      <c r="D712" s="24">
        <v>2</v>
      </c>
      <c r="E712" s="10">
        <v>350</v>
      </c>
      <c r="F712" s="26">
        <v>0.0475</v>
      </c>
      <c r="G712" s="10">
        <v>16.625</v>
      </c>
      <c r="H712" s="10">
        <v>0</v>
      </c>
      <c r="I712" s="10">
        <v>0</v>
      </c>
      <c r="J712" s="10">
        <v>0</v>
      </c>
      <c r="K712" s="10">
        <v>0</v>
      </c>
      <c r="L712" s="10">
        <v>0</v>
      </c>
      <c r="M712" s="10">
        <f>E712+K712-I712-J712-L712</f>
        <v>350.0</v>
      </c>
    </row>
    <row r="713" spans="1:13" ht="25" customHeight="1">
      <c r="A713" s="6" t="s">
        <v>78</v>
      </c>
      <c r="B713" s="7" t="s">
        <v>404</v>
      </c>
      <c r="C713" s="7" t="s">
        <v>394</v>
      </c>
      <c r="D713" s="23">
        <v>2</v>
      </c>
      <c r="E713" s="9">
        <v>1395.381472515819</v>
      </c>
      <c r="F713" s="25">
        <v>0.0625</v>
      </c>
      <c r="G713" s="9">
        <v>87.2113420322387</v>
      </c>
      <c r="H713" s="9">
        <v>44.46700507614213</v>
      </c>
      <c r="I713" s="9">
        <v>44.46700507614213</v>
      </c>
      <c r="J713" s="9">
        <v>57.40584713255453</v>
      </c>
      <c r="K713" s="9">
        <v>0</v>
      </c>
      <c r="L713" s="9">
        <v>0</v>
      </c>
      <c r="M713" s="9">
        <f>E713+K713-I713-J713-L713</f>
        <v>1293.5086203071226</v>
      </c>
    </row>
    <row r="714" spans="1:13" ht="25" customHeight="1">
      <c r="A714" s="3" t="s">
        <v>78</v>
      </c>
      <c r="B714" s="4" t="s">
        <v>404</v>
      </c>
      <c r="C714" s="4" t="s">
        <v>395</v>
      </c>
      <c r="D714" s="24">
        <v>2</v>
      </c>
      <c r="E714" s="10">
        <v>0</v>
      </c>
      <c r="F714" s="26">
        <v>0.06</v>
      </c>
      <c r="G714" s="10">
        <v>0</v>
      </c>
      <c r="H714" s="10">
        <v>0</v>
      </c>
      <c r="I714" s="10">
        <v>0</v>
      </c>
      <c r="J714" s="10">
        <v>0</v>
      </c>
      <c r="K714" s="10">
        <v>0</v>
      </c>
      <c r="L714" s="10">
        <v>0</v>
      </c>
      <c r="M714" s="10">
        <f>E714+K714-I714-J714-L714</f>
        <v>0.0</v>
      </c>
    </row>
    <row r="715" spans="1:13" ht="25" customHeight="1">
      <c r="A715" s="6" t="s">
        <v>78</v>
      </c>
      <c r="B715" s="7" t="s">
        <v>404</v>
      </c>
      <c r="C715" s="7" t="s">
        <v>139</v>
      </c>
      <c r="D715" s="23">
        <v>3</v>
      </c>
      <c r="E715" s="9">
        <v>900</v>
      </c>
      <c r="F715" s="25">
        <v>0.038</v>
      </c>
      <c r="G715" s="9">
        <v>34.2</v>
      </c>
      <c r="H715" s="9">
        <v>0</v>
      </c>
      <c r="I715" s="9">
        <v>0</v>
      </c>
      <c r="J715" s="9">
        <v>0</v>
      </c>
      <c r="K715" s="9">
        <v>0</v>
      </c>
      <c r="L715" s="9">
        <v>0</v>
      </c>
      <c r="M715" s="9">
        <f>E715+K715-I715-J715-L715</f>
        <v>900.0</v>
      </c>
    </row>
    <row r="716" spans="1:13" ht="25" customHeight="1">
      <c r="A716" s="3" t="s">
        <v>78</v>
      </c>
      <c r="B716" s="4" t="s">
        <v>404</v>
      </c>
      <c r="C716" s="4" t="s">
        <v>153</v>
      </c>
      <c r="D716" s="24">
        <v>3</v>
      </c>
      <c r="E716" s="10">
        <v>48</v>
      </c>
      <c r="F716" s="26">
        <v>0.05</v>
      </c>
      <c r="G716" s="10">
        <v>2.4</v>
      </c>
      <c r="H716" s="10">
        <v>16</v>
      </c>
      <c r="I716" s="10">
        <v>16</v>
      </c>
      <c r="J716" s="10">
        <v>0</v>
      </c>
      <c r="K716" s="10">
        <v>0</v>
      </c>
      <c r="L716" s="10">
        <v>0</v>
      </c>
      <c r="M716" s="10">
        <f>E716+K716-I716-J716-L716</f>
        <v>32.0</v>
      </c>
    </row>
    <row r="717" spans="1:13" ht="25" customHeight="1">
      <c r="A717" s="6" t="s">
        <v>78</v>
      </c>
      <c r="B717" s="7" t="s">
        <v>404</v>
      </c>
      <c r="C717" s="7" t="s">
        <v>198</v>
      </c>
      <c r="D717" s="23">
        <v>3</v>
      </c>
      <c r="E717" s="9">
        <v>350</v>
      </c>
      <c r="F717" s="25">
        <v>0.0475</v>
      </c>
      <c r="G717" s="9">
        <v>16.625</v>
      </c>
      <c r="H717" s="9">
        <v>350</v>
      </c>
      <c r="I717" s="9">
        <v>350</v>
      </c>
      <c r="J717" s="9">
        <v>0</v>
      </c>
      <c r="K717" s="9">
        <v>0</v>
      </c>
      <c r="L717" s="9">
        <v>0</v>
      </c>
      <c r="M717" s="9">
        <f>E717+K717-I717-J717-L717</f>
        <v>0.0</v>
      </c>
    </row>
    <row r="718" spans="1:13" ht="25" customHeight="1">
      <c r="A718" s="3" t="s">
        <v>78</v>
      </c>
      <c r="B718" s="4" t="s">
        <v>404</v>
      </c>
      <c r="C718" s="4" t="s">
        <v>394</v>
      </c>
      <c r="D718" s="24">
        <v>3</v>
      </c>
      <c r="E718" s="10">
        <v>1293.508620307123</v>
      </c>
      <c r="F718" s="26">
        <v>0.06</v>
      </c>
      <c r="G718" s="10">
        <v>77.61051721842736</v>
      </c>
      <c r="H718" s="10">
        <v>44.46700507614213</v>
      </c>
      <c r="I718" s="10">
        <v>44.46700507614213</v>
      </c>
      <c r="J718" s="10">
        <v>0</v>
      </c>
      <c r="K718" s="10">
        <v>0</v>
      </c>
      <c r="L718" s="10">
        <v>0</v>
      </c>
      <c r="M718" s="10">
        <f>E718+K718-I718-J718-L718</f>
        <v>1249.0416152309804</v>
      </c>
    </row>
    <row r="719" spans="1:13" ht="25" customHeight="1">
      <c r="A719" s="6" t="s">
        <v>78</v>
      </c>
      <c r="B719" s="7" t="s">
        <v>404</v>
      </c>
      <c r="C719" s="7" t="s">
        <v>395</v>
      </c>
      <c r="D719" s="23">
        <v>3</v>
      </c>
      <c r="E719" s="9">
        <v>0</v>
      </c>
      <c r="F719" s="25">
        <v>0.0575</v>
      </c>
      <c r="G719" s="9">
        <v>0</v>
      </c>
      <c r="H719" s="9">
        <v>0</v>
      </c>
      <c r="I719" s="9">
        <v>0</v>
      </c>
      <c r="J719" s="9">
        <v>0</v>
      </c>
      <c r="K719" s="9">
        <v>195.2720515387655</v>
      </c>
      <c r="L719" s="9">
        <v>0</v>
      </c>
      <c r="M719" s="9">
        <f>E719+K719-I719-J719-L719</f>
        <v>195.27205153876548</v>
      </c>
    </row>
    <row r="720" spans="1:13" ht="25" customHeight="1">
      <c r="A720" s="3" t="s">
        <v>78</v>
      </c>
      <c r="B720" s="4" t="s">
        <v>404</v>
      </c>
      <c r="C720" s="4" t="s">
        <v>139</v>
      </c>
      <c r="D720" s="24">
        <v>4</v>
      </c>
      <c r="E720" s="10">
        <v>900</v>
      </c>
      <c r="F720" s="26">
        <v>0.038</v>
      </c>
      <c r="G720" s="10">
        <v>34.2</v>
      </c>
      <c r="H720" s="10">
        <v>900</v>
      </c>
      <c r="I720" s="10">
        <v>900</v>
      </c>
      <c r="J720" s="10">
        <v>0</v>
      </c>
      <c r="K720" s="10">
        <v>0</v>
      </c>
      <c r="L720" s="10">
        <v>0</v>
      </c>
      <c r="M720" s="10">
        <f>E720+K720-I720-J720-L720</f>
        <v>0.0</v>
      </c>
    </row>
    <row r="721" spans="1:13" ht="25" customHeight="1">
      <c r="A721" s="6" t="s">
        <v>78</v>
      </c>
      <c r="B721" s="7" t="s">
        <v>404</v>
      </c>
      <c r="C721" s="7" t="s">
        <v>153</v>
      </c>
      <c r="D721" s="23">
        <v>4</v>
      </c>
      <c r="E721" s="9">
        <v>32</v>
      </c>
      <c r="F721" s="25">
        <v>0.05</v>
      </c>
      <c r="G721" s="9">
        <v>1.6</v>
      </c>
      <c r="H721" s="9">
        <v>16</v>
      </c>
      <c r="I721" s="9">
        <v>16</v>
      </c>
      <c r="J721" s="9">
        <v>0</v>
      </c>
      <c r="K721" s="9">
        <v>0</v>
      </c>
      <c r="L721" s="9">
        <v>0</v>
      </c>
      <c r="M721" s="9">
        <f>E721+K721-I721-J721-L721</f>
        <v>16.0</v>
      </c>
    </row>
    <row r="722" spans="1:13" ht="25" customHeight="1">
      <c r="A722" s="3" t="s">
        <v>78</v>
      </c>
      <c r="B722" s="4" t="s">
        <v>404</v>
      </c>
      <c r="C722" s="4" t="s">
        <v>198</v>
      </c>
      <c r="D722" s="24">
        <v>4</v>
      </c>
      <c r="E722" s="10">
        <v>0</v>
      </c>
      <c r="F722" s="26">
        <v>0.0475</v>
      </c>
      <c r="G722" s="10">
        <v>0</v>
      </c>
      <c r="H722" s="10">
        <v>0</v>
      </c>
      <c r="I722" s="10">
        <v>0</v>
      </c>
      <c r="J722" s="10">
        <v>0</v>
      </c>
      <c r="K722" s="10">
        <v>0</v>
      </c>
      <c r="L722" s="10">
        <v>0</v>
      </c>
      <c r="M722" s="10">
        <f>E722+K722-I722-J722-L722</f>
        <v>0.0</v>
      </c>
    </row>
    <row r="723" spans="1:13" ht="25" customHeight="1">
      <c r="A723" s="6" t="s">
        <v>78</v>
      </c>
      <c r="B723" s="7" t="s">
        <v>404</v>
      </c>
      <c r="C723" s="7" t="s">
        <v>394</v>
      </c>
      <c r="D723" s="23">
        <v>4</v>
      </c>
      <c r="E723" s="9">
        <v>1249.04161523098</v>
      </c>
      <c r="F723" s="25">
        <v>0.06</v>
      </c>
      <c r="G723" s="9">
        <v>74.94249691385883</v>
      </c>
      <c r="H723" s="9">
        <v>44.46700507614213</v>
      </c>
      <c r="I723" s="9">
        <v>44.46700507614213</v>
      </c>
      <c r="J723" s="9">
        <v>0</v>
      </c>
      <c r="K723" s="9">
        <v>0</v>
      </c>
      <c r="L723" s="9">
        <v>0</v>
      </c>
      <c r="M723" s="9">
        <f>E723+K723-I723-J723-L723</f>
        <v>1204.5746101548382</v>
      </c>
    </row>
    <row r="724" spans="1:13" ht="25" customHeight="1">
      <c r="A724" s="3" t="s">
        <v>78</v>
      </c>
      <c r="B724" s="4" t="s">
        <v>404</v>
      </c>
      <c r="C724" s="4" t="s">
        <v>395</v>
      </c>
      <c r="D724" s="24">
        <v>4</v>
      </c>
      <c r="E724" s="10">
        <v>195.2720515387655</v>
      </c>
      <c r="F724" s="26">
        <v>0.0575</v>
      </c>
      <c r="G724" s="10">
        <v>11.22814296347902</v>
      </c>
      <c r="H724" s="10">
        <v>0</v>
      </c>
      <c r="I724" s="10">
        <v>0</v>
      </c>
      <c r="J724" s="10">
        <v>0</v>
      </c>
      <c r="K724" s="10">
        <v>434.7279484612345</v>
      </c>
      <c r="L724" s="10">
        <v>0</v>
      </c>
      <c r="M724" s="10">
        <f>E724+K724-I724-J724-L724</f>
        <v>630.0</v>
      </c>
    </row>
    <row r="725" spans="1:13" ht="25" customHeight="1">
      <c r="A725" s="6" t="s">
        <v>78</v>
      </c>
      <c r="B725" s="7" t="s">
        <v>404</v>
      </c>
      <c r="C725" s="7" t="s">
        <v>139</v>
      </c>
      <c r="D725" s="23">
        <v>5</v>
      </c>
      <c r="E725" s="9">
        <v>0</v>
      </c>
      <c r="F725" s="25">
        <v>0.038</v>
      </c>
      <c r="G725" s="9">
        <v>0</v>
      </c>
      <c r="H725" s="9">
        <v>0</v>
      </c>
      <c r="I725" s="9">
        <v>0</v>
      </c>
      <c r="J725" s="9">
        <v>0</v>
      </c>
      <c r="K725" s="9">
        <v>0</v>
      </c>
      <c r="L725" s="9">
        <v>0</v>
      </c>
      <c r="M725" s="9">
        <f>E725+K725-I725-J725-L725</f>
        <v>0.0</v>
      </c>
    </row>
    <row r="726" spans="1:13" ht="25" customHeight="1">
      <c r="A726" s="3" t="s">
        <v>78</v>
      </c>
      <c r="B726" s="4" t="s">
        <v>404</v>
      </c>
      <c r="C726" s="4" t="s">
        <v>153</v>
      </c>
      <c r="D726" s="24">
        <v>5</v>
      </c>
      <c r="E726" s="10">
        <v>16</v>
      </c>
      <c r="F726" s="26">
        <v>0.05</v>
      </c>
      <c r="G726" s="10">
        <v>0.8</v>
      </c>
      <c r="H726" s="10">
        <v>16</v>
      </c>
      <c r="I726" s="10">
        <v>16</v>
      </c>
      <c r="J726" s="10">
        <v>0</v>
      </c>
      <c r="K726" s="10">
        <v>0</v>
      </c>
      <c r="L726" s="10">
        <v>0</v>
      </c>
      <c r="M726" s="10">
        <f>E726+K726-I726-J726-L726</f>
        <v>0.0</v>
      </c>
    </row>
    <row r="727" spans="1:13" ht="25" customHeight="1">
      <c r="A727" s="6" t="s">
        <v>78</v>
      </c>
      <c r="B727" s="7" t="s">
        <v>404</v>
      </c>
      <c r="C727" s="7" t="s">
        <v>198</v>
      </c>
      <c r="D727" s="23">
        <v>5</v>
      </c>
      <c r="E727" s="9">
        <v>0</v>
      </c>
      <c r="F727" s="25">
        <v>0.0475</v>
      </c>
      <c r="G727" s="9">
        <v>0</v>
      </c>
      <c r="H727" s="9">
        <v>0</v>
      </c>
      <c r="I727" s="9">
        <v>0</v>
      </c>
      <c r="J727" s="9">
        <v>0</v>
      </c>
      <c r="K727" s="9">
        <v>0</v>
      </c>
      <c r="L727" s="9">
        <v>0</v>
      </c>
      <c r="M727" s="9">
        <f>E727+K727-I727-J727-L727</f>
        <v>0.0</v>
      </c>
    </row>
    <row r="728" spans="1:13" ht="25" customHeight="1">
      <c r="A728" s="3" t="s">
        <v>78</v>
      </c>
      <c r="B728" s="4" t="s">
        <v>404</v>
      </c>
      <c r="C728" s="4" t="s">
        <v>394</v>
      </c>
      <c r="D728" s="24">
        <v>5</v>
      </c>
      <c r="E728" s="10">
        <v>1204.574610154838</v>
      </c>
      <c r="F728" s="26">
        <v>0.06</v>
      </c>
      <c r="G728" s="10">
        <v>72.2744766092903</v>
      </c>
      <c r="H728" s="10">
        <v>1204.574610154838</v>
      </c>
      <c r="I728" s="10">
        <v>762.7126010080112</v>
      </c>
      <c r="J728" s="10">
        <v>0</v>
      </c>
      <c r="K728" s="10">
        <v>0</v>
      </c>
      <c r="L728" s="10">
        <v>0</v>
      </c>
      <c r="M728" s="10">
        <f>E728+K728-I728-J728-L728</f>
        <v>441.86200914682695</v>
      </c>
    </row>
    <row r="729" spans="1:13" ht="25" customHeight="1">
      <c r="A729" s="6" t="s">
        <v>78</v>
      </c>
      <c r="B729" s="7" t="s">
        <v>404</v>
      </c>
      <c r="C729" s="7" t="s">
        <v>395</v>
      </c>
      <c r="D729" s="23">
        <v>5</v>
      </c>
      <c r="E729" s="9">
        <v>630</v>
      </c>
      <c r="F729" s="25">
        <v>0.0575</v>
      </c>
      <c r="G729" s="9">
        <v>36.225</v>
      </c>
      <c r="H729" s="9">
        <v>630</v>
      </c>
      <c r="I729" s="9">
        <v>0</v>
      </c>
      <c r="J729" s="9">
        <v>0</v>
      </c>
      <c r="K729" s="9">
        <v>0</v>
      </c>
      <c r="L729" s="9">
        <v>0</v>
      </c>
      <c r="M729" s="9">
        <f>E729+K729-I729-J729-L729</f>
        <v>630.0</v>
      </c>
    </row>
    <row r="730" spans="1:13" ht="25" customHeight="1">
      <c r="A730" s="3" t="s">
        <v>79</v>
      </c>
      <c r="B730" s="4" t="s">
        <v>404</v>
      </c>
      <c r="C730" s="4" t="s">
        <v>139</v>
      </c>
      <c r="D730" s="24">
        <v>1</v>
      </c>
      <c r="E730" s="10">
        <v>900</v>
      </c>
      <c r="F730" s="26">
        <v>0.038</v>
      </c>
      <c r="G730" s="10">
        <v>34.2</v>
      </c>
      <c r="H730" s="10">
        <v>0</v>
      </c>
      <c r="I730" s="10">
        <v>0</v>
      </c>
      <c r="J730" s="10">
        <v>0</v>
      </c>
      <c r="K730" s="10">
        <v>0</v>
      </c>
      <c r="L730" s="10">
        <v>0</v>
      </c>
      <c r="M730" s="10">
        <f>E730+K730-I730-J730-L730</f>
        <v>900.0</v>
      </c>
    </row>
    <row r="731" spans="1:13" ht="25" customHeight="1">
      <c r="A731" s="6" t="s">
        <v>79</v>
      </c>
      <c r="B731" s="7" t="s">
        <v>404</v>
      </c>
      <c r="C731" s="7" t="s">
        <v>153</v>
      </c>
      <c r="D731" s="23">
        <v>1</v>
      </c>
      <c r="E731" s="9">
        <v>80</v>
      </c>
      <c r="F731" s="25">
        <v>0.05</v>
      </c>
      <c r="G731" s="9">
        <v>4</v>
      </c>
      <c r="H731" s="9">
        <v>16</v>
      </c>
      <c r="I731" s="9">
        <v>16</v>
      </c>
      <c r="J731" s="9">
        <v>0</v>
      </c>
      <c r="K731" s="9">
        <v>0</v>
      </c>
      <c r="L731" s="9">
        <v>0</v>
      </c>
      <c r="M731" s="9">
        <f>E731+K731-I731-J731-L731</f>
        <v>64.0</v>
      </c>
    </row>
    <row r="732" spans="1:13" ht="25" customHeight="1">
      <c r="A732" s="3" t="s">
        <v>79</v>
      </c>
      <c r="B732" s="4" t="s">
        <v>404</v>
      </c>
      <c r="C732" s="4" t="s">
        <v>198</v>
      </c>
      <c r="D732" s="24">
        <v>1</v>
      </c>
      <c r="E732" s="10">
        <v>350</v>
      </c>
      <c r="F732" s="26">
        <v>0.0475</v>
      </c>
      <c r="G732" s="10">
        <v>16.625</v>
      </c>
      <c r="H732" s="10">
        <v>0</v>
      </c>
      <c r="I732" s="10">
        <v>0</v>
      </c>
      <c r="J732" s="10">
        <v>0</v>
      </c>
      <c r="K732" s="10">
        <v>0</v>
      </c>
      <c r="L732" s="10">
        <v>0</v>
      </c>
      <c r="M732" s="10">
        <f>E732+K732-I732-J732-L732</f>
        <v>350.0</v>
      </c>
    </row>
    <row r="733" spans="1:13" ht="25" customHeight="1">
      <c r="A733" s="6" t="s">
        <v>79</v>
      </c>
      <c r="B733" s="7" t="s">
        <v>404</v>
      </c>
      <c r="C733" s="7" t="s">
        <v>394</v>
      </c>
      <c r="D733" s="23">
        <v>1</v>
      </c>
      <c r="E733" s="9">
        <v>304.5685279187817</v>
      </c>
      <c r="F733" s="25">
        <v>0.065</v>
      </c>
      <c r="G733" s="9">
        <v>19.79695431472081</v>
      </c>
      <c r="H733" s="9">
        <v>6.091370558375635</v>
      </c>
      <c r="I733" s="9">
        <v>6.091370558375635</v>
      </c>
      <c r="J733" s="9">
        <v>45.41801986996779</v>
      </c>
      <c r="K733" s="9">
        <v>0</v>
      </c>
      <c r="L733" s="9">
        <v>0</v>
      </c>
      <c r="M733" s="9">
        <f>E733+K733-I733-J733-L733</f>
        <v>253.05913749043833</v>
      </c>
    </row>
    <row r="734" spans="1:13" ht="25" customHeight="1">
      <c r="A734" s="3" t="s">
        <v>79</v>
      </c>
      <c r="B734" s="4" t="s">
        <v>404</v>
      </c>
      <c r="C734" s="4" t="s">
        <v>395</v>
      </c>
      <c r="D734" s="24">
        <v>1</v>
      </c>
      <c r="E734" s="10">
        <v>0</v>
      </c>
      <c r="F734" s="26">
        <v>0.0625</v>
      </c>
      <c r="G734" s="10">
        <v>0</v>
      </c>
      <c r="H734" s="10">
        <v>0</v>
      </c>
      <c r="I734" s="10">
        <v>0</v>
      </c>
      <c r="J734" s="10">
        <v>0</v>
      </c>
      <c r="K734" s="10">
        <v>0</v>
      </c>
      <c r="L734" s="10">
        <v>0</v>
      </c>
      <c r="M734" s="10">
        <f>E734+K734-I734-J734-L734</f>
        <v>0.0</v>
      </c>
    </row>
    <row r="735" spans="1:13" ht="25" customHeight="1">
      <c r="A735" s="6" t="s">
        <v>79</v>
      </c>
      <c r="B735" s="7" t="s">
        <v>404</v>
      </c>
      <c r="C735" s="7" t="s">
        <v>139</v>
      </c>
      <c r="D735" s="23">
        <v>2</v>
      </c>
      <c r="E735" s="9">
        <v>900</v>
      </c>
      <c r="F735" s="25">
        <v>0.038</v>
      </c>
      <c r="G735" s="9">
        <v>34.2</v>
      </c>
      <c r="H735" s="9">
        <v>0</v>
      </c>
      <c r="I735" s="9">
        <v>0</v>
      </c>
      <c r="J735" s="9">
        <v>0</v>
      </c>
      <c r="K735" s="9">
        <v>0</v>
      </c>
      <c r="L735" s="9">
        <v>0</v>
      </c>
      <c r="M735" s="9">
        <f>E735+K735-I735-J735-L735</f>
        <v>900.0</v>
      </c>
    </row>
    <row r="736" spans="1:13" ht="25" customHeight="1">
      <c r="A736" s="3" t="s">
        <v>79</v>
      </c>
      <c r="B736" s="4" t="s">
        <v>404</v>
      </c>
      <c r="C736" s="4" t="s">
        <v>153</v>
      </c>
      <c r="D736" s="24">
        <v>2</v>
      </c>
      <c r="E736" s="10">
        <v>64</v>
      </c>
      <c r="F736" s="26">
        <v>0.05</v>
      </c>
      <c r="G736" s="10">
        <v>3.2</v>
      </c>
      <c r="H736" s="10">
        <v>16</v>
      </c>
      <c r="I736" s="10">
        <v>16</v>
      </c>
      <c r="J736" s="10">
        <v>0</v>
      </c>
      <c r="K736" s="10">
        <v>0</v>
      </c>
      <c r="L736" s="10">
        <v>0</v>
      </c>
      <c r="M736" s="10">
        <f>E736+K736-I736-J736-L736</f>
        <v>48.0</v>
      </c>
    </row>
    <row r="737" spans="1:13" ht="25" customHeight="1">
      <c r="A737" s="6" t="s">
        <v>79</v>
      </c>
      <c r="B737" s="7" t="s">
        <v>404</v>
      </c>
      <c r="C737" s="7" t="s">
        <v>198</v>
      </c>
      <c r="D737" s="23">
        <v>2</v>
      </c>
      <c r="E737" s="9">
        <v>350</v>
      </c>
      <c r="F737" s="25">
        <v>0.0475</v>
      </c>
      <c r="G737" s="9">
        <v>16.625</v>
      </c>
      <c r="H737" s="9">
        <v>0</v>
      </c>
      <c r="I737" s="9">
        <v>0</v>
      </c>
      <c r="J737" s="9">
        <v>0</v>
      </c>
      <c r="K737" s="9">
        <v>0</v>
      </c>
      <c r="L737" s="9">
        <v>0</v>
      </c>
      <c r="M737" s="9">
        <f>E737+K737-I737-J737-L737</f>
        <v>350.0</v>
      </c>
    </row>
    <row r="738" spans="1:13" ht="25" customHeight="1">
      <c r="A738" s="3" t="s">
        <v>79</v>
      </c>
      <c r="B738" s="4" t="s">
        <v>404</v>
      </c>
      <c r="C738" s="4" t="s">
        <v>394</v>
      </c>
      <c r="D738" s="24">
        <v>2</v>
      </c>
      <c r="E738" s="10">
        <v>253.0591374904383</v>
      </c>
      <c r="F738" s="26">
        <v>0.0625</v>
      </c>
      <c r="G738" s="10">
        <v>15.8161960931524</v>
      </c>
      <c r="H738" s="10">
        <v>6.091370558375635</v>
      </c>
      <c r="I738" s="10">
        <v>6.091370558375635</v>
      </c>
      <c r="J738" s="10">
        <v>149.3278411046357</v>
      </c>
      <c r="K738" s="10">
        <v>0</v>
      </c>
      <c r="L738" s="10">
        <v>0</v>
      </c>
      <c r="M738" s="10">
        <f>E738+K738-I738-J738-L738</f>
        <v>97.63992582742699</v>
      </c>
    </row>
    <row r="739" spans="1:13" ht="25" customHeight="1">
      <c r="A739" s="6" t="s">
        <v>79</v>
      </c>
      <c r="B739" s="7" t="s">
        <v>404</v>
      </c>
      <c r="C739" s="7" t="s">
        <v>395</v>
      </c>
      <c r="D739" s="23">
        <v>2</v>
      </c>
      <c r="E739" s="9">
        <v>0</v>
      </c>
      <c r="F739" s="25">
        <v>0.06</v>
      </c>
      <c r="G739" s="9">
        <v>0</v>
      </c>
      <c r="H739" s="9">
        <v>0</v>
      </c>
      <c r="I739" s="9">
        <v>0</v>
      </c>
      <c r="J739" s="9">
        <v>0</v>
      </c>
      <c r="K739" s="9">
        <v>0</v>
      </c>
      <c r="L739" s="9">
        <v>0</v>
      </c>
      <c r="M739" s="9">
        <f>E739+K739-I739-J739-L739</f>
        <v>0.0</v>
      </c>
    </row>
    <row r="740" spans="1:13" ht="25" customHeight="1">
      <c r="A740" s="3" t="s">
        <v>79</v>
      </c>
      <c r="B740" s="4" t="s">
        <v>404</v>
      </c>
      <c r="C740" s="4" t="s">
        <v>139</v>
      </c>
      <c r="D740" s="24">
        <v>3</v>
      </c>
      <c r="E740" s="10">
        <v>900</v>
      </c>
      <c r="F740" s="26">
        <v>0.038</v>
      </c>
      <c r="G740" s="10">
        <v>34.2</v>
      </c>
      <c r="H740" s="10">
        <v>0</v>
      </c>
      <c r="I740" s="10">
        <v>0</v>
      </c>
      <c r="J740" s="10">
        <v>0</v>
      </c>
      <c r="K740" s="10">
        <v>0</v>
      </c>
      <c r="L740" s="10">
        <v>0</v>
      </c>
      <c r="M740" s="10">
        <f>E740+K740-I740-J740-L740</f>
        <v>900.0</v>
      </c>
    </row>
    <row r="741" spans="1:13" ht="25" customHeight="1">
      <c r="A741" s="6" t="s">
        <v>79</v>
      </c>
      <c r="B741" s="7" t="s">
        <v>404</v>
      </c>
      <c r="C741" s="7" t="s">
        <v>153</v>
      </c>
      <c r="D741" s="23">
        <v>3</v>
      </c>
      <c r="E741" s="9">
        <v>48</v>
      </c>
      <c r="F741" s="25">
        <v>0.05</v>
      </c>
      <c r="G741" s="9">
        <v>2.4</v>
      </c>
      <c r="H741" s="9">
        <v>16</v>
      </c>
      <c r="I741" s="9">
        <v>16</v>
      </c>
      <c r="J741" s="9">
        <v>0</v>
      </c>
      <c r="K741" s="9">
        <v>0</v>
      </c>
      <c r="L741" s="9">
        <v>0</v>
      </c>
      <c r="M741" s="9">
        <f>E741+K741-I741-J741-L741</f>
        <v>32.0</v>
      </c>
    </row>
    <row r="742" spans="1:13" ht="25" customHeight="1">
      <c r="A742" s="3" t="s">
        <v>79</v>
      </c>
      <c r="B742" s="4" t="s">
        <v>404</v>
      </c>
      <c r="C742" s="4" t="s">
        <v>198</v>
      </c>
      <c r="D742" s="24">
        <v>3</v>
      </c>
      <c r="E742" s="10">
        <v>350</v>
      </c>
      <c r="F742" s="26">
        <v>0.0475</v>
      </c>
      <c r="G742" s="10">
        <v>16.625</v>
      </c>
      <c r="H742" s="10">
        <v>350</v>
      </c>
      <c r="I742" s="10">
        <v>350</v>
      </c>
      <c r="J742" s="10">
        <v>0</v>
      </c>
      <c r="K742" s="10">
        <v>0</v>
      </c>
      <c r="L742" s="10">
        <v>0</v>
      </c>
      <c r="M742" s="10">
        <f>E742+K742-I742-J742-L742</f>
        <v>0.0</v>
      </c>
    </row>
    <row r="743" spans="1:13" ht="25" customHeight="1">
      <c r="A743" s="6" t="s">
        <v>79</v>
      </c>
      <c r="B743" s="7" t="s">
        <v>404</v>
      </c>
      <c r="C743" s="7" t="s">
        <v>394</v>
      </c>
      <c r="D743" s="23">
        <v>3</v>
      </c>
      <c r="E743" s="9">
        <v>97.63992582742699</v>
      </c>
      <c r="F743" s="25">
        <v>0.06</v>
      </c>
      <c r="G743" s="9">
        <v>5.85839554964562</v>
      </c>
      <c r="H743" s="9">
        <v>6.091370558375635</v>
      </c>
      <c r="I743" s="9">
        <v>6.091370558375635</v>
      </c>
      <c r="J743" s="9">
        <v>0</v>
      </c>
      <c r="K743" s="9">
        <v>0</v>
      </c>
      <c r="L743" s="9">
        <v>0</v>
      </c>
      <c r="M743" s="9">
        <f>E743+K743-I743-J743-L743</f>
        <v>91.54855526905136</v>
      </c>
    </row>
    <row r="744" spans="1:13" ht="25" customHeight="1">
      <c r="A744" s="3" t="s">
        <v>79</v>
      </c>
      <c r="B744" s="4" t="s">
        <v>404</v>
      </c>
      <c r="C744" s="4" t="s">
        <v>395</v>
      </c>
      <c r="D744" s="24">
        <v>3</v>
      </c>
      <c r="E744" s="10">
        <v>0</v>
      </c>
      <c r="F744" s="26">
        <v>0.0575</v>
      </c>
      <c r="G744" s="10">
        <v>0</v>
      </c>
      <c r="H744" s="10">
        <v>0</v>
      </c>
      <c r="I744" s="10">
        <v>0</v>
      </c>
      <c r="J744" s="10">
        <v>1.13686837721616E-13</v>
      </c>
      <c r="K744" s="10">
        <v>103.0823257694128</v>
      </c>
      <c r="L744" s="10">
        <v>0</v>
      </c>
      <c r="M744" s="10">
        <f>E744+K744-I744-J744-L744</f>
        <v>103.0823257694127</v>
      </c>
    </row>
    <row r="745" spans="1:13" ht="25" customHeight="1">
      <c r="A745" s="6" t="s">
        <v>79</v>
      </c>
      <c r="B745" s="7" t="s">
        <v>404</v>
      </c>
      <c r="C745" s="7" t="s">
        <v>139</v>
      </c>
      <c r="D745" s="23">
        <v>4</v>
      </c>
      <c r="E745" s="9">
        <v>900</v>
      </c>
      <c r="F745" s="25">
        <v>0.038</v>
      </c>
      <c r="G745" s="9">
        <v>34.2</v>
      </c>
      <c r="H745" s="9">
        <v>900</v>
      </c>
      <c r="I745" s="9">
        <v>900</v>
      </c>
      <c r="J745" s="9">
        <v>0</v>
      </c>
      <c r="K745" s="9">
        <v>0</v>
      </c>
      <c r="L745" s="9">
        <v>0</v>
      </c>
      <c r="M745" s="9">
        <f>E745+K745-I745-J745-L745</f>
        <v>0.0</v>
      </c>
    </row>
    <row r="746" spans="1:13" ht="25" customHeight="1">
      <c r="A746" s="3" t="s">
        <v>79</v>
      </c>
      <c r="B746" s="4" t="s">
        <v>404</v>
      </c>
      <c r="C746" s="4" t="s">
        <v>153</v>
      </c>
      <c r="D746" s="24">
        <v>4</v>
      </c>
      <c r="E746" s="10">
        <v>32</v>
      </c>
      <c r="F746" s="26">
        <v>0.05</v>
      </c>
      <c r="G746" s="10">
        <v>1.6</v>
      </c>
      <c r="H746" s="10">
        <v>16</v>
      </c>
      <c r="I746" s="10">
        <v>16</v>
      </c>
      <c r="J746" s="10">
        <v>0</v>
      </c>
      <c r="K746" s="10">
        <v>0</v>
      </c>
      <c r="L746" s="10">
        <v>0</v>
      </c>
      <c r="M746" s="10">
        <f>E746+K746-I746-J746-L746</f>
        <v>16.0</v>
      </c>
    </row>
    <row r="747" spans="1:13" ht="25" customHeight="1">
      <c r="A747" s="6" t="s">
        <v>79</v>
      </c>
      <c r="B747" s="7" t="s">
        <v>404</v>
      </c>
      <c r="C747" s="7" t="s">
        <v>198</v>
      </c>
      <c r="D747" s="23">
        <v>4</v>
      </c>
      <c r="E747" s="9">
        <v>0</v>
      </c>
      <c r="F747" s="25">
        <v>0.0475</v>
      </c>
      <c r="G747" s="9">
        <v>0</v>
      </c>
      <c r="H747" s="9">
        <v>0</v>
      </c>
      <c r="I747" s="9">
        <v>0</v>
      </c>
      <c r="J747" s="9">
        <v>0</v>
      </c>
      <c r="K747" s="9">
        <v>0</v>
      </c>
      <c r="L747" s="9">
        <v>0</v>
      </c>
      <c r="M747" s="9">
        <f>E747+K747-I747-J747-L747</f>
        <v>0.0</v>
      </c>
    </row>
    <row r="748" spans="1:13" ht="25" customHeight="1">
      <c r="A748" s="3" t="s">
        <v>79</v>
      </c>
      <c r="B748" s="4" t="s">
        <v>404</v>
      </c>
      <c r="C748" s="4" t="s">
        <v>394</v>
      </c>
      <c r="D748" s="24">
        <v>4</v>
      </c>
      <c r="E748" s="10">
        <v>91.54855526905136</v>
      </c>
      <c r="F748" s="26">
        <v>0.06</v>
      </c>
      <c r="G748" s="10">
        <v>5.492913316143082</v>
      </c>
      <c r="H748" s="10">
        <v>6.091370558375635</v>
      </c>
      <c r="I748" s="10">
        <v>6.091370558375635</v>
      </c>
      <c r="J748" s="10">
        <v>0</v>
      </c>
      <c r="K748" s="10">
        <v>0</v>
      </c>
      <c r="L748" s="10">
        <v>0</v>
      </c>
      <c r="M748" s="10">
        <f>E748+K748-I748-J748-L748</f>
        <v>85.45718471067573</v>
      </c>
    </row>
    <row r="749" spans="1:13" ht="25" customHeight="1">
      <c r="A749" s="6" t="s">
        <v>79</v>
      </c>
      <c r="B749" s="7" t="s">
        <v>404</v>
      </c>
      <c r="C749" s="7" t="s">
        <v>395</v>
      </c>
      <c r="D749" s="23">
        <v>4</v>
      </c>
      <c r="E749" s="9">
        <v>103.0823257694127</v>
      </c>
      <c r="F749" s="25">
        <v>0.0575</v>
      </c>
      <c r="G749" s="9">
        <v>5.92723373174123</v>
      </c>
      <c r="H749" s="9">
        <v>0</v>
      </c>
      <c r="I749" s="9">
        <v>0</v>
      </c>
      <c r="J749" s="9">
        <v>0</v>
      </c>
      <c r="K749" s="9">
        <v>526.9176742305873</v>
      </c>
      <c r="L749" s="9">
        <v>0</v>
      </c>
      <c r="M749" s="9">
        <f>E749+K749-I749-J749-L749</f>
        <v>630.0</v>
      </c>
    </row>
    <row r="750" spans="1:13" ht="25" customHeight="1">
      <c r="A750" s="3" t="s">
        <v>79</v>
      </c>
      <c r="B750" s="4" t="s">
        <v>404</v>
      </c>
      <c r="C750" s="4" t="s">
        <v>139</v>
      </c>
      <c r="D750" s="24">
        <v>5</v>
      </c>
      <c r="E750" s="10">
        <v>0</v>
      </c>
      <c r="F750" s="26">
        <v>0.038</v>
      </c>
      <c r="G750" s="10">
        <v>0</v>
      </c>
      <c r="H750" s="10">
        <v>0</v>
      </c>
      <c r="I750" s="10">
        <v>0</v>
      </c>
      <c r="J750" s="10">
        <v>0</v>
      </c>
      <c r="K750" s="10">
        <v>0</v>
      </c>
      <c r="L750" s="10">
        <v>0</v>
      </c>
      <c r="M750" s="10">
        <f>E750+K750-I750-J750-L750</f>
        <v>0.0</v>
      </c>
    </row>
    <row r="751" spans="1:13" ht="25" customHeight="1">
      <c r="A751" s="6" t="s">
        <v>79</v>
      </c>
      <c r="B751" s="7" t="s">
        <v>404</v>
      </c>
      <c r="C751" s="7" t="s">
        <v>153</v>
      </c>
      <c r="D751" s="23">
        <v>5</v>
      </c>
      <c r="E751" s="9">
        <v>16</v>
      </c>
      <c r="F751" s="25">
        <v>0.05</v>
      </c>
      <c r="G751" s="9">
        <v>0.8</v>
      </c>
      <c r="H751" s="9">
        <v>16</v>
      </c>
      <c r="I751" s="9">
        <v>16</v>
      </c>
      <c r="J751" s="9">
        <v>0</v>
      </c>
      <c r="K751" s="9">
        <v>0</v>
      </c>
      <c r="L751" s="9">
        <v>0</v>
      </c>
      <c r="M751" s="9">
        <f>E751+K751-I751-J751-L751</f>
        <v>0.0</v>
      </c>
    </row>
    <row r="752" spans="1:13" ht="25" customHeight="1">
      <c r="A752" s="3" t="s">
        <v>79</v>
      </c>
      <c r="B752" s="4" t="s">
        <v>404</v>
      </c>
      <c r="C752" s="4" t="s">
        <v>198</v>
      </c>
      <c r="D752" s="24">
        <v>5</v>
      </c>
      <c r="E752" s="10">
        <v>0</v>
      </c>
      <c r="F752" s="26">
        <v>0.0475</v>
      </c>
      <c r="G752" s="10">
        <v>0</v>
      </c>
      <c r="H752" s="10">
        <v>0</v>
      </c>
      <c r="I752" s="10">
        <v>0</v>
      </c>
      <c r="J752" s="10">
        <v>0</v>
      </c>
      <c r="K752" s="10">
        <v>0</v>
      </c>
      <c r="L752" s="10">
        <v>0</v>
      </c>
      <c r="M752" s="10">
        <f>E752+K752-I752-J752-L752</f>
        <v>0.0</v>
      </c>
    </row>
    <row r="753" spans="1:13" ht="25" customHeight="1">
      <c r="A753" s="6" t="s">
        <v>79</v>
      </c>
      <c r="B753" s="7" t="s">
        <v>404</v>
      </c>
      <c r="C753" s="7" t="s">
        <v>394</v>
      </c>
      <c r="D753" s="23">
        <v>5</v>
      </c>
      <c r="E753" s="9">
        <v>85.45718471067573</v>
      </c>
      <c r="F753" s="25">
        <v>0.06</v>
      </c>
      <c r="G753" s="9">
        <v>5.127431082640545</v>
      </c>
      <c r="H753" s="9">
        <v>85.45718471067573</v>
      </c>
      <c r="I753" s="9">
        <v>85.45718471067573</v>
      </c>
      <c r="J753" s="9">
        <v>0</v>
      </c>
      <c r="K753" s="9">
        <v>0</v>
      </c>
      <c r="L753" s="9">
        <v>0</v>
      </c>
      <c r="M753" s="9">
        <f>E753+K753-I753-J753-L753</f>
        <v>0.0</v>
      </c>
    </row>
    <row r="754" spans="1:13" ht="25" customHeight="1">
      <c r="A754" s="3" t="s">
        <v>79</v>
      </c>
      <c r="B754" s="4" t="s">
        <v>404</v>
      </c>
      <c r="C754" s="4" t="s">
        <v>395</v>
      </c>
      <c r="D754" s="24">
        <v>5</v>
      </c>
      <c r="E754" s="10">
        <v>630</v>
      </c>
      <c r="F754" s="26">
        <v>0.0575</v>
      </c>
      <c r="G754" s="10">
        <v>36.225</v>
      </c>
      <c r="H754" s="10">
        <v>630</v>
      </c>
      <c r="I754" s="10">
        <v>630</v>
      </c>
      <c r="J754" s="10">
        <v>0</v>
      </c>
      <c r="K754" s="10">
        <v>0</v>
      </c>
      <c r="L754" s="10">
        <v>0</v>
      </c>
      <c r="M754" s="10">
        <f>E754+K754-I754-J754-L754</f>
        <v>0.0</v>
      </c>
    </row>
    <row r="755" spans="1:13" ht="25" customHeight="1">
      <c r="A755" s="6" t="s">
        <v>68</v>
      </c>
      <c r="B755" s="7" t="s">
        <v>405</v>
      </c>
      <c r="C755" s="7" t="s">
        <v>139</v>
      </c>
      <c r="D755" s="23">
        <v>1</v>
      </c>
      <c r="E755" s="9">
        <v>900</v>
      </c>
      <c r="F755" s="25">
        <v>0.038</v>
      </c>
      <c r="G755" s="9">
        <v>34.2</v>
      </c>
      <c r="H755" s="9">
        <v>0</v>
      </c>
      <c r="I755" s="9">
        <v>0</v>
      </c>
      <c r="J755" s="9">
        <v>0</v>
      </c>
      <c r="K755" s="9">
        <v>0</v>
      </c>
      <c r="L755" s="9">
        <v>0</v>
      </c>
      <c r="M755" s="9">
        <f>E755+K755-I755-J755-L755</f>
        <v>900.0</v>
      </c>
    </row>
    <row r="756" spans="1:13" ht="25" customHeight="1">
      <c r="A756" s="3" t="s">
        <v>68</v>
      </c>
      <c r="B756" s="4" t="s">
        <v>405</v>
      </c>
      <c r="C756" s="4" t="s">
        <v>153</v>
      </c>
      <c r="D756" s="24">
        <v>1</v>
      </c>
      <c r="E756" s="10">
        <v>80</v>
      </c>
      <c r="F756" s="26">
        <v>0.05</v>
      </c>
      <c r="G756" s="10">
        <v>4</v>
      </c>
      <c r="H756" s="10">
        <v>16</v>
      </c>
      <c r="I756" s="10">
        <v>16</v>
      </c>
      <c r="J756" s="10">
        <v>0</v>
      </c>
      <c r="K756" s="10">
        <v>0</v>
      </c>
      <c r="L756" s="10">
        <v>0</v>
      </c>
      <c r="M756" s="10">
        <f>E756+K756-I756-J756-L756</f>
        <v>64.0</v>
      </c>
    </row>
    <row r="757" spans="1:13" ht="25" customHeight="1">
      <c r="A757" s="6" t="s">
        <v>68</v>
      </c>
      <c r="B757" s="7" t="s">
        <v>405</v>
      </c>
      <c r="C757" s="7" t="s">
        <v>198</v>
      </c>
      <c r="D757" s="23">
        <v>1</v>
      </c>
      <c r="E757" s="9">
        <v>350</v>
      </c>
      <c r="F757" s="25">
        <v>0.0475</v>
      </c>
      <c r="G757" s="9">
        <v>16.625</v>
      </c>
      <c r="H757" s="9">
        <v>0</v>
      </c>
      <c r="I757" s="9">
        <v>0</v>
      </c>
      <c r="J757" s="9">
        <v>0</v>
      </c>
      <c r="K757" s="9">
        <v>0</v>
      </c>
      <c r="L757" s="9">
        <v>0</v>
      </c>
      <c r="M757" s="9">
        <f>E757+K757-I757-J757-L757</f>
        <v>350.0</v>
      </c>
    </row>
    <row r="758" spans="1:13" ht="25" customHeight="1">
      <c r="A758" s="3" t="s">
        <v>68</v>
      </c>
      <c r="B758" s="4" t="s">
        <v>405</v>
      </c>
      <c r="C758" s="4" t="s">
        <v>394</v>
      </c>
      <c r="D758" s="24">
        <v>1</v>
      </c>
      <c r="E758" s="10">
        <v>1340.10152284264</v>
      </c>
      <c r="F758" s="26">
        <v>0.065</v>
      </c>
      <c r="G758" s="10">
        <v>87.10659898477158</v>
      </c>
      <c r="H758" s="10">
        <v>26.80203045685279</v>
      </c>
      <c r="I758" s="10">
        <v>26.80203045685279</v>
      </c>
      <c r="J758" s="10">
        <v>0</v>
      </c>
      <c r="K758" s="10">
        <v>0</v>
      </c>
      <c r="L758" s="10">
        <v>0</v>
      </c>
      <c r="M758" s="10">
        <f>E758+K758-I758-J758-L758</f>
        <v>1313.2994923857868</v>
      </c>
    </row>
    <row r="759" spans="1:13" ht="25" customHeight="1">
      <c r="A759" s="6" t="s">
        <v>68</v>
      </c>
      <c r="B759" s="7" t="s">
        <v>405</v>
      </c>
      <c r="C759" s="7" t="s">
        <v>395</v>
      </c>
      <c r="D759" s="23">
        <v>1</v>
      </c>
      <c r="E759" s="9">
        <v>0</v>
      </c>
      <c r="F759" s="25">
        <v>0.0625</v>
      </c>
      <c r="G759" s="9">
        <v>0</v>
      </c>
      <c r="H759" s="9">
        <v>0</v>
      </c>
      <c r="I759" s="9">
        <v>0</v>
      </c>
      <c r="J759" s="9">
        <v>0</v>
      </c>
      <c r="K759" s="9">
        <v>355.3755584625552</v>
      </c>
      <c r="L759" s="9">
        <v>0</v>
      </c>
      <c r="M759" s="9">
        <f>E759+K759-I759-J759-L759</f>
        <v>355.3755584625552</v>
      </c>
    </row>
    <row r="760" spans="1:13" ht="25" customHeight="1">
      <c r="A760" s="3" t="s">
        <v>68</v>
      </c>
      <c r="B760" s="4" t="s">
        <v>405</v>
      </c>
      <c r="C760" s="4" t="s">
        <v>139</v>
      </c>
      <c r="D760" s="24">
        <v>2</v>
      </c>
      <c r="E760" s="10">
        <v>900</v>
      </c>
      <c r="F760" s="26">
        <v>0.038</v>
      </c>
      <c r="G760" s="10">
        <v>34.2</v>
      </c>
      <c r="H760" s="10">
        <v>0</v>
      </c>
      <c r="I760" s="10">
        <v>0</v>
      </c>
      <c r="J760" s="10">
        <v>0</v>
      </c>
      <c r="K760" s="10">
        <v>0</v>
      </c>
      <c r="L760" s="10">
        <v>0</v>
      </c>
      <c r="M760" s="10">
        <f>E760+K760-I760-J760-L760</f>
        <v>900.0</v>
      </c>
    </row>
    <row r="761" spans="1:13" ht="25" customHeight="1">
      <c r="A761" s="6" t="s">
        <v>68</v>
      </c>
      <c r="B761" s="7" t="s">
        <v>405</v>
      </c>
      <c r="C761" s="7" t="s">
        <v>153</v>
      </c>
      <c r="D761" s="23">
        <v>2</v>
      </c>
      <c r="E761" s="9">
        <v>64</v>
      </c>
      <c r="F761" s="25">
        <v>0.05</v>
      </c>
      <c r="G761" s="9">
        <v>3.2</v>
      </c>
      <c r="H761" s="9">
        <v>16</v>
      </c>
      <c r="I761" s="9">
        <v>16</v>
      </c>
      <c r="J761" s="9">
        <v>0</v>
      </c>
      <c r="K761" s="9">
        <v>0</v>
      </c>
      <c r="L761" s="9">
        <v>0</v>
      </c>
      <c r="M761" s="9">
        <f>E761+K761-I761-J761-L761</f>
        <v>48.0</v>
      </c>
    </row>
    <row r="762" spans="1:13" ht="25" customHeight="1">
      <c r="A762" s="3" t="s">
        <v>68</v>
      </c>
      <c r="B762" s="4" t="s">
        <v>405</v>
      </c>
      <c r="C762" s="4" t="s">
        <v>198</v>
      </c>
      <c r="D762" s="24">
        <v>2</v>
      </c>
      <c r="E762" s="10">
        <v>350</v>
      </c>
      <c r="F762" s="26">
        <v>0.0475</v>
      </c>
      <c r="G762" s="10">
        <v>16.625</v>
      </c>
      <c r="H762" s="10">
        <v>0</v>
      </c>
      <c r="I762" s="10">
        <v>0</v>
      </c>
      <c r="J762" s="10">
        <v>0</v>
      </c>
      <c r="K762" s="10">
        <v>0</v>
      </c>
      <c r="L762" s="10">
        <v>0</v>
      </c>
      <c r="M762" s="10">
        <f>E762+K762-I762-J762-L762</f>
        <v>350.0</v>
      </c>
    </row>
    <row r="763" spans="1:13" ht="25" customHeight="1">
      <c r="A763" s="6" t="s">
        <v>68</v>
      </c>
      <c r="B763" s="7" t="s">
        <v>405</v>
      </c>
      <c r="C763" s="7" t="s">
        <v>394</v>
      </c>
      <c r="D763" s="23">
        <v>2</v>
      </c>
      <c r="E763" s="9">
        <v>1313.299492385787</v>
      </c>
      <c r="F763" s="25">
        <v>0.0625</v>
      </c>
      <c r="G763" s="9">
        <v>82.08121827411168</v>
      </c>
      <c r="H763" s="9">
        <v>26.80203045685279</v>
      </c>
      <c r="I763" s="9">
        <v>26.80203045685279</v>
      </c>
      <c r="J763" s="9">
        <v>0</v>
      </c>
      <c r="K763" s="9">
        <v>0</v>
      </c>
      <c r="L763" s="9">
        <v>0</v>
      </c>
      <c r="M763" s="9">
        <f>E763+K763-I763-J763-L763</f>
        <v>1286.497461928934</v>
      </c>
    </row>
    <row r="764" spans="1:13" ht="25" customHeight="1">
      <c r="A764" s="3" t="s">
        <v>68</v>
      </c>
      <c r="B764" s="4" t="s">
        <v>405</v>
      </c>
      <c r="C764" s="4" t="s">
        <v>395</v>
      </c>
      <c r="D764" s="24">
        <v>2</v>
      </c>
      <c r="E764" s="10">
        <v>355.3755584625552</v>
      </c>
      <c r="F764" s="26">
        <v>0.06</v>
      </c>
      <c r="G764" s="10">
        <v>21.32253350775331</v>
      </c>
      <c r="H764" s="10">
        <v>0</v>
      </c>
      <c r="I764" s="10">
        <v>0</v>
      </c>
      <c r="J764" s="10">
        <v>306.8364973163361</v>
      </c>
      <c r="K764" s="10">
        <v>0</v>
      </c>
      <c r="L764" s="10">
        <v>0</v>
      </c>
      <c r="M764" s="10">
        <f>E764+K764-I764-J764-L764</f>
        <v>48.53906114621907</v>
      </c>
    </row>
    <row r="765" spans="1:13" ht="25" customHeight="1">
      <c r="A765" s="6" t="s">
        <v>68</v>
      </c>
      <c r="B765" s="7" t="s">
        <v>405</v>
      </c>
      <c r="C765" s="7" t="s">
        <v>139</v>
      </c>
      <c r="D765" s="23">
        <v>3</v>
      </c>
      <c r="E765" s="9">
        <v>900</v>
      </c>
      <c r="F765" s="25">
        <v>0.038</v>
      </c>
      <c r="G765" s="9">
        <v>34.2</v>
      </c>
      <c r="H765" s="9">
        <v>0</v>
      </c>
      <c r="I765" s="9">
        <v>0</v>
      </c>
      <c r="J765" s="9">
        <v>0</v>
      </c>
      <c r="K765" s="9">
        <v>0</v>
      </c>
      <c r="L765" s="9">
        <v>0</v>
      </c>
      <c r="M765" s="9">
        <f>E765+K765-I765-J765-L765</f>
        <v>900.0</v>
      </c>
    </row>
    <row r="766" spans="1:13" ht="25" customHeight="1">
      <c r="A766" s="3" t="s">
        <v>68</v>
      </c>
      <c r="B766" s="4" t="s">
        <v>405</v>
      </c>
      <c r="C766" s="4" t="s">
        <v>153</v>
      </c>
      <c r="D766" s="24">
        <v>3</v>
      </c>
      <c r="E766" s="10">
        <v>48</v>
      </c>
      <c r="F766" s="26">
        <v>0.05</v>
      </c>
      <c r="G766" s="10">
        <v>2.4</v>
      </c>
      <c r="H766" s="10">
        <v>16</v>
      </c>
      <c r="I766" s="10">
        <v>16</v>
      </c>
      <c r="J766" s="10">
        <v>0</v>
      </c>
      <c r="K766" s="10">
        <v>0</v>
      </c>
      <c r="L766" s="10">
        <v>0</v>
      </c>
      <c r="M766" s="10">
        <f>E766+K766-I766-J766-L766</f>
        <v>32.0</v>
      </c>
    </row>
    <row r="767" spans="1:13" ht="25" customHeight="1">
      <c r="A767" s="6" t="s">
        <v>68</v>
      </c>
      <c r="B767" s="7" t="s">
        <v>405</v>
      </c>
      <c r="C767" s="7" t="s">
        <v>198</v>
      </c>
      <c r="D767" s="23">
        <v>3</v>
      </c>
      <c r="E767" s="9">
        <v>350</v>
      </c>
      <c r="F767" s="25">
        <v>0.0475</v>
      </c>
      <c r="G767" s="9">
        <v>16.625</v>
      </c>
      <c r="H767" s="9">
        <v>350</v>
      </c>
      <c r="I767" s="9">
        <v>350</v>
      </c>
      <c r="J767" s="9">
        <v>0</v>
      </c>
      <c r="K767" s="9">
        <v>0</v>
      </c>
      <c r="L767" s="9">
        <v>0</v>
      </c>
      <c r="M767" s="9">
        <f>E767+K767-I767-J767-L767</f>
        <v>0.0</v>
      </c>
    </row>
    <row r="768" spans="1:13" ht="25" customHeight="1">
      <c r="A768" s="3" t="s">
        <v>68</v>
      </c>
      <c r="B768" s="4" t="s">
        <v>405</v>
      </c>
      <c r="C768" s="4" t="s">
        <v>394</v>
      </c>
      <c r="D768" s="24">
        <v>3</v>
      </c>
      <c r="E768" s="10">
        <v>1286.497461928934</v>
      </c>
      <c r="F768" s="26">
        <v>0.06</v>
      </c>
      <c r="G768" s="10">
        <v>77.18984771573604</v>
      </c>
      <c r="H768" s="10">
        <v>26.80203045685279</v>
      </c>
      <c r="I768" s="10">
        <v>26.80203045685279</v>
      </c>
      <c r="J768" s="10">
        <v>22.0838494980228</v>
      </c>
      <c r="K768" s="10">
        <v>0</v>
      </c>
      <c r="L768" s="10">
        <v>0</v>
      </c>
      <c r="M768" s="10">
        <f>E768+K768-I768-J768-L768</f>
        <v>1237.6115819740583</v>
      </c>
    </row>
    <row r="769" spans="1:13" ht="25" customHeight="1">
      <c r="A769" s="6" t="s">
        <v>68</v>
      </c>
      <c r="B769" s="7" t="s">
        <v>405</v>
      </c>
      <c r="C769" s="7" t="s">
        <v>395</v>
      </c>
      <c r="D769" s="23">
        <v>3</v>
      </c>
      <c r="E769" s="9">
        <v>48.53906114621907</v>
      </c>
      <c r="F769" s="25">
        <v>0.0575</v>
      </c>
      <c r="G769" s="9">
        <v>2.790996015907596</v>
      </c>
      <c r="H769" s="9">
        <v>0</v>
      </c>
      <c r="I769" s="9">
        <v>0</v>
      </c>
      <c r="J769" s="9">
        <v>48.53906114621907</v>
      </c>
      <c r="K769" s="9">
        <v>0</v>
      </c>
      <c r="L769" s="9">
        <v>0</v>
      </c>
      <c r="M769" s="9">
        <f>E769+K769-I769-J769-L769</f>
        <v>0.0</v>
      </c>
    </row>
    <row r="770" spans="1:13" ht="25" customHeight="1">
      <c r="A770" s="3" t="s">
        <v>68</v>
      </c>
      <c r="B770" s="4" t="s">
        <v>405</v>
      </c>
      <c r="C770" s="4" t="s">
        <v>139</v>
      </c>
      <c r="D770" s="24">
        <v>4</v>
      </c>
      <c r="E770" s="10">
        <v>900</v>
      </c>
      <c r="F770" s="26">
        <v>0.038</v>
      </c>
      <c r="G770" s="10">
        <v>34.2</v>
      </c>
      <c r="H770" s="10">
        <v>900</v>
      </c>
      <c r="I770" s="10">
        <v>900</v>
      </c>
      <c r="J770" s="10">
        <v>0</v>
      </c>
      <c r="K770" s="10">
        <v>0</v>
      </c>
      <c r="L770" s="10">
        <v>0</v>
      </c>
      <c r="M770" s="10">
        <f>E770+K770-I770-J770-L770</f>
        <v>0.0</v>
      </c>
    </row>
    <row r="771" spans="1:13" ht="25" customHeight="1">
      <c r="A771" s="6" t="s">
        <v>68</v>
      </c>
      <c r="B771" s="7" t="s">
        <v>405</v>
      </c>
      <c r="C771" s="7" t="s">
        <v>153</v>
      </c>
      <c r="D771" s="23">
        <v>4</v>
      </c>
      <c r="E771" s="9">
        <v>32</v>
      </c>
      <c r="F771" s="25">
        <v>0.05</v>
      </c>
      <c r="G771" s="9">
        <v>1.6</v>
      </c>
      <c r="H771" s="9">
        <v>16</v>
      </c>
      <c r="I771" s="9">
        <v>16</v>
      </c>
      <c r="J771" s="9">
        <v>0</v>
      </c>
      <c r="K771" s="9">
        <v>0</v>
      </c>
      <c r="L771" s="9">
        <v>0</v>
      </c>
      <c r="M771" s="9">
        <f>E771+K771-I771-J771-L771</f>
        <v>16.0</v>
      </c>
    </row>
    <row r="772" spans="1:13" ht="25" customHeight="1">
      <c r="A772" s="3" t="s">
        <v>68</v>
      </c>
      <c r="B772" s="4" t="s">
        <v>405</v>
      </c>
      <c r="C772" s="4" t="s">
        <v>198</v>
      </c>
      <c r="D772" s="24">
        <v>4</v>
      </c>
      <c r="E772" s="10">
        <v>0</v>
      </c>
      <c r="F772" s="26">
        <v>0.0475</v>
      </c>
      <c r="G772" s="10">
        <v>0</v>
      </c>
      <c r="H772" s="10">
        <v>0</v>
      </c>
      <c r="I772" s="10">
        <v>0</v>
      </c>
      <c r="J772" s="10">
        <v>0</v>
      </c>
      <c r="K772" s="10">
        <v>0</v>
      </c>
      <c r="L772" s="10">
        <v>0</v>
      </c>
      <c r="M772" s="10">
        <f>E772+K772-I772-J772-L772</f>
        <v>0.0</v>
      </c>
    </row>
    <row r="773" spans="1:13" ht="25" customHeight="1">
      <c r="A773" s="6" t="s">
        <v>68</v>
      </c>
      <c r="B773" s="7" t="s">
        <v>405</v>
      </c>
      <c r="C773" s="7" t="s">
        <v>394</v>
      </c>
      <c r="D773" s="23">
        <v>4</v>
      </c>
      <c r="E773" s="9">
        <v>1237.611581974058</v>
      </c>
      <c r="F773" s="25">
        <v>0.06</v>
      </c>
      <c r="G773" s="9">
        <v>74.2566949184435</v>
      </c>
      <c r="H773" s="9">
        <v>26.80203045685279</v>
      </c>
      <c r="I773" s="9">
        <v>26.80203045685279</v>
      </c>
      <c r="J773" s="9">
        <v>0</v>
      </c>
      <c r="K773" s="9">
        <v>0</v>
      </c>
      <c r="L773" s="9">
        <v>0</v>
      </c>
      <c r="M773" s="9">
        <f>E773+K773-I773-J773-L773</f>
        <v>1210.8095515172054</v>
      </c>
    </row>
    <row r="774" spans="1:13" ht="25" customHeight="1">
      <c r="A774" s="3" t="s">
        <v>68</v>
      </c>
      <c r="B774" s="4" t="s">
        <v>405</v>
      </c>
      <c r="C774" s="4" t="s">
        <v>395</v>
      </c>
      <c r="D774" s="24">
        <v>4</v>
      </c>
      <c r="E774" s="10">
        <v>0</v>
      </c>
      <c r="F774" s="26">
        <v>0.0575</v>
      </c>
      <c r="G774" s="10">
        <v>0</v>
      </c>
      <c r="H774" s="10">
        <v>0</v>
      </c>
      <c r="I774" s="10">
        <v>0</v>
      </c>
      <c r="J774" s="10">
        <v>0</v>
      </c>
      <c r="K774" s="10">
        <v>415.574485048362</v>
      </c>
      <c r="L774" s="10">
        <v>0</v>
      </c>
      <c r="M774" s="10">
        <f>E774+K774-I774-J774-L774</f>
        <v>415.574485048362</v>
      </c>
    </row>
    <row r="775" spans="1:13" ht="25" customHeight="1">
      <c r="A775" s="6" t="s">
        <v>68</v>
      </c>
      <c r="B775" s="7" t="s">
        <v>405</v>
      </c>
      <c r="C775" s="7" t="s">
        <v>139</v>
      </c>
      <c r="D775" s="23">
        <v>5</v>
      </c>
      <c r="E775" s="9">
        <v>0</v>
      </c>
      <c r="F775" s="25">
        <v>0.038</v>
      </c>
      <c r="G775" s="9">
        <v>0</v>
      </c>
      <c r="H775" s="9">
        <v>0</v>
      </c>
      <c r="I775" s="9">
        <v>0</v>
      </c>
      <c r="J775" s="9">
        <v>0</v>
      </c>
      <c r="K775" s="9">
        <v>0</v>
      </c>
      <c r="L775" s="9">
        <v>0</v>
      </c>
      <c r="M775" s="9">
        <f>E775+K775-I775-J775-L775</f>
        <v>0.0</v>
      </c>
    </row>
    <row r="776" spans="1:13" ht="25" customHeight="1">
      <c r="A776" s="3" t="s">
        <v>68</v>
      </c>
      <c r="B776" s="4" t="s">
        <v>405</v>
      </c>
      <c r="C776" s="4" t="s">
        <v>153</v>
      </c>
      <c r="D776" s="24">
        <v>5</v>
      </c>
      <c r="E776" s="10">
        <v>16</v>
      </c>
      <c r="F776" s="26">
        <v>0.05</v>
      </c>
      <c r="G776" s="10">
        <v>0.8</v>
      </c>
      <c r="H776" s="10">
        <v>16</v>
      </c>
      <c r="I776" s="10">
        <v>16</v>
      </c>
      <c r="J776" s="10">
        <v>0</v>
      </c>
      <c r="K776" s="10">
        <v>0</v>
      </c>
      <c r="L776" s="10">
        <v>0</v>
      </c>
      <c r="M776" s="10">
        <f>E776+K776-I776-J776-L776</f>
        <v>0.0</v>
      </c>
    </row>
    <row r="777" spans="1:13" ht="25" customHeight="1">
      <c r="A777" s="6" t="s">
        <v>68</v>
      </c>
      <c r="B777" s="7" t="s">
        <v>405</v>
      </c>
      <c r="C777" s="7" t="s">
        <v>198</v>
      </c>
      <c r="D777" s="23">
        <v>5</v>
      </c>
      <c r="E777" s="9">
        <v>0</v>
      </c>
      <c r="F777" s="25">
        <v>0.0475</v>
      </c>
      <c r="G777" s="9">
        <v>0</v>
      </c>
      <c r="H777" s="9">
        <v>0</v>
      </c>
      <c r="I777" s="9">
        <v>0</v>
      </c>
      <c r="J777" s="9">
        <v>0</v>
      </c>
      <c r="K777" s="9">
        <v>0</v>
      </c>
      <c r="L777" s="9">
        <v>0</v>
      </c>
      <c r="M777" s="9">
        <f>E777+K777-I777-J777-L777</f>
        <v>0.0</v>
      </c>
    </row>
    <row r="778" spans="1:13" ht="25" customHeight="1">
      <c r="A778" s="3" t="s">
        <v>68</v>
      </c>
      <c r="B778" s="4" t="s">
        <v>405</v>
      </c>
      <c r="C778" s="4" t="s">
        <v>394</v>
      </c>
      <c r="D778" s="24">
        <v>5</v>
      </c>
      <c r="E778" s="10">
        <v>1210.809551517205</v>
      </c>
      <c r="F778" s="26">
        <v>0.06</v>
      </c>
      <c r="G778" s="10">
        <v>72.64857309103233</v>
      </c>
      <c r="H778" s="10">
        <v>1210.809551517205</v>
      </c>
      <c r="I778" s="10">
        <v>1210.809551517205</v>
      </c>
      <c r="J778" s="10">
        <v>0</v>
      </c>
      <c r="K778" s="10">
        <v>0</v>
      </c>
      <c r="L778" s="10">
        <v>0</v>
      </c>
      <c r="M778" s="10">
        <f>E778+K778-I778-J778-L778</f>
        <v>0.0</v>
      </c>
    </row>
    <row r="779" spans="1:13" ht="25" customHeight="1">
      <c r="A779" s="6" t="s">
        <v>68</v>
      </c>
      <c r="B779" s="7" t="s">
        <v>405</v>
      </c>
      <c r="C779" s="7" t="s">
        <v>395</v>
      </c>
      <c r="D779" s="23">
        <v>5</v>
      </c>
      <c r="E779" s="9">
        <v>415.574485048362</v>
      </c>
      <c r="F779" s="25">
        <v>0.0575</v>
      </c>
      <c r="G779" s="9">
        <v>23.89553289028082</v>
      </c>
      <c r="H779" s="9">
        <v>415.574485048362</v>
      </c>
      <c r="I779" s="9">
        <v>87.23884705106639</v>
      </c>
      <c r="J779" s="9">
        <v>0</v>
      </c>
      <c r="K779" s="9">
        <v>0</v>
      </c>
      <c r="L779" s="9">
        <v>0</v>
      </c>
      <c r="M779" s="9">
        <f>E779+K779-I779-J779-L779</f>
        <v>328.33563799729563</v>
      </c>
    </row>
    <row r="780" spans="1:13" ht="25" customHeight="1">
      <c r="A780" s="3" t="s">
        <v>78</v>
      </c>
      <c r="B780" s="4" t="s">
        <v>405</v>
      </c>
      <c r="C780" s="4" t="s">
        <v>139</v>
      </c>
      <c r="D780" s="24">
        <v>1</v>
      </c>
      <c r="E780" s="10">
        <v>900</v>
      </c>
      <c r="F780" s="26">
        <v>0.038</v>
      </c>
      <c r="G780" s="10">
        <v>34.2</v>
      </c>
      <c r="H780" s="10">
        <v>0</v>
      </c>
      <c r="I780" s="10">
        <v>0</v>
      </c>
      <c r="J780" s="10">
        <v>0</v>
      </c>
      <c r="K780" s="10">
        <v>0</v>
      </c>
      <c r="L780" s="10">
        <v>0</v>
      </c>
      <c r="M780" s="10">
        <f>E780+K780-I780-J780-L780</f>
        <v>900.0</v>
      </c>
    </row>
    <row r="781" spans="1:13" ht="25" customHeight="1">
      <c r="A781" s="6" t="s">
        <v>78</v>
      </c>
      <c r="B781" s="7" t="s">
        <v>405</v>
      </c>
      <c r="C781" s="7" t="s">
        <v>153</v>
      </c>
      <c r="D781" s="23">
        <v>1</v>
      </c>
      <c r="E781" s="9">
        <v>80</v>
      </c>
      <c r="F781" s="25">
        <v>0.05</v>
      </c>
      <c r="G781" s="9">
        <v>4</v>
      </c>
      <c r="H781" s="9">
        <v>16</v>
      </c>
      <c r="I781" s="9">
        <v>16</v>
      </c>
      <c r="J781" s="9">
        <v>0</v>
      </c>
      <c r="K781" s="9">
        <v>0</v>
      </c>
      <c r="L781" s="9">
        <v>0</v>
      </c>
      <c r="M781" s="9">
        <f>E781+K781-I781-J781-L781</f>
        <v>64.0</v>
      </c>
    </row>
    <row r="782" spans="1:13" ht="25" customHeight="1">
      <c r="A782" s="3" t="s">
        <v>78</v>
      </c>
      <c r="B782" s="4" t="s">
        <v>405</v>
      </c>
      <c r="C782" s="4" t="s">
        <v>198</v>
      </c>
      <c r="D782" s="24">
        <v>1</v>
      </c>
      <c r="E782" s="10">
        <v>350</v>
      </c>
      <c r="F782" s="26">
        <v>0.0475</v>
      </c>
      <c r="G782" s="10">
        <v>16.625</v>
      </c>
      <c r="H782" s="10">
        <v>0</v>
      </c>
      <c r="I782" s="10">
        <v>0</v>
      </c>
      <c r="J782" s="10">
        <v>0</v>
      </c>
      <c r="K782" s="10">
        <v>0</v>
      </c>
      <c r="L782" s="10">
        <v>0</v>
      </c>
      <c r="M782" s="10">
        <f>E782+K782-I782-J782-L782</f>
        <v>350.0</v>
      </c>
    </row>
    <row r="783" spans="1:13" ht="25" customHeight="1">
      <c r="A783" s="6" t="s">
        <v>78</v>
      </c>
      <c r="B783" s="7" t="s">
        <v>405</v>
      </c>
      <c r="C783" s="7" t="s">
        <v>394</v>
      </c>
      <c r="D783" s="23">
        <v>1</v>
      </c>
      <c r="E783" s="9">
        <v>2223.350253807107</v>
      </c>
      <c r="F783" s="25">
        <v>0.065</v>
      </c>
      <c r="G783" s="9">
        <v>144.5177664974619</v>
      </c>
      <c r="H783" s="9">
        <v>44.46700507614213</v>
      </c>
      <c r="I783" s="9">
        <v>44.46700507614213</v>
      </c>
      <c r="J783" s="9">
        <v>453.9010912836377</v>
      </c>
      <c r="K783" s="9">
        <v>0</v>
      </c>
      <c r="L783" s="9">
        <v>0</v>
      </c>
      <c r="M783" s="9">
        <f>E783+K783-I783-J783-L783</f>
        <v>1724.982157447327</v>
      </c>
    </row>
    <row r="784" spans="1:13" ht="25" customHeight="1">
      <c r="A784" s="3" t="s">
        <v>78</v>
      </c>
      <c r="B784" s="4" t="s">
        <v>405</v>
      </c>
      <c r="C784" s="4" t="s">
        <v>395</v>
      </c>
      <c r="D784" s="24">
        <v>1</v>
      </c>
      <c r="E784" s="10">
        <v>0</v>
      </c>
      <c r="F784" s="26">
        <v>0.0625</v>
      </c>
      <c r="G784" s="10">
        <v>0</v>
      </c>
      <c r="H784" s="10">
        <v>0</v>
      </c>
      <c r="I784" s="10">
        <v>0</v>
      </c>
      <c r="J784" s="10">
        <v>0</v>
      </c>
      <c r="K784" s="10">
        <v>0</v>
      </c>
      <c r="L784" s="10">
        <v>0</v>
      </c>
      <c r="M784" s="10">
        <f>E784+K784-I784-J784-L784</f>
        <v>0.0</v>
      </c>
    </row>
    <row r="785" spans="1:13" ht="25" customHeight="1">
      <c r="A785" s="6" t="s">
        <v>78</v>
      </c>
      <c r="B785" s="7" t="s">
        <v>405</v>
      </c>
      <c r="C785" s="7" t="s">
        <v>139</v>
      </c>
      <c r="D785" s="23">
        <v>2</v>
      </c>
      <c r="E785" s="9">
        <v>900</v>
      </c>
      <c r="F785" s="25">
        <v>0.038</v>
      </c>
      <c r="G785" s="9">
        <v>34.2</v>
      </c>
      <c r="H785" s="9">
        <v>0</v>
      </c>
      <c r="I785" s="9">
        <v>0</v>
      </c>
      <c r="J785" s="9">
        <v>0</v>
      </c>
      <c r="K785" s="9">
        <v>0</v>
      </c>
      <c r="L785" s="9">
        <v>0</v>
      </c>
      <c r="M785" s="9">
        <f>E785+K785-I785-J785-L785</f>
        <v>900.0</v>
      </c>
    </row>
    <row r="786" spans="1:13" ht="25" customHeight="1">
      <c r="A786" s="3" t="s">
        <v>78</v>
      </c>
      <c r="B786" s="4" t="s">
        <v>405</v>
      </c>
      <c r="C786" s="4" t="s">
        <v>153</v>
      </c>
      <c r="D786" s="24">
        <v>2</v>
      </c>
      <c r="E786" s="10">
        <v>64</v>
      </c>
      <c r="F786" s="26">
        <v>0.05</v>
      </c>
      <c r="G786" s="10">
        <v>3.2</v>
      </c>
      <c r="H786" s="10">
        <v>16</v>
      </c>
      <c r="I786" s="10">
        <v>16</v>
      </c>
      <c r="J786" s="10">
        <v>0</v>
      </c>
      <c r="K786" s="10">
        <v>0</v>
      </c>
      <c r="L786" s="10">
        <v>0</v>
      </c>
      <c r="M786" s="10">
        <f>E786+K786-I786-J786-L786</f>
        <v>48.0</v>
      </c>
    </row>
    <row r="787" spans="1:13" ht="25" customHeight="1">
      <c r="A787" s="6" t="s">
        <v>78</v>
      </c>
      <c r="B787" s="7" t="s">
        <v>405</v>
      </c>
      <c r="C787" s="7" t="s">
        <v>198</v>
      </c>
      <c r="D787" s="23">
        <v>2</v>
      </c>
      <c r="E787" s="9">
        <v>350</v>
      </c>
      <c r="F787" s="25">
        <v>0.0475</v>
      </c>
      <c r="G787" s="9">
        <v>16.625</v>
      </c>
      <c r="H787" s="9">
        <v>0</v>
      </c>
      <c r="I787" s="9">
        <v>0</v>
      </c>
      <c r="J787" s="9">
        <v>0</v>
      </c>
      <c r="K787" s="9">
        <v>0</v>
      </c>
      <c r="L787" s="9">
        <v>0</v>
      </c>
      <c r="M787" s="9">
        <f>E787+K787-I787-J787-L787</f>
        <v>350.0</v>
      </c>
    </row>
    <row r="788" spans="1:13" ht="25" customHeight="1">
      <c r="A788" s="3" t="s">
        <v>78</v>
      </c>
      <c r="B788" s="4" t="s">
        <v>405</v>
      </c>
      <c r="C788" s="4" t="s">
        <v>394</v>
      </c>
      <c r="D788" s="24">
        <v>2</v>
      </c>
      <c r="E788" s="10">
        <v>1724.982157447327</v>
      </c>
      <c r="F788" s="26">
        <v>0.0625</v>
      </c>
      <c r="G788" s="10">
        <v>107.8113848404579</v>
      </c>
      <c r="H788" s="10">
        <v>44.46700507614213</v>
      </c>
      <c r="I788" s="10">
        <v>44.46700507614213</v>
      </c>
      <c r="J788" s="10">
        <v>285.8657979031022</v>
      </c>
      <c r="K788" s="10">
        <v>0</v>
      </c>
      <c r="L788" s="10">
        <v>0</v>
      </c>
      <c r="M788" s="10">
        <f>E788+K788-I788-J788-L788</f>
        <v>1394.6493544680825</v>
      </c>
    </row>
    <row r="789" spans="1:13" ht="25" customHeight="1">
      <c r="A789" s="6" t="s">
        <v>78</v>
      </c>
      <c r="B789" s="7" t="s">
        <v>405</v>
      </c>
      <c r="C789" s="7" t="s">
        <v>395</v>
      </c>
      <c r="D789" s="23">
        <v>2</v>
      </c>
      <c r="E789" s="9">
        <v>0</v>
      </c>
      <c r="F789" s="25">
        <v>0.06</v>
      </c>
      <c r="G789" s="9">
        <v>0</v>
      </c>
      <c r="H789" s="9">
        <v>0</v>
      </c>
      <c r="I789" s="9">
        <v>0</v>
      </c>
      <c r="J789" s="9">
        <v>0</v>
      </c>
      <c r="K789" s="9">
        <v>0</v>
      </c>
      <c r="L789" s="9">
        <v>0</v>
      </c>
      <c r="M789" s="9">
        <f>E789+K789-I789-J789-L789</f>
        <v>0.0</v>
      </c>
    </row>
    <row r="790" spans="1:13" ht="25" customHeight="1">
      <c r="A790" s="3" t="s">
        <v>78</v>
      </c>
      <c r="B790" s="4" t="s">
        <v>405</v>
      </c>
      <c r="C790" s="4" t="s">
        <v>139</v>
      </c>
      <c r="D790" s="24">
        <v>3</v>
      </c>
      <c r="E790" s="10">
        <v>900</v>
      </c>
      <c r="F790" s="26">
        <v>0.038</v>
      </c>
      <c r="G790" s="10">
        <v>34.2</v>
      </c>
      <c r="H790" s="10">
        <v>0</v>
      </c>
      <c r="I790" s="10">
        <v>0</v>
      </c>
      <c r="J790" s="10">
        <v>0</v>
      </c>
      <c r="K790" s="10">
        <v>0</v>
      </c>
      <c r="L790" s="10">
        <v>0</v>
      </c>
      <c r="M790" s="10">
        <f>E790+K790-I790-J790-L790</f>
        <v>900.0</v>
      </c>
    </row>
    <row r="791" spans="1:13" ht="25" customHeight="1">
      <c r="A791" s="6" t="s">
        <v>78</v>
      </c>
      <c r="B791" s="7" t="s">
        <v>405</v>
      </c>
      <c r="C791" s="7" t="s">
        <v>153</v>
      </c>
      <c r="D791" s="23">
        <v>3</v>
      </c>
      <c r="E791" s="9">
        <v>48</v>
      </c>
      <c r="F791" s="25">
        <v>0.05</v>
      </c>
      <c r="G791" s="9">
        <v>2.4</v>
      </c>
      <c r="H791" s="9">
        <v>16</v>
      </c>
      <c r="I791" s="9">
        <v>16</v>
      </c>
      <c r="J791" s="9">
        <v>0</v>
      </c>
      <c r="K791" s="9">
        <v>0</v>
      </c>
      <c r="L791" s="9">
        <v>0</v>
      </c>
      <c r="M791" s="9">
        <f>E791+K791-I791-J791-L791</f>
        <v>32.0</v>
      </c>
    </row>
    <row r="792" spans="1:13" ht="25" customHeight="1">
      <c r="A792" s="3" t="s">
        <v>78</v>
      </c>
      <c r="B792" s="4" t="s">
        <v>405</v>
      </c>
      <c r="C792" s="4" t="s">
        <v>198</v>
      </c>
      <c r="D792" s="24">
        <v>3</v>
      </c>
      <c r="E792" s="10">
        <v>350</v>
      </c>
      <c r="F792" s="26">
        <v>0.0475</v>
      </c>
      <c r="G792" s="10">
        <v>16.625</v>
      </c>
      <c r="H792" s="10">
        <v>350</v>
      </c>
      <c r="I792" s="10">
        <v>350</v>
      </c>
      <c r="J792" s="10">
        <v>0</v>
      </c>
      <c r="K792" s="10">
        <v>0</v>
      </c>
      <c r="L792" s="10">
        <v>0</v>
      </c>
      <c r="M792" s="10">
        <f>E792+K792-I792-J792-L792</f>
        <v>0.0</v>
      </c>
    </row>
    <row r="793" spans="1:13" ht="25" customHeight="1">
      <c r="A793" s="6" t="s">
        <v>78</v>
      </c>
      <c r="B793" s="7" t="s">
        <v>405</v>
      </c>
      <c r="C793" s="7" t="s">
        <v>394</v>
      </c>
      <c r="D793" s="23">
        <v>3</v>
      </c>
      <c r="E793" s="9">
        <v>1394.649354468082</v>
      </c>
      <c r="F793" s="25">
        <v>0.06</v>
      </c>
      <c r="G793" s="9">
        <v>83.67896126808496</v>
      </c>
      <c r="H793" s="9">
        <v>44.46700507614213</v>
      </c>
      <c r="I793" s="9">
        <v>44.46700507614213</v>
      </c>
      <c r="J793" s="9">
        <v>50.1843478726214</v>
      </c>
      <c r="K793" s="9">
        <v>0</v>
      </c>
      <c r="L793" s="9">
        <v>0</v>
      </c>
      <c r="M793" s="9">
        <f>E793+K793-I793-J793-L793</f>
        <v>1299.998001519319</v>
      </c>
    </row>
    <row r="794" spans="1:13" ht="25" customHeight="1">
      <c r="A794" s="3" t="s">
        <v>78</v>
      </c>
      <c r="B794" s="4" t="s">
        <v>405</v>
      </c>
      <c r="C794" s="4" t="s">
        <v>395</v>
      </c>
      <c r="D794" s="24">
        <v>3</v>
      </c>
      <c r="E794" s="10">
        <v>0</v>
      </c>
      <c r="F794" s="26">
        <v>0.0575</v>
      </c>
      <c r="G794" s="10">
        <v>0</v>
      </c>
      <c r="H794" s="10">
        <v>0</v>
      </c>
      <c r="I794" s="10">
        <v>0</v>
      </c>
      <c r="J794" s="10">
        <v>0</v>
      </c>
      <c r="K794" s="10">
        <v>0</v>
      </c>
      <c r="L794" s="10">
        <v>0</v>
      </c>
      <c r="M794" s="10">
        <f>E794+K794-I794-J794-L794</f>
        <v>0.0</v>
      </c>
    </row>
    <row r="795" spans="1:13" ht="25" customHeight="1">
      <c r="A795" s="6" t="s">
        <v>78</v>
      </c>
      <c r="B795" s="7" t="s">
        <v>405</v>
      </c>
      <c r="C795" s="7" t="s">
        <v>139</v>
      </c>
      <c r="D795" s="23">
        <v>4</v>
      </c>
      <c r="E795" s="9">
        <v>900</v>
      </c>
      <c r="F795" s="25">
        <v>0.038</v>
      </c>
      <c r="G795" s="9">
        <v>34.2</v>
      </c>
      <c r="H795" s="9">
        <v>900</v>
      </c>
      <c r="I795" s="9">
        <v>900</v>
      </c>
      <c r="J795" s="9">
        <v>0</v>
      </c>
      <c r="K795" s="9">
        <v>0</v>
      </c>
      <c r="L795" s="9">
        <v>0</v>
      </c>
      <c r="M795" s="9">
        <f>E795+K795-I795-J795-L795</f>
        <v>0.0</v>
      </c>
    </row>
    <row r="796" spans="1:13" ht="25" customHeight="1">
      <c r="A796" s="3" t="s">
        <v>78</v>
      </c>
      <c r="B796" s="4" t="s">
        <v>405</v>
      </c>
      <c r="C796" s="4" t="s">
        <v>153</v>
      </c>
      <c r="D796" s="24">
        <v>4</v>
      </c>
      <c r="E796" s="10">
        <v>32</v>
      </c>
      <c r="F796" s="26">
        <v>0.05</v>
      </c>
      <c r="G796" s="10">
        <v>1.6</v>
      </c>
      <c r="H796" s="10">
        <v>16</v>
      </c>
      <c r="I796" s="10">
        <v>16</v>
      </c>
      <c r="J796" s="10">
        <v>0</v>
      </c>
      <c r="K796" s="10">
        <v>0</v>
      </c>
      <c r="L796" s="10">
        <v>0</v>
      </c>
      <c r="M796" s="10">
        <f>E796+K796-I796-J796-L796</f>
        <v>16.0</v>
      </c>
    </row>
    <row r="797" spans="1:13" ht="25" customHeight="1">
      <c r="A797" s="6" t="s">
        <v>78</v>
      </c>
      <c r="B797" s="7" t="s">
        <v>405</v>
      </c>
      <c r="C797" s="7" t="s">
        <v>198</v>
      </c>
      <c r="D797" s="23">
        <v>4</v>
      </c>
      <c r="E797" s="9">
        <v>0</v>
      </c>
      <c r="F797" s="25">
        <v>0.0475</v>
      </c>
      <c r="G797" s="9">
        <v>0</v>
      </c>
      <c r="H797" s="9">
        <v>0</v>
      </c>
      <c r="I797" s="9">
        <v>0</v>
      </c>
      <c r="J797" s="9">
        <v>0</v>
      </c>
      <c r="K797" s="9">
        <v>0</v>
      </c>
      <c r="L797" s="9">
        <v>0</v>
      </c>
      <c r="M797" s="9">
        <f>E797+K797-I797-J797-L797</f>
        <v>0.0</v>
      </c>
    </row>
    <row r="798" spans="1:13" ht="25" customHeight="1">
      <c r="A798" s="3" t="s">
        <v>78</v>
      </c>
      <c r="B798" s="4" t="s">
        <v>405</v>
      </c>
      <c r="C798" s="4" t="s">
        <v>394</v>
      </c>
      <c r="D798" s="24">
        <v>4</v>
      </c>
      <c r="E798" s="10">
        <v>1299.998001519319</v>
      </c>
      <c r="F798" s="26">
        <v>0.06</v>
      </c>
      <c r="G798" s="10">
        <v>77.99988009115914</v>
      </c>
      <c r="H798" s="10">
        <v>44.46700507614213</v>
      </c>
      <c r="I798" s="10">
        <v>44.46700507614213</v>
      </c>
      <c r="J798" s="10">
        <v>0</v>
      </c>
      <c r="K798" s="10">
        <v>0</v>
      </c>
      <c r="L798" s="10">
        <v>0</v>
      </c>
      <c r="M798" s="10">
        <f>E798+K798-I798-J798-L798</f>
        <v>1255.5309964431767</v>
      </c>
    </row>
    <row r="799" spans="1:13" ht="25" customHeight="1">
      <c r="A799" s="6" t="s">
        <v>78</v>
      </c>
      <c r="B799" s="7" t="s">
        <v>405</v>
      </c>
      <c r="C799" s="7" t="s">
        <v>395</v>
      </c>
      <c r="D799" s="23">
        <v>4</v>
      </c>
      <c r="E799" s="9">
        <v>0</v>
      </c>
      <c r="F799" s="25">
        <v>0.0575</v>
      </c>
      <c r="G799" s="9">
        <v>0</v>
      </c>
      <c r="H799" s="9">
        <v>0</v>
      </c>
      <c r="I799" s="9">
        <v>0</v>
      </c>
      <c r="J799" s="9">
        <v>0</v>
      </c>
      <c r="K799" s="9">
        <v>436.0468485471886</v>
      </c>
      <c r="L799" s="9">
        <v>0</v>
      </c>
      <c r="M799" s="9">
        <f>E799+K799-I799-J799-L799</f>
        <v>436.0468485471886</v>
      </c>
    </row>
    <row r="800" spans="1:13" ht="25" customHeight="1">
      <c r="A800" s="3" t="s">
        <v>78</v>
      </c>
      <c r="B800" s="4" t="s">
        <v>405</v>
      </c>
      <c r="C800" s="4" t="s">
        <v>139</v>
      </c>
      <c r="D800" s="24">
        <v>5</v>
      </c>
      <c r="E800" s="10">
        <v>0</v>
      </c>
      <c r="F800" s="26">
        <v>0.038</v>
      </c>
      <c r="G800" s="10">
        <v>0</v>
      </c>
      <c r="H800" s="10">
        <v>0</v>
      </c>
      <c r="I800" s="10">
        <v>0</v>
      </c>
      <c r="J800" s="10">
        <v>0</v>
      </c>
      <c r="K800" s="10">
        <v>0</v>
      </c>
      <c r="L800" s="10">
        <v>0</v>
      </c>
      <c r="M800" s="10">
        <f>E800+K800-I800-J800-L800</f>
        <v>0.0</v>
      </c>
    </row>
    <row r="801" spans="1:13" ht="25" customHeight="1">
      <c r="A801" s="6" t="s">
        <v>78</v>
      </c>
      <c r="B801" s="7" t="s">
        <v>405</v>
      </c>
      <c r="C801" s="7" t="s">
        <v>153</v>
      </c>
      <c r="D801" s="23">
        <v>5</v>
      </c>
      <c r="E801" s="9">
        <v>16</v>
      </c>
      <c r="F801" s="25">
        <v>0.05</v>
      </c>
      <c r="G801" s="9">
        <v>0.8</v>
      </c>
      <c r="H801" s="9">
        <v>16</v>
      </c>
      <c r="I801" s="9">
        <v>16</v>
      </c>
      <c r="J801" s="9">
        <v>0</v>
      </c>
      <c r="K801" s="9">
        <v>0</v>
      </c>
      <c r="L801" s="9">
        <v>0</v>
      </c>
      <c r="M801" s="9">
        <f>E801+K801-I801-J801-L801</f>
        <v>0.0</v>
      </c>
    </row>
    <row r="802" spans="1:13" ht="25" customHeight="1">
      <c r="A802" s="3" t="s">
        <v>78</v>
      </c>
      <c r="B802" s="4" t="s">
        <v>405</v>
      </c>
      <c r="C802" s="4" t="s">
        <v>198</v>
      </c>
      <c r="D802" s="24">
        <v>5</v>
      </c>
      <c r="E802" s="10">
        <v>0</v>
      </c>
      <c r="F802" s="26">
        <v>0.0475</v>
      </c>
      <c r="G802" s="10">
        <v>0</v>
      </c>
      <c r="H802" s="10">
        <v>0</v>
      </c>
      <c r="I802" s="10">
        <v>0</v>
      </c>
      <c r="J802" s="10">
        <v>0</v>
      </c>
      <c r="K802" s="10">
        <v>0</v>
      </c>
      <c r="L802" s="10">
        <v>0</v>
      </c>
      <c r="M802" s="10">
        <f>E802+K802-I802-J802-L802</f>
        <v>0.0</v>
      </c>
    </row>
    <row r="803" spans="1:13" ht="25" customHeight="1">
      <c r="A803" s="6" t="s">
        <v>78</v>
      </c>
      <c r="B803" s="7" t="s">
        <v>405</v>
      </c>
      <c r="C803" s="7" t="s">
        <v>394</v>
      </c>
      <c r="D803" s="23">
        <v>5</v>
      </c>
      <c r="E803" s="9">
        <v>1255.530996443177</v>
      </c>
      <c r="F803" s="25">
        <v>0.06</v>
      </c>
      <c r="G803" s="9">
        <v>75.33185978659061</v>
      </c>
      <c r="H803" s="9">
        <v>1255.530996443177</v>
      </c>
      <c r="I803" s="9">
        <v>1255.530996443177</v>
      </c>
      <c r="J803" s="9">
        <v>0</v>
      </c>
      <c r="K803" s="9">
        <v>0</v>
      </c>
      <c r="L803" s="9">
        <v>0</v>
      </c>
      <c r="M803" s="9">
        <f>E803+K803-I803-J803-L803</f>
        <v>0.0</v>
      </c>
    </row>
    <row r="804" spans="1:13" ht="25" customHeight="1">
      <c r="A804" s="3" t="s">
        <v>78</v>
      </c>
      <c r="B804" s="4" t="s">
        <v>405</v>
      </c>
      <c r="C804" s="4" t="s">
        <v>395</v>
      </c>
      <c r="D804" s="24">
        <v>5</v>
      </c>
      <c r="E804" s="10">
        <v>436.0468485471886</v>
      </c>
      <c r="F804" s="26">
        <v>0.0575</v>
      </c>
      <c r="G804" s="10">
        <v>25.07269379146334</v>
      </c>
      <c r="H804" s="10">
        <v>436.0468485471886</v>
      </c>
      <c r="I804" s="10">
        <v>39.62206642753949</v>
      </c>
      <c r="J804" s="10">
        <v>0</v>
      </c>
      <c r="K804" s="10">
        <v>0</v>
      </c>
      <c r="L804" s="10">
        <v>0</v>
      </c>
      <c r="M804" s="10">
        <f>E804+K804-I804-J804-L804</f>
        <v>396.4247821196491</v>
      </c>
    </row>
    <row r="805" spans="1:13" ht="25" customHeight="1">
      <c r="A805" s="6" t="s">
        <v>79</v>
      </c>
      <c r="B805" s="7" t="s">
        <v>405</v>
      </c>
      <c r="C805" s="7" t="s">
        <v>139</v>
      </c>
      <c r="D805" s="23">
        <v>1</v>
      </c>
      <c r="E805" s="9">
        <v>900</v>
      </c>
      <c r="F805" s="25">
        <v>0.038</v>
      </c>
      <c r="G805" s="9">
        <v>34.2</v>
      </c>
      <c r="H805" s="9">
        <v>0</v>
      </c>
      <c r="I805" s="9">
        <v>0</v>
      </c>
      <c r="J805" s="9">
        <v>0</v>
      </c>
      <c r="K805" s="9">
        <v>0</v>
      </c>
      <c r="L805" s="9">
        <v>0</v>
      </c>
      <c r="M805" s="9">
        <f>E805+K805-I805-J805-L805</f>
        <v>900.0</v>
      </c>
    </row>
    <row r="806" spans="1:13" ht="25" customHeight="1">
      <c r="A806" s="3" t="s">
        <v>79</v>
      </c>
      <c r="B806" s="4" t="s">
        <v>405</v>
      </c>
      <c r="C806" s="4" t="s">
        <v>153</v>
      </c>
      <c r="D806" s="24">
        <v>1</v>
      </c>
      <c r="E806" s="10">
        <v>80</v>
      </c>
      <c r="F806" s="26">
        <v>0.05</v>
      </c>
      <c r="G806" s="10">
        <v>4</v>
      </c>
      <c r="H806" s="10">
        <v>16</v>
      </c>
      <c r="I806" s="10">
        <v>16</v>
      </c>
      <c r="J806" s="10">
        <v>0</v>
      </c>
      <c r="K806" s="10">
        <v>0</v>
      </c>
      <c r="L806" s="10">
        <v>0</v>
      </c>
      <c r="M806" s="10">
        <f>E806+K806-I806-J806-L806</f>
        <v>64.0</v>
      </c>
    </row>
    <row r="807" spans="1:13" ht="25" customHeight="1">
      <c r="A807" s="6" t="s">
        <v>79</v>
      </c>
      <c r="B807" s="7" t="s">
        <v>405</v>
      </c>
      <c r="C807" s="7" t="s">
        <v>198</v>
      </c>
      <c r="D807" s="23">
        <v>1</v>
      </c>
      <c r="E807" s="9">
        <v>350</v>
      </c>
      <c r="F807" s="25">
        <v>0.0475</v>
      </c>
      <c r="G807" s="9">
        <v>16.625</v>
      </c>
      <c r="H807" s="9">
        <v>0</v>
      </c>
      <c r="I807" s="9">
        <v>0</v>
      </c>
      <c r="J807" s="9">
        <v>0</v>
      </c>
      <c r="K807" s="9">
        <v>0</v>
      </c>
      <c r="L807" s="9">
        <v>0</v>
      </c>
      <c r="M807" s="9">
        <f>E807+K807-I807-J807-L807</f>
        <v>350.0</v>
      </c>
    </row>
    <row r="808" spans="1:13" ht="25" customHeight="1">
      <c r="A808" s="3" t="s">
        <v>79</v>
      </c>
      <c r="B808" s="4" t="s">
        <v>405</v>
      </c>
      <c r="C808" s="4" t="s">
        <v>394</v>
      </c>
      <c r="D808" s="24">
        <v>1</v>
      </c>
      <c r="E808" s="10">
        <v>304.5685279187817</v>
      </c>
      <c r="F808" s="26">
        <v>0.065</v>
      </c>
      <c r="G808" s="10">
        <v>19.79695431472081</v>
      </c>
      <c r="H808" s="10">
        <v>6.091370558375635</v>
      </c>
      <c r="I808" s="10">
        <v>6.091370558375635</v>
      </c>
      <c r="J808" s="10">
        <v>0</v>
      </c>
      <c r="K808" s="10">
        <v>0</v>
      </c>
      <c r="L808" s="10">
        <v>0</v>
      </c>
      <c r="M808" s="10">
        <f>E808+K808-I808-J808-L808</f>
        <v>298.4771573604061</v>
      </c>
    </row>
    <row r="809" spans="1:13" ht="25" customHeight="1">
      <c r="A809" s="6" t="s">
        <v>79</v>
      </c>
      <c r="B809" s="7" t="s">
        <v>405</v>
      </c>
      <c r="C809" s="7" t="s">
        <v>395</v>
      </c>
      <c r="D809" s="23">
        <v>1</v>
      </c>
      <c r="E809" s="9">
        <v>0</v>
      </c>
      <c r="F809" s="25">
        <v>0.0625</v>
      </c>
      <c r="G809" s="9">
        <v>0</v>
      </c>
      <c r="H809" s="9">
        <v>0</v>
      </c>
      <c r="I809" s="9">
        <v>0</v>
      </c>
      <c r="J809" s="9">
        <v>0</v>
      </c>
      <c r="K809" s="9">
        <v>284.1826650615401</v>
      </c>
      <c r="L809" s="9">
        <v>0</v>
      </c>
      <c r="M809" s="9">
        <f>E809+K809-I809-J809-L809</f>
        <v>284.1826650615401</v>
      </c>
    </row>
    <row r="810" spans="1:13" ht="25" customHeight="1">
      <c r="A810" s="3" t="s">
        <v>79</v>
      </c>
      <c r="B810" s="4" t="s">
        <v>405</v>
      </c>
      <c r="C810" s="4" t="s">
        <v>139</v>
      </c>
      <c r="D810" s="24">
        <v>2</v>
      </c>
      <c r="E810" s="10">
        <v>900</v>
      </c>
      <c r="F810" s="26">
        <v>0.038</v>
      </c>
      <c r="G810" s="10">
        <v>34.2</v>
      </c>
      <c r="H810" s="10">
        <v>0</v>
      </c>
      <c r="I810" s="10">
        <v>0</v>
      </c>
      <c r="J810" s="10">
        <v>0</v>
      </c>
      <c r="K810" s="10">
        <v>0</v>
      </c>
      <c r="L810" s="10">
        <v>0</v>
      </c>
      <c r="M810" s="10">
        <f>E810+K810-I810-J810-L810</f>
        <v>900.0</v>
      </c>
    </row>
    <row r="811" spans="1:13" ht="25" customHeight="1">
      <c r="A811" s="6" t="s">
        <v>79</v>
      </c>
      <c r="B811" s="7" t="s">
        <v>405</v>
      </c>
      <c r="C811" s="7" t="s">
        <v>153</v>
      </c>
      <c r="D811" s="23">
        <v>2</v>
      </c>
      <c r="E811" s="9">
        <v>64</v>
      </c>
      <c r="F811" s="25">
        <v>0.05</v>
      </c>
      <c r="G811" s="9">
        <v>3.2</v>
      </c>
      <c r="H811" s="9">
        <v>16</v>
      </c>
      <c r="I811" s="9">
        <v>16</v>
      </c>
      <c r="J811" s="9">
        <v>0</v>
      </c>
      <c r="K811" s="9">
        <v>0</v>
      </c>
      <c r="L811" s="9">
        <v>0</v>
      </c>
      <c r="M811" s="9">
        <f>E811+K811-I811-J811-L811</f>
        <v>48.0</v>
      </c>
    </row>
    <row r="812" spans="1:13" ht="25" customHeight="1">
      <c r="A812" s="3" t="s">
        <v>79</v>
      </c>
      <c r="B812" s="4" t="s">
        <v>405</v>
      </c>
      <c r="C812" s="4" t="s">
        <v>198</v>
      </c>
      <c r="D812" s="24">
        <v>2</v>
      </c>
      <c r="E812" s="10">
        <v>350</v>
      </c>
      <c r="F812" s="26">
        <v>0.0475</v>
      </c>
      <c r="G812" s="10">
        <v>16.625</v>
      </c>
      <c r="H812" s="10">
        <v>0</v>
      </c>
      <c r="I812" s="10">
        <v>0</v>
      </c>
      <c r="J812" s="10">
        <v>0</v>
      </c>
      <c r="K812" s="10">
        <v>0</v>
      </c>
      <c r="L812" s="10">
        <v>0</v>
      </c>
      <c r="M812" s="10">
        <f>E812+K812-I812-J812-L812</f>
        <v>350.0</v>
      </c>
    </row>
    <row r="813" spans="1:13" ht="25" customHeight="1">
      <c r="A813" s="6" t="s">
        <v>79</v>
      </c>
      <c r="B813" s="7" t="s">
        <v>405</v>
      </c>
      <c r="C813" s="7" t="s">
        <v>394</v>
      </c>
      <c r="D813" s="23">
        <v>2</v>
      </c>
      <c r="E813" s="9">
        <v>298.4771573604061</v>
      </c>
      <c r="F813" s="25">
        <v>0.0625</v>
      </c>
      <c r="G813" s="9">
        <v>18.65482233502538</v>
      </c>
      <c r="H813" s="9">
        <v>6.091370558375635</v>
      </c>
      <c r="I813" s="9">
        <v>6.091370558375635</v>
      </c>
      <c r="J813" s="9">
        <v>94.13796931063348</v>
      </c>
      <c r="K813" s="9">
        <v>0</v>
      </c>
      <c r="L813" s="9">
        <v>0</v>
      </c>
      <c r="M813" s="9">
        <f>E813+K813-I813-J813-L813</f>
        <v>198.24781749139703</v>
      </c>
    </row>
    <row r="814" spans="1:13" ht="25" customHeight="1">
      <c r="A814" s="3" t="s">
        <v>79</v>
      </c>
      <c r="B814" s="4" t="s">
        <v>405</v>
      </c>
      <c r="C814" s="4" t="s">
        <v>395</v>
      </c>
      <c r="D814" s="24">
        <v>2</v>
      </c>
      <c r="E814" s="10">
        <v>284.1826650615401</v>
      </c>
      <c r="F814" s="26">
        <v>0.06</v>
      </c>
      <c r="G814" s="10">
        <v>17.05095990369241</v>
      </c>
      <c r="H814" s="10">
        <v>0</v>
      </c>
      <c r="I814" s="10">
        <v>0</v>
      </c>
      <c r="J814" s="10">
        <v>284.1826650615401</v>
      </c>
      <c r="K814" s="10">
        <v>0</v>
      </c>
      <c r="L814" s="10">
        <v>0</v>
      </c>
      <c r="M814" s="10">
        <f>E814+K814-I814-J814-L814</f>
        <v>0.0</v>
      </c>
    </row>
    <row r="815" spans="1:13" ht="25" customHeight="1">
      <c r="A815" s="6" t="s">
        <v>79</v>
      </c>
      <c r="B815" s="7" t="s">
        <v>405</v>
      </c>
      <c r="C815" s="7" t="s">
        <v>139</v>
      </c>
      <c r="D815" s="23">
        <v>3</v>
      </c>
      <c r="E815" s="9">
        <v>900</v>
      </c>
      <c r="F815" s="25">
        <v>0.038</v>
      </c>
      <c r="G815" s="9">
        <v>34.2</v>
      </c>
      <c r="H815" s="9">
        <v>0</v>
      </c>
      <c r="I815" s="9">
        <v>0</v>
      </c>
      <c r="J815" s="9">
        <v>0</v>
      </c>
      <c r="K815" s="9">
        <v>0</v>
      </c>
      <c r="L815" s="9">
        <v>0</v>
      </c>
      <c r="M815" s="9">
        <f>E815+K815-I815-J815-L815</f>
        <v>900.0</v>
      </c>
    </row>
    <row r="816" spans="1:13" ht="25" customHeight="1">
      <c r="A816" s="3" t="s">
        <v>79</v>
      </c>
      <c r="B816" s="4" t="s">
        <v>405</v>
      </c>
      <c r="C816" s="4" t="s">
        <v>153</v>
      </c>
      <c r="D816" s="24">
        <v>3</v>
      </c>
      <c r="E816" s="10">
        <v>48</v>
      </c>
      <c r="F816" s="26">
        <v>0.05</v>
      </c>
      <c r="G816" s="10">
        <v>2.4</v>
      </c>
      <c r="H816" s="10">
        <v>16</v>
      </c>
      <c r="I816" s="10">
        <v>16</v>
      </c>
      <c r="J816" s="10">
        <v>0</v>
      </c>
      <c r="K816" s="10">
        <v>0</v>
      </c>
      <c r="L816" s="10">
        <v>0</v>
      </c>
      <c r="M816" s="10">
        <f>E816+K816-I816-J816-L816</f>
        <v>32.0</v>
      </c>
    </row>
    <row r="817" spans="1:13" ht="25" customHeight="1">
      <c r="A817" s="6" t="s">
        <v>79</v>
      </c>
      <c r="B817" s="7" t="s">
        <v>405</v>
      </c>
      <c r="C817" s="7" t="s">
        <v>198</v>
      </c>
      <c r="D817" s="23">
        <v>3</v>
      </c>
      <c r="E817" s="9">
        <v>350</v>
      </c>
      <c r="F817" s="25">
        <v>0.0475</v>
      </c>
      <c r="G817" s="9">
        <v>16.625</v>
      </c>
      <c r="H817" s="9">
        <v>350</v>
      </c>
      <c r="I817" s="9">
        <v>350</v>
      </c>
      <c r="J817" s="9">
        <v>0</v>
      </c>
      <c r="K817" s="9">
        <v>0</v>
      </c>
      <c r="L817" s="9">
        <v>0</v>
      </c>
      <c r="M817" s="9">
        <f>E817+K817-I817-J817-L817</f>
        <v>0.0</v>
      </c>
    </row>
    <row r="818" spans="1:13" ht="25" customHeight="1">
      <c r="A818" s="3" t="s">
        <v>79</v>
      </c>
      <c r="B818" s="4" t="s">
        <v>405</v>
      </c>
      <c r="C818" s="4" t="s">
        <v>394</v>
      </c>
      <c r="D818" s="24">
        <v>3</v>
      </c>
      <c r="E818" s="10">
        <v>198.247817491397</v>
      </c>
      <c r="F818" s="26">
        <v>0.06</v>
      </c>
      <c r="G818" s="10">
        <v>11.89486904948382</v>
      </c>
      <c r="H818" s="10">
        <v>6.091370558375635</v>
      </c>
      <c r="I818" s="10">
        <v>6.091370558375635</v>
      </c>
      <c r="J818" s="10">
        <v>142.3980515543388</v>
      </c>
      <c r="K818" s="10">
        <v>0</v>
      </c>
      <c r="L818" s="10">
        <v>0</v>
      </c>
      <c r="M818" s="10">
        <f>E818+K818-I818-J818-L818</f>
        <v>49.758395378682536</v>
      </c>
    </row>
    <row r="819" spans="1:13" ht="25" customHeight="1">
      <c r="A819" s="6" t="s">
        <v>79</v>
      </c>
      <c r="B819" s="7" t="s">
        <v>405</v>
      </c>
      <c r="C819" s="7" t="s">
        <v>395</v>
      </c>
      <c r="D819" s="23">
        <v>3</v>
      </c>
      <c r="E819" s="9">
        <v>0</v>
      </c>
      <c r="F819" s="25">
        <v>0.0575</v>
      </c>
      <c r="G819" s="9">
        <v>0</v>
      </c>
      <c r="H819" s="9">
        <v>0</v>
      </c>
      <c r="I819" s="9">
        <v>0</v>
      </c>
      <c r="J819" s="9">
        <v>0</v>
      </c>
      <c r="K819" s="9">
        <v>0</v>
      </c>
      <c r="L819" s="9">
        <v>0</v>
      </c>
      <c r="M819" s="9">
        <f>E819+K819-I819-J819-L819</f>
        <v>0.0</v>
      </c>
    </row>
    <row r="820" spans="1:13" ht="25" customHeight="1">
      <c r="A820" s="3" t="s">
        <v>79</v>
      </c>
      <c r="B820" s="4" t="s">
        <v>405</v>
      </c>
      <c r="C820" s="4" t="s">
        <v>139</v>
      </c>
      <c r="D820" s="24">
        <v>4</v>
      </c>
      <c r="E820" s="10">
        <v>900</v>
      </c>
      <c r="F820" s="26">
        <v>0.038</v>
      </c>
      <c r="G820" s="10">
        <v>34.2</v>
      </c>
      <c r="H820" s="10">
        <v>900</v>
      </c>
      <c r="I820" s="10">
        <v>900</v>
      </c>
      <c r="J820" s="10">
        <v>0</v>
      </c>
      <c r="K820" s="10">
        <v>0</v>
      </c>
      <c r="L820" s="10">
        <v>0</v>
      </c>
      <c r="M820" s="10">
        <f>E820+K820-I820-J820-L820</f>
        <v>0.0</v>
      </c>
    </row>
    <row r="821" spans="1:13" ht="25" customHeight="1">
      <c r="A821" s="6" t="s">
        <v>79</v>
      </c>
      <c r="B821" s="7" t="s">
        <v>405</v>
      </c>
      <c r="C821" s="7" t="s">
        <v>153</v>
      </c>
      <c r="D821" s="23">
        <v>4</v>
      </c>
      <c r="E821" s="9">
        <v>32</v>
      </c>
      <c r="F821" s="25">
        <v>0.05</v>
      </c>
      <c r="G821" s="9">
        <v>1.6</v>
      </c>
      <c r="H821" s="9">
        <v>16</v>
      </c>
      <c r="I821" s="9">
        <v>16</v>
      </c>
      <c r="J821" s="9">
        <v>0</v>
      </c>
      <c r="K821" s="9">
        <v>0</v>
      </c>
      <c r="L821" s="9">
        <v>0</v>
      </c>
      <c r="M821" s="9">
        <f>E821+K821-I821-J821-L821</f>
        <v>16.0</v>
      </c>
    </row>
    <row r="822" spans="1:13" ht="25" customHeight="1">
      <c r="A822" s="3" t="s">
        <v>79</v>
      </c>
      <c r="B822" s="4" t="s">
        <v>405</v>
      </c>
      <c r="C822" s="4" t="s">
        <v>198</v>
      </c>
      <c r="D822" s="24">
        <v>4</v>
      </c>
      <c r="E822" s="10">
        <v>0</v>
      </c>
      <c r="F822" s="26">
        <v>0.0475</v>
      </c>
      <c r="G822" s="10">
        <v>0</v>
      </c>
      <c r="H822" s="10">
        <v>0</v>
      </c>
      <c r="I822" s="10">
        <v>0</v>
      </c>
      <c r="J822" s="10">
        <v>0</v>
      </c>
      <c r="K822" s="10">
        <v>0</v>
      </c>
      <c r="L822" s="10">
        <v>0</v>
      </c>
      <c r="M822" s="10">
        <f>E822+K822-I822-J822-L822</f>
        <v>0.0</v>
      </c>
    </row>
    <row r="823" spans="1:13" ht="25" customHeight="1">
      <c r="A823" s="6" t="s">
        <v>79</v>
      </c>
      <c r="B823" s="7" t="s">
        <v>405</v>
      </c>
      <c r="C823" s="7" t="s">
        <v>394</v>
      </c>
      <c r="D823" s="23">
        <v>4</v>
      </c>
      <c r="E823" s="9">
        <v>49.75839537868254</v>
      </c>
      <c r="F823" s="25">
        <v>0.06</v>
      </c>
      <c r="G823" s="9">
        <v>2.985503722720952</v>
      </c>
      <c r="H823" s="9">
        <v>6.091370558375635</v>
      </c>
      <c r="I823" s="9">
        <v>6.091370558375635</v>
      </c>
      <c r="J823" s="9">
        <v>0</v>
      </c>
      <c r="K823" s="9">
        <v>0</v>
      </c>
      <c r="L823" s="9">
        <v>0</v>
      </c>
      <c r="M823" s="9">
        <f>E823+K823-I823-J823-L823</f>
        <v>43.6670248203069</v>
      </c>
    </row>
    <row r="824" spans="1:13" ht="25" customHeight="1">
      <c r="A824" s="3" t="s">
        <v>79</v>
      </c>
      <c r="B824" s="4" t="s">
        <v>405</v>
      </c>
      <c r="C824" s="4" t="s">
        <v>395</v>
      </c>
      <c r="D824" s="24">
        <v>4</v>
      </c>
      <c r="E824" s="10">
        <v>0</v>
      </c>
      <c r="F824" s="26">
        <v>0.0575</v>
      </c>
      <c r="G824" s="10">
        <v>0</v>
      </c>
      <c r="H824" s="10">
        <v>0</v>
      </c>
      <c r="I824" s="10">
        <v>0</v>
      </c>
      <c r="J824" s="10">
        <v>1.13686837721616E-13</v>
      </c>
      <c r="K824" s="10">
        <v>341.4104317530932</v>
      </c>
      <c r="L824" s="10">
        <v>0</v>
      </c>
      <c r="M824" s="10">
        <f>E824+K824-I824-J824-L824</f>
        <v>341.4104317530931</v>
      </c>
    </row>
    <row r="825" spans="1:13" ht="25" customHeight="1">
      <c r="A825" s="6" t="s">
        <v>79</v>
      </c>
      <c r="B825" s="7" t="s">
        <v>405</v>
      </c>
      <c r="C825" s="7" t="s">
        <v>139</v>
      </c>
      <c r="D825" s="23">
        <v>5</v>
      </c>
      <c r="E825" s="9">
        <v>0</v>
      </c>
      <c r="F825" s="25">
        <v>0.038</v>
      </c>
      <c r="G825" s="9">
        <v>0</v>
      </c>
      <c r="H825" s="9">
        <v>0</v>
      </c>
      <c r="I825" s="9">
        <v>0</v>
      </c>
      <c r="J825" s="9">
        <v>0</v>
      </c>
      <c r="K825" s="9">
        <v>0</v>
      </c>
      <c r="L825" s="9">
        <v>0</v>
      </c>
      <c r="M825" s="9">
        <f>E825+K825-I825-J825-L825</f>
        <v>0.0</v>
      </c>
    </row>
    <row r="826" spans="1:13" ht="25" customHeight="1">
      <c r="A826" s="3" t="s">
        <v>79</v>
      </c>
      <c r="B826" s="4" t="s">
        <v>405</v>
      </c>
      <c r="C826" s="4" t="s">
        <v>153</v>
      </c>
      <c r="D826" s="24">
        <v>5</v>
      </c>
      <c r="E826" s="10">
        <v>16</v>
      </c>
      <c r="F826" s="26">
        <v>0.05</v>
      </c>
      <c r="G826" s="10">
        <v>0.8</v>
      </c>
      <c r="H826" s="10">
        <v>16</v>
      </c>
      <c r="I826" s="10">
        <v>16</v>
      </c>
      <c r="J826" s="10">
        <v>0</v>
      </c>
      <c r="K826" s="10">
        <v>0</v>
      </c>
      <c r="L826" s="10">
        <v>0</v>
      </c>
      <c r="M826" s="10">
        <f>E826+K826-I826-J826-L826</f>
        <v>0.0</v>
      </c>
    </row>
    <row r="827" spans="1:13" ht="25" customHeight="1">
      <c r="A827" s="6" t="s">
        <v>79</v>
      </c>
      <c r="B827" s="7" t="s">
        <v>405</v>
      </c>
      <c r="C827" s="7" t="s">
        <v>198</v>
      </c>
      <c r="D827" s="23">
        <v>5</v>
      </c>
      <c r="E827" s="9">
        <v>0</v>
      </c>
      <c r="F827" s="25">
        <v>0.0475</v>
      </c>
      <c r="G827" s="9">
        <v>0</v>
      </c>
      <c r="H827" s="9">
        <v>0</v>
      </c>
      <c r="I827" s="9">
        <v>0</v>
      </c>
      <c r="J827" s="9">
        <v>0</v>
      </c>
      <c r="K827" s="9">
        <v>0</v>
      </c>
      <c r="L827" s="9">
        <v>0</v>
      </c>
      <c r="M827" s="9">
        <f>E827+K827-I827-J827-L827</f>
        <v>0.0</v>
      </c>
    </row>
    <row r="828" spans="1:13" ht="25" customHeight="1">
      <c r="A828" s="3" t="s">
        <v>79</v>
      </c>
      <c r="B828" s="4" t="s">
        <v>405</v>
      </c>
      <c r="C828" s="4" t="s">
        <v>394</v>
      </c>
      <c r="D828" s="24">
        <v>5</v>
      </c>
      <c r="E828" s="10">
        <v>43.6670248203069</v>
      </c>
      <c r="F828" s="26">
        <v>0.06</v>
      </c>
      <c r="G828" s="10">
        <v>2.620021489218414</v>
      </c>
      <c r="H828" s="10">
        <v>43.6670248203069</v>
      </c>
      <c r="I828" s="10">
        <v>43.6670248203069</v>
      </c>
      <c r="J828" s="10">
        <v>0</v>
      </c>
      <c r="K828" s="10">
        <v>0</v>
      </c>
      <c r="L828" s="10">
        <v>0</v>
      </c>
      <c r="M828" s="10">
        <f>E828+K828-I828-J828-L828</f>
        <v>0.0</v>
      </c>
    </row>
    <row r="829" spans="1:13" ht="25" customHeight="1">
      <c r="A829" s="6" t="s">
        <v>79</v>
      </c>
      <c r="B829" s="7" t="s">
        <v>405</v>
      </c>
      <c r="C829" s="7" t="s">
        <v>395</v>
      </c>
      <c r="D829" s="23">
        <v>5</v>
      </c>
      <c r="E829" s="9">
        <v>341.4104317530931</v>
      </c>
      <c r="F829" s="25">
        <v>0.0575</v>
      </c>
      <c r="G829" s="9">
        <v>19.63109982580286</v>
      </c>
      <c r="H829" s="9">
        <v>341.4104317530931</v>
      </c>
      <c r="I829" s="9">
        <v>341.4104317530931</v>
      </c>
      <c r="J829" s="9">
        <v>0</v>
      </c>
      <c r="K829" s="9">
        <v>0</v>
      </c>
      <c r="L829" s="9">
        <v>0</v>
      </c>
      <c r="M829" s="9">
        <f>E829+K829-I829-J829-L829</f>
        <v>0.0</v>
      </c>
    </row>
    <row r="830" spans="1:13" ht="25" customHeight="1">
      <c r="A830" s="3" t="s">
        <v>68</v>
      </c>
      <c r="B830" s="4" t="s">
        <v>406</v>
      </c>
      <c r="C830" s="4" t="s">
        <v>139</v>
      </c>
      <c r="D830" s="24">
        <v>1</v>
      </c>
      <c r="E830" s="10">
        <v>900</v>
      </c>
      <c r="F830" s="26">
        <v>0.038</v>
      </c>
      <c r="G830" s="10">
        <v>34.2</v>
      </c>
      <c r="H830" s="10">
        <v>0</v>
      </c>
      <c r="I830" s="10">
        <v>0</v>
      </c>
      <c r="J830" s="10">
        <v>0</v>
      </c>
      <c r="K830" s="10">
        <v>0</v>
      </c>
      <c r="L830" s="10">
        <v>0</v>
      </c>
      <c r="M830" s="10">
        <f>E830+K830-I830-J830-L830</f>
        <v>900.0</v>
      </c>
    </row>
    <row r="831" spans="1:13" ht="25" customHeight="1">
      <c r="A831" s="6" t="s">
        <v>68</v>
      </c>
      <c r="B831" s="7" t="s">
        <v>406</v>
      </c>
      <c r="C831" s="7" t="s">
        <v>153</v>
      </c>
      <c r="D831" s="23">
        <v>1</v>
      </c>
      <c r="E831" s="9">
        <v>80</v>
      </c>
      <c r="F831" s="25">
        <v>0.05</v>
      </c>
      <c r="G831" s="9">
        <v>4</v>
      </c>
      <c r="H831" s="9">
        <v>16</v>
      </c>
      <c r="I831" s="9">
        <v>16</v>
      </c>
      <c r="J831" s="9">
        <v>0</v>
      </c>
      <c r="K831" s="9">
        <v>0</v>
      </c>
      <c r="L831" s="9">
        <v>0</v>
      </c>
      <c r="M831" s="9">
        <f>E831+K831-I831-J831-L831</f>
        <v>64.0</v>
      </c>
    </row>
    <row r="832" spans="1:13" ht="25" customHeight="1">
      <c r="A832" s="3" t="s">
        <v>68</v>
      </c>
      <c r="B832" s="4" t="s">
        <v>406</v>
      </c>
      <c r="C832" s="4" t="s">
        <v>198</v>
      </c>
      <c r="D832" s="24">
        <v>1</v>
      </c>
      <c r="E832" s="10">
        <v>350</v>
      </c>
      <c r="F832" s="26">
        <v>0.0475</v>
      </c>
      <c r="G832" s="10">
        <v>16.625</v>
      </c>
      <c r="H832" s="10">
        <v>0</v>
      </c>
      <c r="I832" s="10">
        <v>0</v>
      </c>
      <c r="J832" s="10">
        <v>0</v>
      </c>
      <c r="K832" s="10">
        <v>0</v>
      </c>
      <c r="L832" s="10">
        <v>0</v>
      </c>
      <c r="M832" s="10">
        <f>E832+K832-I832-J832-L832</f>
        <v>350.0</v>
      </c>
    </row>
    <row r="833" spans="1:13" ht="25" customHeight="1">
      <c r="A833" s="6" t="s">
        <v>68</v>
      </c>
      <c r="B833" s="7" t="s">
        <v>406</v>
      </c>
      <c r="C833" s="7" t="s">
        <v>394</v>
      </c>
      <c r="D833" s="23">
        <v>1</v>
      </c>
      <c r="E833" s="9">
        <v>1340.10152284264</v>
      </c>
      <c r="F833" s="25">
        <v>0.08499999999999999</v>
      </c>
      <c r="G833" s="9">
        <v>113.9086294416244</v>
      </c>
      <c r="H833" s="9">
        <v>26.80203045685279</v>
      </c>
      <c r="I833" s="9">
        <v>26.80203045685279</v>
      </c>
      <c r="J833" s="9">
        <v>238.5119597906956</v>
      </c>
      <c r="K833" s="9">
        <v>0</v>
      </c>
      <c r="L833" s="9">
        <v>0</v>
      </c>
      <c r="M833" s="9">
        <f>E833+K833-I833-J833-L833</f>
        <v>1074.7875325950913</v>
      </c>
    </row>
    <row r="834" spans="1:13" ht="25" customHeight="1">
      <c r="A834" s="3" t="s">
        <v>68</v>
      </c>
      <c r="B834" s="4" t="s">
        <v>406</v>
      </c>
      <c r="C834" s="4" t="s">
        <v>395</v>
      </c>
      <c r="D834" s="24">
        <v>1</v>
      </c>
      <c r="E834" s="10">
        <v>0</v>
      </c>
      <c r="F834" s="26">
        <v>0.08249999999999999</v>
      </c>
      <c r="G834" s="10">
        <v>0</v>
      </c>
      <c r="H834" s="10">
        <v>0</v>
      </c>
      <c r="I834" s="10">
        <v>0</v>
      </c>
      <c r="J834" s="10">
        <v>0</v>
      </c>
      <c r="K834" s="10">
        <v>0</v>
      </c>
      <c r="L834" s="10">
        <v>0</v>
      </c>
      <c r="M834" s="10">
        <f>E834+K834-I834-J834-L834</f>
        <v>0.0</v>
      </c>
    </row>
    <row r="835" spans="1:13" ht="25" customHeight="1">
      <c r="A835" s="6" t="s">
        <v>68</v>
      </c>
      <c r="B835" s="7" t="s">
        <v>406</v>
      </c>
      <c r="C835" s="7" t="s">
        <v>139</v>
      </c>
      <c r="D835" s="23">
        <v>2</v>
      </c>
      <c r="E835" s="9">
        <v>900</v>
      </c>
      <c r="F835" s="25">
        <v>0.038</v>
      </c>
      <c r="G835" s="9">
        <v>34.2</v>
      </c>
      <c r="H835" s="9">
        <v>0</v>
      </c>
      <c r="I835" s="9">
        <v>0</v>
      </c>
      <c r="J835" s="9">
        <v>0</v>
      </c>
      <c r="K835" s="9">
        <v>0</v>
      </c>
      <c r="L835" s="9">
        <v>0</v>
      </c>
      <c r="M835" s="9">
        <f>E835+K835-I835-J835-L835</f>
        <v>900.0</v>
      </c>
    </row>
    <row r="836" spans="1:13" ht="25" customHeight="1">
      <c r="A836" s="3" t="s">
        <v>68</v>
      </c>
      <c r="B836" s="4" t="s">
        <v>406</v>
      </c>
      <c r="C836" s="4" t="s">
        <v>153</v>
      </c>
      <c r="D836" s="24">
        <v>2</v>
      </c>
      <c r="E836" s="10">
        <v>64</v>
      </c>
      <c r="F836" s="26">
        <v>0.05</v>
      </c>
      <c r="G836" s="10">
        <v>3.2</v>
      </c>
      <c r="H836" s="10">
        <v>16</v>
      </c>
      <c r="I836" s="10">
        <v>16</v>
      </c>
      <c r="J836" s="10">
        <v>0</v>
      </c>
      <c r="K836" s="10">
        <v>0</v>
      </c>
      <c r="L836" s="10">
        <v>0</v>
      </c>
      <c r="M836" s="10">
        <f>E836+K836-I836-J836-L836</f>
        <v>48.0</v>
      </c>
    </row>
    <row r="837" spans="1:13" ht="25" customHeight="1">
      <c r="A837" s="6" t="s">
        <v>68</v>
      </c>
      <c r="B837" s="7" t="s">
        <v>406</v>
      </c>
      <c r="C837" s="7" t="s">
        <v>198</v>
      </c>
      <c r="D837" s="23">
        <v>2</v>
      </c>
      <c r="E837" s="9">
        <v>350</v>
      </c>
      <c r="F837" s="25">
        <v>0.0475</v>
      </c>
      <c r="G837" s="9">
        <v>16.625</v>
      </c>
      <c r="H837" s="9">
        <v>0</v>
      </c>
      <c r="I837" s="9">
        <v>0</v>
      </c>
      <c r="J837" s="9">
        <v>0</v>
      </c>
      <c r="K837" s="9">
        <v>0</v>
      </c>
      <c r="L837" s="9">
        <v>0</v>
      </c>
      <c r="M837" s="9">
        <f>E837+K837-I837-J837-L837</f>
        <v>350.0</v>
      </c>
    </row>
    <row r="838" spans="1:13" ht="25" customHeight="1">
      <c r="A838" s="3" t="s">
        <v>68</v>
      </c>
      <c r="B838" s="4" t="s">
        <v>406</v>
      </c>
      <c r="C838" s="4" t="s">
        <v>394</v>
      </c>
      <c r="D838" s="24">
        <v>2</v>
      </c>
      <c r="E838" s="10">
        <v>1074.787532595091</v>
      </c>
      <c r="F838" s="26">
        <v>0.08249999999999999</v>
      </c>
      <c r="G838" s="10">
        <v>88.66997143909502</v>
      </c>
      <c r="H838" s="10">
        <v>26.80203045685279</v>
      </c>
      <c r="I838" s="10">
        <v>26.80203045685279</v>
      </c>
      <c r="J838" s="10">
        <v>333.2365586008102</v>
      </c>
      <c r="K838" s="10">
        <v>0</v>
      </c>
      <c r="L838" s="10">
        <v>0</v>
      </c>
      <c r="M838" s="10">
        <f>E838+K838-I838-J838-L838</f>
        <v>714.7489435374282</v>
      </c>
    </row>
    <row r="839" spans="1:13" ht="25" customHeight="1">
      <c r="A839" s="6" t="s">
        <v>68</v>
      </c>
      <c r="B839" s="7" t="s">
        <v>406</v>
      </c>
      <c r="C839" s="7" t="s">
        <v>395</v>
      </c>
      <c r="D839" s="23">
        <v>2</v>
      </c>
      <c r="E839" s="9">
        <v>0</v>
      </c>
      <c r="F839" s="25">
        <v>0.07999999999999999</v>
      </c>
      <c r="G839" s="9">
        <v>0</v>
      </c>
      <c r="H839" s="9">
        <v>0</v>
      </c>
      <c r="I839" s="9">
        <v>0</v>
      </c>
      <c r="J839" s="9">
        <v>0</v>
      </c>
      <c r="K839" s="9">
        <v>0</v>
      </c>
      <c r="L839" s="9">
        <v>0</v>
      </c>
      <c r="M839" s="9">
        <f>E839+K839-I839-J839-L839</f>
        <v>0.0</v>
      </c>
    </row>
    <row r="840" spans="1:13" ht="25" customHeight="1">
      <c r="A840" s="3" t="s">
        <v>68</v>
      </c>
      <c r="B840" s="4" t="s">
        <v>406</v>
      </c>
      <c r="C840" s="4" t="s">
        <v>139</v>
      </c>
      <c r="D840" s="24">
        <v>3</v>
      </c>
      <c r="E840" s="10">
        <v>900</v>
      </c>
      <c r="F840" s="26">
        <v>0.038</v>
      </c>
      <c r="G840" s="10">
        <v>34.2</v>
      </c>
      <c r="H840" s="10">
        <v>0</v>
      </c>
      <c r="I840" s="10">
        <v>0</v>
      </c>
      <c r="J840" s="10">
        <v>0</v>
      </c>
      <c r="K840" s="10">
        <v>0</v>
      </c>
      <c r="L840" s="10">
        <v>0</v>
      </c>
      <c r="M840" s="10">
        <f>E840+K840-I840-J840-L840</f>
        <v>900.0</v>
      </c>
    </row>
    <row r="841" spans="1:13" ht="25" customHeight="1">
      <c r="A841" s="6" t="s">
        <v>68</v>
      </c>
      <c r="B841" s="7" t="s">
        <v>406</v>
      </c>
      <c r="C841" s="7" t="s">
        <v>153</v>
      </c>
      <c r="D841" s="23">
        <v>3</v>
      </c>
      <c r="E841" s="9">
        <v>48</v>
      </c>
      <c r="F841" s="25">
        <v>0.05</v>
      </c>
      <c r="G841" s="9">
        <v>2.4</v>
      </c>
      <c r="H841" s="9">
        <v>16</v>
      </c>
      <c r="I841" s="9">
        <v>16</v>
      </c>
      <c r="J841" s="9">
        <v>0</v>
      </c>
      <c r="K841" s="9">
        <v>0</v>
      </c>
      <c r="L841" s="9">
        <v>0</v>
      </c>
      <c r="M841" s="9">
        <f>E841+K841-I841-J841-L841</f>
        <v>32.0</v>
      </c>
    </row>
    <row r="842" spans="1:13" ht="25" customHeight="1">
      <c r="A842" s="3" t="s">
        <v>68</v>
      </c>
      <c r="B842" s="4" t="s">
        <v>406</v>
      </c>
      <c r="C842" s="4" t="s">
        <v>198</v>
      </c>
      <c r="D842" s="24">
        <v>3</v>
      </c>
      <c r="E842" s="10">
        <v>350</v>
      </c>
      <c r="F842" s="26">
        <v>0.0475</v>
      </c>
      <c r="G842" s="10">
        <v>16.625</v>
      </c>
      <c r="H842" s="10">
        <v>350</v>
      </c>
      <c r="I842" s="10">
        <v>350</v>
      </c>
      <c r="J842" s="10">
        <v>0</v>
      </c>
      <c r="K842" s="10">
        <v>0</v>
      </c>
      <c r="L842" s="10">
        <v>0</v>
      </c>
      <c r="M842" s="10">
        <f>E842+K842-I842-J842-L842</f>
        <v>0.0</v>
      </c>
    </row>
    <row r="843" spans="1:13" ht="25" customHeight="1">
      <c r="A843" s="6" t="s">
        <v>68</v>
      </c>
      <c r="B843" s="7" t="s">
        <v>406</v>
      </c>
      <c r="C843" s="7" t="s">
        <v>394</v>
      </c>
      <c r="D843" s="23">
        <v>3</v>
      </c>
      <c r="E843" s="9">
        <v>714.7489435374282</v>
      </c>
      <c r="F843" s="25">
        <v>0.08000000000000002</v>
      </c>
      <c r="G843" s="9">
        <v>57.17991548299427</v>
      </c>
      <c r="H843" s="9">
        <v>26.80203045685279</v>
      </c>
      <c r="I843" s="9">
        <v>26.80203045685279</v>
      </c>
      <c r="J843" s="9">
        <v>103.4570760088117</v>
      </c>
      <c r="K843" s="9">
        <v>0</v>
      </c>
      <c r="L843" s="9">
        <v>0</v>
      </c>
      <c r="M843" s="9">
        <f>E843+K843-I843-J843-L843</f>
        <v>584.4898370717638</v>
      </c>
    </row>
    <row r="844" spans="1:13" ht="25" customHeight="1">
      <c r="A844" s="3" t="s">
        <v>68</v>
      </c>
      <c r="B844" s="4" t="s">
        <v>406</v>
      </c>
      <c r="C844" s="4" t="s">
        <v>395</v>
      </c>
      <c r="D844" s="24">
        <v>3</v>
      </c>
      <c r="E844" s="10">
        <v>0</v>
      </c>
      <c r="F844" s="26">
        <v>0.07750000000000001</v>
      </c>
      <c r="G844" s="10">
        <v>0</v>
      </c>
      <c r="H844" s="10">
        <v>0</v>
      </c>
      <c r="I844" s="10">
        <v>0</v>
      </c>
      <c r="J844" s="10">
        <v>0</v>
      </c>
      <c r="K844" s="10">
        <v>0</v>
      </c>
      <c r="L844" s="10">
        <v>0</v>
      </c>
      <c r="M844" s="10">
        <f>E844+K844-I844-J844-L844</f>
        <v>0.0</v>
      </c>
    </row>
    <row r="845" spans="1:13" ht="25" customHeight="1">
      <c r="A845" s="6" t="s">
        <v>68</v>
      </c>
      <c r="B845" s="7" t="s">
        <v>406</v>
      </c>
      <c r="C845" s="7" t="s">
        <v>139</v>
      </c>
      <c r="D845" s="23">
        <v>4</v>
      </c>
      <c r="E845" s="9">
        <v>900</v>
      </c>
      <c r="F845" s="25">
        <v>0.038</v>
      </c>
      <c r="G845" s="9">
        <v>34.2</v>
      </c>
      <c r="H845" s="9">
        <v>900</v>
      </c>
      <c r="I845" s="9">
        <v>900</v>
      </c>
      <c r="J845" s="9">
        <v>0</v>
      </c>
      <c r="K845" s="9">
        <v>0</v>
      </c>
      <c r="L845" s="9">
        <v>0</v>
      </c>
      <c r="M845" s="9">
        <f>E845+K845-I845-J845-L845</f>
        <v>0.0</v>
      </c>
    </row>
    <row r="846" spans="1:13" ht="25" customHeight="1">
      <c r="A846" s="3" t="s">
        <v>68</v>
      </c>
      <c r="B846" s="4" t="s">
        <v>406</v>
      </c>
      <c r="C846" s="4" t="s">
        <v>153</v>
      </c>
      <c r="D846" s="24">
        <v>4</v>
      </c>
      <c r="E846" s="10">
        <v>32</v>
      </c>
      <c r="F846" s="26">
        <v>0.05</v>
      </c>
      <c r="G846" s="10">
        <v>1.6</v>
      </c>
      <c r="H846" s="10">
        <v>16</v>
      </c>
      <c r="I846" s="10">
        <v>16</v>
      </c>
      <c r="J846" s="10">
        <v>0</v>
      </c>
      <c r="K846" s="10">
        <v>0</v>
      </c>
      <c r="L846" s="10">
        <v>0</v>
      </c>
      <c r="M846" s="10">
        <f>E846+K846-I846-J846-L846</f>
        <v>16.0</v>
      </c>
    </row>
    <row r="847" spans="1:13" ht="25" customHeight="1">
      <c r="A847" s="6" t="s">
        <v>68</v>
      </c>
      <c r="B847" s="7" t="s">
        <v>406</v>
      </c>
      <c r="C847" s="7" t="s">
        <v>198</v>
      </c>
      <c r="D847" s="23">
        <v>4</v>
      </c>
      <c r="E847" s="9">
        <v>0</v>
      </c>
      <c r="F847" s="25">
        <v>0.0475</v>
      </c>
      <c r="G847" s="9">
        <v>0</v>
      </c>
      <c r="H847" s="9">
        <v>0</v>
      </c>
      <c r="I847" s="9">
        <v>0</v>
      </c>
      <c r="J847" s="9">
        <v>0</v>
      </c>
      <c r="K847" s="9">
        <v>0</v>
      </c>
      <c r="L847" s="9">
        <v>0</v>
      </c>
      <c r="M847" s="9">
        <f>E847+K847-I847-J847-L847</f>
        <v>0.0</v>
      </c>
    </row>
    <row r="848" spans="1:13" ht="25" customHeight="1">
      <c r="A848" s="3" t="s">
        <v>68</v>
      </c>
      <c r="B848" s="4" t="s">
        <v>406</v>
      </c>
      <c r="C848" s="4" t="s">
        <v>394</v>
      </c>
      <c r="D848" s="24">
        <v>4</v>
      </c>
      <c r="E848" s="10">
        <v>584.4898370717638</v>
      </c>
      <c r="F848" s="26">
        <v>0.08000000000000002</v>
      </c>
      <c r="G848" s="10">
        <v>46.75918696574111</v>
      </c>
      <c r="H848" s="10">
        <v>26.80203045685279</v>
      </c>
      <c r="I848" s="10">
        <v>26.80203045685279</v>
      </c>
      <c r="J848" s="10">
        <v>0</v>
      </c>
      <c r="K848" s="10">
        <v>0</v>
      </c>
      <c r="L848" s="10">
        <v>0</v>
      </c>
      <c r="M848" s="10">
        <f>E848+K848-I848-J848-L848</f>
        <v>557.687806614911</v>
      </c>
    </row>
    <row r="849" spans="1:13" ht="25" customHeight="1">
      <c r="A849" s="6" t="s">
        <v>68</v>
      </c>
      <c r="B849" s="7" t="s">
        <v>406</v>
      </c>
      <c r="C849" s="7" t="s">
        <v>395</v>
      </c>
      <c r="D849" s="23">
        <v>4</v>
      </c>
      <c r="E849" s="9">
        <v>0</v>
      </c>
      <c r="F849" s="25">
        <v>0.07750000000000001</v>
      </c>
      <c r="G849" s="9">
        <v>0</v>
      </c>
      <c r="H849" s="9">
        <v>0</v>
      </c>
      <c r="I849" s="9">
        <v>0</v>
      </c>
      <c r="J849" s="9">
        <v>0</v>
      </c>
      <c r="K849" s="9">
        <v>378.8245481763015</v>
      </c>
      <c r="L849" s="9">
        <v>0</v>
      </c>
      <c r="M849" s="9">
        <f>E849+K849-I849-J849-L849</f>
        <v>378.8245481763015</v>
      </c>
    </row>
    <row r="850" spans="1:13" ht="25" customHeight="1">
      <c r="A850" s="3" t="s">
        <v>68</v>
      </c>
      <c r="B850" s="4" t="s">
        <v>406</v>
      </c>
      <c r="C850" s="4" t="s">
        <v>139</v>
      </c>
      <c r="D850" s="24">
        <v>5</v>
      </c>
      <c r="E850" s="10">
        <v>0</v>
      </c>
      <c r="F850" s="26">
        <v>0.038</v>
      </c>
      <c r="G850" s="10">
        <v>0</v>
      </c>
      <c r="H850" s="10">
        <v>0</v>
      </c>
      <c r="I850" s="10">
        <v>0</v>
      </c>
      <c r="J850" s="10">
        <v>0</v>
      </c>
      <c r="K850" s="10">
        <v>0</v>
      </c>
      <c r="L850" s="10">
        <v>0</v>
      </c>
      <c r="M850" s="10">
        <f>E850+K850-I850-J850-L850</f>
        <v>0.0</v>
      </c>
    </row>
    <row r="851" spans="1:13" ht="25" customHeight="1">
      <c r="A851" s="6" t="s">
        <v>68</v>
      </c>
      <c r="B851" s="7" t="s">
        <v>406</v>
      </c>
      <c r="C851" s="7" t="s">
        <v>153</v>
      </c>
      <c r="D851" s="23">
        <v>5</v>
      </c>
      <c r="E851" s="9">
        <v>16</v>
      </c>
      <c r="F851" s="25">
        <v>0.05</v>
      </c>
      <c r="G851" s="9">
        <v>0.8</v>
      </c>
      <c r="H851" s="9">
        <v>16</v>
      </c>
      <c r="I851" s="9">
        <v>16</v>
      </c>
      <c r="J851" s="9">
        <v>0</v>
      </c>
      <c r="K851" s="9">
        <v>0</v>
      </c>
      <c r="L851" s="9">
        <v>0</v>
      </c>
      <c r="M851" s="9">
        <f>E851+K851-I851-J851-L851</f>
        <v>0.0</v>
      </c>
    </row>
    <row r="852" spans="1:13" ht="25" customHeight="1">
      <c r="A852" s="3" t="s">
        <v>68</v>
      </c>
      <c r="B852" s="4" t="s">
        <v>406</v>
      </c>
      <c r="C852" s="4" t="s">
        <v>198</v>
      </c>
      <c r="D852" s="24">
        <v>5</v>
      </c>
      <c r="E852" s="10">
        <v>0</v>
      </c>
      <c r="F852" s="26">
        <v>0.0475</v>
      </c>
      <c r="G852" s="10">
        <v>0</v>
      </c>
      <c r="H852" s="10">
        <v>0</v>
      </c>
      <c r="I852" s="10">
        <v>0</v>
      </c>
      <c r="J852" s="10">
        <v>0</v>
      </c>
      <c r="K852" s="10">
        <v>0</v>
      </c>
      <c r="L852" s="10">
        <v>0</v>
      </c>
      <c r="M852" s="10">
        <f>E852+K852-I852-J852-L852</f>
        <v>0.0</v>
      </c>
    </row>
    <row r="853" spans="1:13" ht="25" customHeight="1">
      <c r="A853" s="6" t="s">
        <v>68</v>
      </c>
      <c r="B853" s="7" t="s">
        <v>406</v>
      </c>
      <c r="C853" s="7" t="s">
        <v>394</v>
      </c>
      <c r="D853" s="23">
        <v>5</v>
      </c>
      <c r="E853" s="9">
        <v>557.687806614911</v>
      </c>
      <c r="F853" s="25">
        <v>0.08000000000000002</v>
      </c>
      <c r="G853" s="9">
        <v>44.61502452919289</v>
      </c>
      <c r="H853" s="9">
        <v>557.687806614911</v>
      </c>
      <c r="I853" s="9">
        <v>557.687806614911</v>
      </c>
      <c r="J853" s="9">
        <v>0</v>
      </c>
      <c r="K853" s="9">
        <v>0</v>
      </c>
      <c r="L853" s="9">
        <v>0</v>
      </c>
      <c r="M853" s="9">
        <f>E853+K853-I853-J853-L853</f>
        <v>0.0</v>
      </c>
    </row>
    <row r="854" spans="1:13" ht="25" customHeight="1">
      <c r="A854" s="3" t="s">
        <v>68</v>
      </c>
      <c r="B854" s="4" t="s">
        <v>406</v>
      </c>
      <c r="C854" s="4" t="s">
        <v>395</v>
      </c>
      <c r="D854" s="24">
        <v>5</v>
      </c>
      <c r="E854" s="10">
        <v>378.8245481763015</v>
      </c>
      <c r="F854" s="26">
        <v>0.07750000000000001</v>
      </c>
      <c r="G854" s="10">
        <v>29.35890248366337</v>
      </c>
      <c r="H854" s="10">
        <v>378.8245481763015</v>
      </c>
      <c r="I854" s="10">
        <v>378.8245481763015</v>
      </c>
      <c r="J854" s="10">
        <v>0</v>
      </c>
      <c r="K854" s="10">
        <v>0</v>
      </c>
      <c r="L854" s="10">
        <v>0</v>
      </c>
      <c r="M854" s="10">
        <f>E854+K854-I854-J854-L854</f>
        <v>0.0</v>
      </c>
    </row>
    <row r="855" spans="1:13" ht="25" customHeight="1">
      <c r="A855" s="6" t="s">
        <v>78</v>
      </c>
      <c r="B855" s="7" t="s">
        <v>406</v>
      </c>
      <c r="C855" s="7" t="s">
        <v>139</v>
      </c>
      <c r="D855" s="23">
        <v>1</v>
      </c>
      <c r="E855" s="9">
        <v>900</v>
      </c>
      <c r="F855" s="25">
        <v>0.038</v>
      </c>
      <c r="G855" s="9">
        <v>34.2</v>
      </c>
      <c r="H855" s="9">
        <v>0</v>
      </c>
      <c r="I855" s="9">
        <v>0</v>
      </c>
      <c r="J855" s="9">
        <v>0</v>
      </c>
      <c r="K855" s="9">
        <v>0</v>
      </c>
      <c r="L855" s="9">
        <v>0</v>
      </c>
      <c r="M855" s="9">
        <f>E855+K855-I855-J855-L855</f>
        <v>900.0</v>
      </c>
    </row>
    <row r="856" spans="1:13" ht="25" customHeight="1">
      <c r="A856" s="3" t="s">
        <v>78</v>
      </c>
      <c r="B856" s="4" t="s">
        <v>406</v>
      </c>
      <c r="C856" s="4" t="s">
        <v>153</v>
      </c>
      <c r="D856" s="24">
        <v>1</v>
      </c>
      <c r="E856" s="10">
        <v>80</v>
      </c>
      <c r="F856" s="26">
        <v>0.05</v>
      </c>
      <c r="G856" s="10">
        <v>4</v>
      </c>
      <c r="H856" s="10">
        <v>16</v>
      </c>
      <c r="I856" s="10">
        <v>16</v>
      </c>
      <c r="J856" s="10">
        <v>0</v>
      </c>
      <c r="K856" s="10">
        <v>0</v>
      </c>
      <c r="L856" s="10">
        <v>0</v>
      </c>
      <c r="M856" s="10">
        <f>E856+K856-I856-J856-L856</f>
        <v>64.0</v>
      </c>
    </row>
    <row r="857" spans="1:13" ht="25" customHeight="1">
      <c r="A857" s="6" t="s">
        <v>78</v>
      </c>
      <c r="B857" s="7" t="s">
        <v>406</v>
      </c>
      <c r="C857" s="7" t="s">
        <v>198</v>
      </c>
      <c r="D857" s="23">
        <v>1</v>
      </c>
      <c r="E857" s="9">
        <v>350</v>
      </c>
      <c r="F857" s="25">
        <v>0.0475</v>
      </c>
      <c r="G857" s="9">
        <v>16.625</v>
      </c>
      <c r="H857" s="9">
        <v>0</v>
      </c>
      <c r="I857" s="9">
        <v>0</v>
      </c>
      <c r="J857" s="9">
        <v>0</v>
      </c>
      <c r="K857" s="9">
        <v>0</v>
      </c>
      <c r="L857" s="9">
        <v>0</v>
      </c>
      <c r="M857" s="9">
        <f>E857+K857-I857-J857-L857</f>
        <v>350.0</v>
      </c>
    </row>
    <row r="858" spans="1:13" ht="25" customHeight="1">
      <c r="A858" s="3" t="s">
        <v>78</v>
      </c>
      <c r="B858" s="4" t="s">
        <v>406</v>
      </c>
      <c r="C858" s="4" t="s">
        <v>394</v>
      </c>
      <c r="D858" s="24">
        <v>1</v>
      </c>
      <c r="E858" s="10">
        <v>2223.350253807107</v>
      </c>
      <c r="F858" s="26">
        <v>0.08499999999999999</v>
      </c>
      <c r="G858" s="10">
        <v>188.984771573604</v>
      </c>
      <c r="H858" s="10">
        <v>44.46700507614213</v>
      </c>
      <c r="I858" s="10">
        <v>44.46700507614213</v>
      </c>
      <c r="J858" s="10">
        <v>1034.539878572421</v>
      </c>
      <c r="K858" s="10">
        <v>0</v>
      </c>
      <c r="L858" s="10">
        <v>0</v>
      </c>
      <c r="M858" s="10">
        <f>E858+K858-I858-J858-L858</f>
        <v>1144.3433701585432</v>
      </c>
    </row>
    <row r="859" spans="1:13" ht="25" customHeight="1">
      <c r="A859" s="6" t="s">
        <v>78</v>
      </c>
      <c r="B859" s="7" t="s">
        <v>406</v>
      </c>
      <c r="C859" s="7" t="s">
        <v>395</v>
      </c>
      <c r="D859" s="23">
        <v>1</v>
      </c>
      <c r="E859" s="9">
        <v>0</v>
      </c>
      <c r="F859" s="25">
        <v>0.08249999999999999</v>
      </c>
      <c r="G859" s="9">
        <v>0</v>
      </c>
      <c r="H859" s="9">
        <v>0</v>
      </c>
      <c r="I859" s="9">
        <v>0</v>
      </c>
      <c r="J859" s="9">
        <v>0</v>
      </c>
      <c r="K859" s="9">
        <v>0</v>
      </c>
      <c r="L859" s="9">
        <v>0</v>
      </c>
      <c r="M859" s="9">
        <f>E859+K859-I859-J859-L859</f>
        <v>0.0</v>
      </c>
    </row>
    <row r="860" spans="1:13" ht="25" customHeight="1">
      <c r="A860" s="3" t="s">
        <v>78</v>
      </c>
      <c r="B860" s="4" t="s">
        <v>406</v>
      </c>
      <c r="C860" s="4" t="s">
        <v>139</v>
      </c>
      <c r="D860" s="24">
        <v>2</v>
      </c>
      <c r="E860" s="10">
        <v>900</v>
      </c>
      <c r="F860" s="26">
        <v>0.038</v>
      </c>
      <c r="G860" s="10">
        <v>34.2</v>
      </c>
      <c r="H860" s="10">
        <v>0</v>
      </c>
      <c r="I860" s="10">
        <v>0</v>
      </c>
      <c r="J860" s="10">
        <v>0</v>
      </c>
      <c r="K860" s="10">
        <v>0</v>
      </c>
      <c r="L860" s="10">
        <v>0</v>
      </c>
      <c r="M860" s="10">
        <f>E860+K860-I860-J860-L860</f>
        <v>900.0</v>
      </c>
    </row>
    <row r="861" spans="1:13" ht="25" customHeight="1">
      <c r="A861" s="6" t="s">
        <v>78</v>
      </c>
      <c r="B861" s="7" t="s">
        <v>406</v>
      </c>
      <c r="C861" s="7" t="s">
        <v>153</v>
      </c>
      <c r="D861" s="23">
        <v>2</v>
      </c>
      <c r="E861" s="9">
        <v>64</v>
      </c>
      <c r="F861" s="25">
        <v>0.05</v>
      </c>
      <c r="G861" s="9">
        <v>3.2</v>
      </c>
      <c r="H861" s="9">
        <v>16</v>
      </c>
      <c r="I861" s="9">
        <v>16</v>
      </c>
      <c r="J861" s="9">
        <v>0</v>
      </c>
      <c r="K861" s="9">
        <v>0</v>
      </c>
      <c r="L861" s="9">
        <v>0</v>
      </c>
      <c r="M861" s="9">
        <f>E861+K861-I861-J861-L861</f>
        <v>48.0</v>
      </c>
    </row>
    <row r="862" spans="1:13" ht="25" customHeight="1">
      <c r="A862" s="3" t="s">
        <v>78</v>
      </c>
      <c r="B862" s="4" t="s">
        <v>406</v>
      </c>
      <c r="C862" s="4" t="s">
        <v>198</v>
      </c>
      <c r="D862" s="24">
        <v>2</v>
      </c>
      <c r="E862" s="10">
        <v>350</v>
      </c>
      <c r="F862" s="26">
        <v>0.0475</v>
      </c>
      <c r="G862" s="10">
        <v>16.625</v>
      </c>
      <c r="H862" s="10">
        <v>0</v>
      </c>
      <c r="I862" s="10">
        <v>0</v>
      </c>
      <c r="J862" s="10">
        <v>0</v>
      </c>
      <c r="K862" s="10">
        <v>0</v>
      </c>
      <c r="L862" s="10">
        <v>0</v>
      </c>
      <c r="M862" s="10">
        <f>E862+K862-I862-J862-L862</f>
        <v>350.0</v>
      </c>
    </row>
    <row r="863" spans="1:13" ht="25" customHeight="1">
      <c r="A863" s="6" t="s">
        <v>78</v>
      </c>
      <c r="B863" s="7" t="s">
        <v>406</v>
      </c>
      <c r="C863" s="7" t="s">
        <v>394</v>
      </c>
      <c r="D863" s="23">
        <v>2</v>
      </c>
      <c r="E863" s="9">
        <v>1144.343370158543</v>
      </c>
      <c r="F863" s="25">
        <v>0.08249999999999999</v>
      </c>
      <c r="G863" s="9">
        <v>94.4083280380798</v>
      </c>
      <c r="H863" s="9">
        <v>44.46700507614213</v>
      </c>
      <c r="I863" s="9">
        <v>44.46700507614213</v>
      </c>
      <c r="J863" s="9">
        <v>311.2678165322825</v>
      </c>
      <c r="K863" s="9">
        <v>0</v>
      </c>
      <c r="L863" s="9">
        <v>0</v>
      </c>
      <c r="M863" s="9">
        <f>E863+K863-I863-J863-L863</f>
        <v>788.6085485501185</v>
      </c>
    </row>
    <row r="864" spans="1:13" ht="25" customHeight="1">
      <c r="A864" s="3" t="s">
        <v>78</v>
      </c>
      <c r="B864" s="4" t="s">
        <v>406</v>
      </c>
      <c r="C864" s="4" t="s">
        <v>395</v>
      </c>
      <c r="D864" s="24">
        <v>2</v>
      </c>
      <c r="E864" s="10">
        <v>0</v>
      </c>
      <c r="F864" s="26">
        <v>0.07999999999999999</v>
      </c>
      <c r="G864" s="10">
        <v>0</v>
      </c>
      <c r="H864" s="10">
        <v>0</v>
      </c>
      <c r="I864" s="10">
        <v>0</v>
      </c>
      <c r="J864" s="10">
        <v>0</v>
      </c>
      <c r="K864" s="10">
        <v>0</v>
      </c>
      <c r="L864" s="10">
        <v>0</v>
      </c>
      <c r="M864" s="10">
        <f>E864+K864-I864-J864-L864</f>
        <v>0.0</v>
      </c>
    </row>
    <row r="865" spans="1:13" ht="25" customHeight="1">
      <c r="A865" s="6" t="s">
        <v>78</v>
      </c>
      <c r="B865" s="7" t="s">
        <v>406</v>
      </c>
      <c r="C865" s="7" t="s">
        <v>139</v>
      </c>
      <c r="D865" s="23">
        <v>3</v>
      </c>
      <c r="E865" s="9">
        <v>900</v>
      </c>
      <c r="F865" s="25">
        <v>0.038</v>
      </c>
      <c r="G865" s="9">
        <v>34.2</v>
      </c>
      <c r="H865" s="9">
        <v>0</v>
      </c>
      <c r="I865" s="9">
        <v>0</v>
      </c>
      <c r="J865" s="9">
        <v>0</v>
      </c>
      <c r="K865" s="9">
        <v>0</v>
      </c>
      <c r="L865" s="9">
        <v>0</v>
      </c>
      <c r="M865" s="9">
        <f>E865+K865-I865-J865-L865</f>
        <v>900.0</v>
      </c>
    </row>
    <row r="866" spans="1:13" ht="25" customHeight="1">
      <c r="A866" s="3" t="s">
        <v>78</v>
      </c>
      <c r="B866" s="4" t="s">
        <v>406</v>
      </c>
      <c r="C866" s="4" t="s">
        <v>153</v>
      </c>
      <c r="D866" s="24">
        <v>3</v>
      </c>
      <c r="E866" s="10">
        <v>48</v>
      </c>
      <c r="F866" s="26">
        <v>0.05</v>
      </c>
      <c r="G866" s="10">
        <v>2.4</v>
      </c>
      <c r="H866" s="10">
        <v>16</v>
      </c>
      <c r="I866" s="10">
        <v>16</v>
      </c>
      <c r="J866" s="10">
        <v>0</v>
      </c>
      <c r="K866" s="10">
        <v>0</v>
      </c>
      <c r="L866" s="10">
        <v>0</v>
      </c>
      <c r="M866" s="10">
        <f>E866+K866-I866-J866-L866</f>
        <v>32.0</v>
      </c>
    </row>
    <row r="867" spans="1:13" ht="25" customHeight="1">
      <c r="A867" s="6" t="s">
        <v>78</v>
      </c>
      <c r="B867" s="7" t="s">
        <v>406</v>
      </c>
      <c r="C867" s="7" t="s">
        <v>198</v>
      </c>
      <c r="D867" s="23">
        <v>3</v>
      </c>
      <c r="E867" s="9">
        <v>350</v>
      </c>
      <c r="F867" s="25">
        <v>0.0475</v>
      </c>
      <c r="G867" s="9">
        <v>16.625</v>
      </c>
      <c r="H867" s="9">
        <v>350</v>
      </c>
      <c r="I867" s="9">
        <v>350</v>
      </c>
      <c r="J867" s="9">
        <v>0</v>
      </c>
      <c r="K867" s="9">
        <v>0</v>
      </c>
      <c r="L867" s="9">
        <v>0</v>
      </c>
      <c r="M867" s="9">
        <f>E867+K867-I867-J867-L867</f>
        <v>0.0</v>
      </c>
    </row>
    <row r="868" spans="1:13" ht="25" customHeight="1">
      <c r="A868" s="3" t="s">
        <v>78</v>
      </c>
      <c r="B868" s="4" t="s">
        <v>406</v>
      </c>
      <c r="C868" s="4" t="s">
        <v>394</v>
      </c>
      <c r="D868" s="24">
        <v>3</v>
      </c>
      <c r="E868" s="10">
        <v>788.6085485501185</v>
      </c>
      <c r="F868" s="26">
        <v>0.08000000000000002</v>
      </c>
      <c r="G868" s="10">
        <v>63.08868388400949</v>
      </c>
      <c r="H868" s="10">
        <v>44.46700507614213</v>
      </c>
      <c r="I868" s="10">
        <v>44.46700507614213</v>
      </c>
      <c r="J868" s="10">
        <v>81.36052508876082</v>
      </c>
      <c r="K868" s="10">
        <v>0</v>
      </c>
      <c r="L868" s="10">
        <v>0</v>
      </c>
      <c r="M868" s="10">
        <f>E868+K868-I868-J868-L868</f>
        <v>662.7810183852155</v>
      </c>
    </row>
    <row r="869" spans="1:13" ht="25" customHeight="1">
      <c r="A869" s="6" t="s">
        <v>78</v>
      </c>
      <c r="B869" s="7" t="s">
        <v>406</v>
      </c>
      <c r="C869" s="7" t="s">
        <v>395</v>
      </c>
      <c r="D869" s="23">
        <v>3</v>
      </c>
      <c r="E869" s="9">
        <v>0</v>
      </c>
      <c r="F869" s="25">
        <v>0.07750000000000001</v>
      </c>
      <c r="G869" s="9">
        <v>0</v>
      </c>
      <c r="H869" s="9">
        <v>0</v>
      </c>
      <c r="I869" s="9">
        <v>0</v>
      </c>
      <c r="J869" s="9">
        <v>0</v>
      </c>
      <c r="K869" s="9">
        <v>0</v>
      </c>
      <c r="L869" s="9">
        <v>0</v>
      </c>
      <c r="M869" s="9">
        <f>E869+K869-I869-J869-L869</f>
        <v>0.0</v>
      </c>
    </row>
    <row r="870" spans="1:13" ht="25" customHeight="1">
      <c r="A870" s="3" t="s">
        <v>78</v>
      </c>
      <c r="B870" s="4" t="s">
        <v>406</v>
      </c>
      <c r="C870" s="4" t="s">
        <v>139</v>
      </c>
      <c r="D870" s="24">
        <v>4</v>
      </c>
      <c r="E870" s="10">
        <v>900</v>
      </c>
      <c r="F870" s="26">
        <v>0.038</v>
      </c>
      <c r="G870" s="10">
        <v>34.2</v>
      </c>
      <c r="H870" s="10">
        <v>900</v>
      </c>
      <c r="I870" s="10">
        <v>900</v>
      </c>
      <c r="J870" s="10">
        <v>0</v>
      </c>
      <c r="K870" s="10">
        <v>0</v>
      </c>
      <c r="L870" s="10">
        <v>0</v>
      </c>
      <c r="M870" s="10">
        <f>E870+K870-I870-J870-L870</f>
        <v>0.0</v>
      </c>
    </row>
    <row r="871" spans="1:13" ht="25" customHeight="1">
      <c r="A871" s="6" t="s">
        <v>78</v>
      </c>
      <c r="B871" s="7" t="s">
        <v>406</v>
      </c>
      <c r="C871" s="7" t="s">
        <v>153</v>
      </c>
      <c r="D871" s="23">
        <v>4</v>
      </c>
      <c r="E871" s="9">
        <v>32</v>
      </c>
      <c r="F871" s="25">
        <v>0.05</v>
      </c>
      <c r="G871" s="9">
        <v>1.6</v>
      </c>
      <c r="H871" s="9">
        <v>16</v>
      </c>
      <c r="I871" s="9">
        <v>16</v>
      </c>
      <c r="J871" s="9">
        <v>0</v>
      </c>
      <c r="K871" s="9">
        <v>0</v>
      </c>
      <c r="L871" s="9">
        <v>0</v>
      </c>
      <c r="M871" s="9">
        <f>E871+K871-I871-J871-L871</f>
        <v>16.0</v>
      </c>
    </row>
    <row r="872" spans="1:13" ht="25" customHeight="1">
      <c r="A872" s="3" t="s">
        <v>78</v>
      </c>
      <c r="B872" s="4" t="s">
        <v>406</v>
      </c>
      <c r="C872" s="4" t="s">
        <v>198</v>
      </c>
      <c r="D872" s="24">
        <v>4</v>
      </c>
      <c r="E872" s="10">
        <v>0</v>
      </c>
      <c r="F872" s="26">
        <v>0.0475</v>
      </c>
      <c r="G872" s="10">
        <v>0</v>
      </c>
      <c r="H872" s="10">
        <v>0</v>
      </c>
      <c r="I872" s="10">
        <v>0</v>
      </c>
      <c r="J872" s="10">
        <v>0</v>
      </c>
      <c r="K872" s="10">
        <v>0</v>
      </c>
      <c r="L872" s="10">
        <v>0</v>
      </c>
      <c r="M872" s="10">
        <f>E872+K872-I872-J872-L872</f>
        <v>0.0</v>
      </c>
    </row>
    <row r="873" spans="1:13" ht="25" customHeight="1">
      <c r="A873" s="6" t="s">
        <v>78</v>
      </c>
      <c r="B873" s="7" t="s">
        <v>406</v>
      </c>
      <c r="C873" s="7" t="s">
        <v>394</v>
      </c>
      <c r="D873" s="23">
        <v>4</v>
      </c>
      <c r="E873" s="9">
        <v>662.7810183852155</v>
      </c>
      <c r="F873" s="25">
        <v>0.08000000000000002</v>
      </c>
      <c r="G873" s="9">
        <v>53.02248147081725</v>
      </c>
      <c r="H873" s="9">
        <v>44.46700507614213</v>
      </c>
      <c r="I873" s="9">
        <v>44.46700507614213</v>
      </c>
      <c r="J873" s="9">
        <v>0</v>
      </c>
      <c r="K873" s="9">
        <v>0</v>
      </c>
      <c r="L873" s="9">
        <v>0</v>
      </c>
      <c r="M873" s="9">
        <f>E873+K873-I873-J873-L873</f>
        <v>618.3140133090733</v>
      </c>
    </row>
    <row r="874" spans="1:13" ht="25" customHeight="1">
      <c r="A874" s="3" t="s">
        <v>78</v>
      </c>
      <c r="B874" s="4" t="s">
        <v>406</v>
      </c>
      <c r="C874" s="4" t="s">
        <v>395</v>
      </c>
      <c r="D874" s="24">
        <v>4</v>
      </c>
      <c r="E874" s="10">
        <v>0</v>
      </c>
      <c r="F874" s="26">
        <v>0.07750000000000001</v>
      </c>
      <c r="G874" s="10">
        <v>0</v>
      </c>
      <c r="H874" s="10">
        <v>0</v>
      </c>
      <c r="I874" s="10">
        <v>0</v>
      </c>
      <c r="J874" s="10">
        <v>0</v>
      </c>
      <c r="K874" s="10">
        <v>401.1869936743983</v>
      </c>
      <c r="L874" s="10">
        <v>0</v>
      </c>
      <c r="M874" s="10">
        <f>E874+K874-I874-J874-L874</f>
        <v>401.1869936743983</v>
      </c>
    </row>
    <row r="875" spans="1:13" ht="25" customHeight="1">
      <c r="A875" s="6" t="s">
        <v>78</v>
      </c>
      <c r="B875" s="7" t="s">
        <v>406</v>
      </c>
      <c r="C875" s="7" t="s">
        <v>139</v>
      </c>
      <c r="D875" s="23">
        <v>5</v>
      </c>
      <c r="E875" s="9">
        <v>0</v>
      </c>
      <c r="F875" s="25">
        <v>0.038</v>
      </c>
      <c r="G875" s="9">
        <v>0</v>
      </c>
      <c r="H875" s="9">
        <v>0</v>
      </c>
      <c r="I875" s="9">
        <v>0</v>
      </c>
      <c r="J875" s="9">
        <v>0</v>
      </c>
      <c r="K875" s="9">
        <v>0</v>
      </c>
      <c r="L875" s="9">
        <v>0</v>
      </c>
      <c r="M875" s="9">
        <f>E875+K875-I875-J875-L875</f>
        <v>0.0</v>
      </c>
    </row>
    <row r="876" spans="1:13" ht="25" customHeight="1">
      <c r="A876" s="3" t="s">
        <v>78</v>
      </c>
      <c r="B876" s="4" t="s">
        <v>406</v>
      </c>
      <c r="C876" s="4" t="s">
        <v>153</v>
      </c>
      <c r="D876" s="24">
        <v>5</v>
      </c>
      <c r="E876" s="10">
        <v>16</v>
      </c>
      <c r="F876" s="26">
        <v>0.05</v>
      </c>
      <c r="G876" s="10">
        <v>0.8</v>
      </c>
      <c r="H876" s="10">
        <v>16</v>
      </c>
      <c r="I876" s="10">
        <v>16</v>
      </c>
      <c r="J876" s="10">
        <v>0</v>
      </c>
      <c r="K876" s="10">
        <v>0</v>
      </c>
      <c r="L876" s="10">
        <v>0</v>
      </c>
      <c r="M876" s="10">
        <f>E876+K876-I876-J876-L876</f>
        <v>0.0</v>
      </c>
    </row>
    <row r="877" spans="1:13" ht="25" customHeight="1">
      <c r="A877" s="6" t="s">
        <v>78</v>
      </c>
      <c r="B877" s="7" t="s">
        <v>406</v>
      </c>
      <c r="C877" s="7" t="s">
        <v>198</v>
      </c>
      <c r="D877" s="23">
        <v>5</v>
      </c>
      <c r="E877" s="9">
        <v>0</v>
      </c>
      <c r="F877" s="25">
        <v>0.0475</v>
      </c>
      <c r="G877" s="9">
        <v>0</v>
      </c>
      <c r="H877" s="9">
        <v>0</v>
      </c>
      <c r="I877" s="9">
        <v>0</v>
      </c>
      <c r="J877" s="9">
        <v>0</v>
      </c>
      <c r="K877" s="9">
        <v>0</v>
      </c>
      <c r="L877" s="9">
        <v>0</v>
      </c>
      <c r="M877" s="9">
        <f>E877+K877-I877-J877-L877</f>
        <v>0.0</v>
      </c>
    </row>
    <row r="878" spans="1:13" ht="25" customHeight="1">
      <c r="A878" s="3" t="s">
        <v>78</v>
      </c>
      <c r="B878" s="4" t="s">
        <v>406</v>
      </c>
      <c r="C878" s="4" t="s">
        <v>394</v>
      </c>
      <c r="D878" s="24">
        <v>5</v>
      </c>
      <c r="E878" s="10">
        <v>618.3140133090733</v>
      </c>
      <c r="F878" s="26">
        <v>0.08000000000000002</v>
      </c>
      <c r="G878" s="10">
        <v>49.46512106472587</v>
      </c>
      <c r="H878" s="10">
        <v>618.3140133090733</v>
      </c>
      <c r="I878" s="10">
        <v>618.3140133090733</v>
      </c>
      <c r="J878" s="10">
        <v>0</v>
      </c>
      <c r="K878" s="10">
        <v>0</v>
      </c>
      <c r="L878" s="10">
        <v>0</v>
      </c>
      <c r="M878" s="10">
        <f>E878+K878-I878-J878-L878</f>
        <v>0.0</v>
      </c>
    </row>
    <row r="879" spans="1:13" ht="25" customHeight="1">
      <c r="A879" s="6" t="s">
        <v>78</v>
      </c>
      <c r="B879" s="7" t="s">
        <v>406</v>
      </c>
      <c r="C879" s="7" t="s">
        <v>395</v>
      </c>
      <c r="D879" s="23">
        <v>5</v>
      </c>
      <c r="E879" s="9">
        <v>401.1869936743983</v>
      </c>
      <c r="F879" s="25">
        <v>0.07750000000000001</v>
      </c>
      <c r="G879" s="9">
        <v>31.09199200976587</v>
      </c>
      <c r="H879" s="9">
        <v>401.1869936743983</v>
      </c>
      <c r="I879" s="9">
        <v>401.1869936743983</v>
      </c>
      <c r="J879" s="9">
        <v>0</v>
      </c>
      <c r="K879" s="9">
        <v>0</v>
      </c>
      <c r="L879" s="9">
        <v>0</v>
      </c>
      <c r="M879" s="9">
        <f>E879+K879-I879-J879-L879</f>
        <v>0.0</v>
      </c>
    </row>
    <row r="880" spans="1:13" ht="25" customHeight="1">
      <c r="A880" s="3" t="s">
        <v>79</v>
      </c>
      <c r="B880" s="4" t="s">
        <v>406</v>
      </c>
      <c r="C880" s="4" t="s">
        <v>139</v>
      </c>
      <c r="D880" s="24">
        <v>1</v>
      </c>
      <c r="E880" s="10">
        <v>900</v>
      </c>
      <c r="F880" s="26">
        <v>0.038</v>
      </c>
      <c r="G880" s="10">
        <v>34.2</v>
      </c>
      <c r="H880" s="10">
        <v>0</v>
      </c>
      <c r="I880" s="10">
        <v>0</v>
      </c>
      <c r="J880" s="10">
        <v>0</v>
      </c>
      <c r="K880" s="10">
        <v>0</v>
      </c>
      <c r="L880" s="10">
        <v>0</v>
      </c>
      <c r="M880" s="10">
        <f>E880+K880-I880-J880-L880</f>
        <v>900.0</v>
      </c>
    </row>
    <row r="881" spans="1:13" ht="25" customHeight="1">
      <c r="A881" s="6" t="s">
        <v>79</v>
      </c>
      <c r="B881" s="7" t="s">
        <v>406</v>
      </c>
      <c r="C881" s="7" t="s">
        <v>153</v>
      </c>
      <c r="D881" s="23">
        <v>1</v>
      </c>
      <c r="E881" s="9">
        <v>80</v>
      </c>
      <c r="F881" s="25">
        <v>0.05</v>
      </c>
      <c r="G881" s="9">
        <v>4</v>
      </c>
      <c r="H881" s="9">
        <v>16</v>
      </c>
      <c r="I881" s="9">
        <v>16</v>
      </c>
      <c r="J881" s="9">
        <v>26.76069075516267</v>
      </c>
      <c r="K881" s="9">
        <v>0</v>
      </c>
      <c r="L881" s="9">
        <v>0</v>
      </c>
      <c r="M881" s="9">
        <f>E881+K881-I881-J881-L881</f>
        <v>37.23930924483733</v>
      </c>
    </row>
    <row r="882" spans="1:13" ht="25" customHeight="1">
      <c r="A882" s="3" t="s">
        <v>79</v>
      </c>
      <c r="B882" s="4" t="s">
        <v>406</v>
      </c>
      <c r="C882" s="4" t="s">
        <v>198</v>
      </c>
      <c r="D882" s="24">
        <v>1</v>
      </c>
      <c r="E882" s="10">
        <v>350</v>
      </c>
      <c r="F882" s="26">
        <v>0.0475</v>
      </c>
      <c r="G882" s="10">
        <v>16.625</v>
      </c>
      <c r="H882" s="10">
        <v>0</v>
      </c>
      <c r="I882" s="10">
        <v>0</v>
      </c>
      <c r="J882" s="10">
        <v>0</v>
      </c>
      <c r="K882" s="10">
        <v>0</v>
      </c>
      <c r="L882" s="10">
        <v>0</v>
      </c>
      <c r="M882" s="10">
        <f>E882+K882-I882-J882-L882</f>
        <v>350.0</v>
      </c>
    </row>
    <row r="883" spans="1:13" ht="25" customHeight="1">
      <c r="A883" s="6" t="s">
        <v>79</v>
      </c>
      <c r="B883" s="7" t="s">
        <v>406</v>
      </c>
      <c r="C883" s="7" t="s">
        <v>394</v>
      </c>
      <c r="D883" s="23">
        <v>1</v>
      </c>
      <c r="E883" s="9">
        <v>304.5685279187817</v>
      </c>
      <c r="F883" s="25">
        <v>0.08499999999999999</v>
      </c>
      <c r="G883" s="9">
        <v>25.88832487309644</v>
      </c>
      <c r="H883" s="9">
        <v>6.091370558375635</v>
      </c>
      <c r="I883" s="9">
        <v>6.091370558375635</v>
      </c>
      <c r="J883" s="9">
        <v>298.4771573604061</v>
      </c>
      <c r="K883" s="9">
        <v>0</v>
      </c>
      <c r="L883" s="9">
        <v>0</v>
      </c>
      <c r="M883" s="9">
        <f>E883+K883-I883-J883-L883</f>
        <v>0.0</v>
      </c>
    </row>
    <row r="884" spans="1:13" ht="25" customHeight="1">
      <c r="A884" s="3" t="s">
        <v>79</v>
      </c>
      <c r="B884" s="4" t="s">
        <v>406</v>
      </c>
      <c r="C884" s="4" t="s">
        <v>395</v>
      </c>
      <c r="D884" s="24">
        <v>1</v>
      </c>
      <c r="E884" s="10">
        <v>0</v>
      </c>
      <c r="F884" s="26">
        <v>0.08249999999999999</v>
      </c>
      <c r="G884" s="10">
        <v>0</v>
      </c>
      <c r="H884" s="10">
        <v>0</v>
      </c>
      <c r="I884" s="10">
        <v>0</v>
      </c>
      <c r="J884" s="10">
        <v>0</v>
      </c>
      <c r="K884" s="10">
        <v>0</v>
      </c>
      <c r="L884" s="10">
        <v>0</v>
      </c>
      <c r="M884" s="10">
        <f>E884+K884-I884-J884-L884</f>
        <v>0.0</v>
      </c>
    </row>
    <row r="885" spans="1:13" ht="25" customHeight="1">
      <c r="A885" s="6" t="s">
        <v>79</v>
      </c>
      <c r="B885" s="7" t="s">
        <v>406</v>
      </c>
      <c r="C885" s="7" t="s">
        <v>139</v>
      </c>
      <c r="D885" s="23">
        <v>2</v>
      </c>
      <c r="E885" s="9">
        <v>900</v>
      </c>
      <c r="F885" s="25">
        <v>0.038</v>
      </c>
      <c r="G885" s="9">
        <v>34.2</v>
      </c>
      <c r="H885" s="9">
        <v>0</v>
      </c>
      <c r="I885" s="9">
        <v>0</v>
      </c>
      <c r="J885" s="9">
        <v>56.30528429546558</v>
      </c>
      <c r="K885" s="9">
        <v>0</v>
      </c>
      <c r="L885" s="9">
        <v>0</v>
      </c>
      <c r="M885" s="9">
        <f>E885+K885-I885-J885-L885</f>
        <v>843.6947157045345</v>
      </c>
    </row>
    <row r="886" spans="1:13" ht="25" customHeight="1">
      <c r="A886" s="3" t="s">
        <v>79</v>
      </c>
      <c r="B886" s="4" t="s">
        <v>406</v>
      </c>
      <c r="C886" s="4" t="s">
        <v>153</v>
      </c>
      <c r="D886" s="24">
        <v>2</v>
      </c>
      <c r="E886" s="10">
        <v>37.23930924483733</v>
      </c>
      <c r="F886" s="26">
        <v>0.05</v>
      </c>
      <c r="G886" s="10">
        <v>1.861965462241867</v>
      </c>
      <c r="H886" s="10">
        <v>16</v>
      </c>
      <c r="I886" s="10">
        <v>16</v>
      </c>
      <c r="J886" s="10">
        <v>21.23930924483733</v>
      </c>
      <c r="K886" s="10">
        <v>0</v>
      </c>
      <c r="L886" s="10">
        <v>0</v>
      </c>
      <c r="M886" s="10">
        <f>E886+K886-I886-J886-L886</f>
        <v>0.0</v>
      </c>
    </row>
    <row r="887" spans="1:13" ht="25" customHeight="1">
      <c r="A887" s="6" t="s">
        <v>79</v>
      </c>
      <c r="B887" s="7" t="s">
        <v>406</v>
      </c>
      <c r="C887" s="7" t="s">
        <v>198</v>
      </c>
      <c r="D887" s="23">
        <v>2</v>
      </c>
      <c r="E887" s="9">
        <v>350</v>
      </c>
      <c r="F887" s="25">
        <v>0.0475</v>
      </c>
      <c r="G887" s="9">
        <v>16.625</v>
      </c>
      <c r="H887" s="9">
        <v>0</v>
      </c>
      <c r="I887" s="9">
        <v>0</v>
      </c>
      <c r="J887" s="9">
        <v>350</v>
      </c>
      <c r="K887" s="9">
        <v>0</v>
      </c>
      <c r="L887" s="9">
        <v>0</v>
      </c>
      <c r="M887" s="9">
        <f>E887+K887-I887-J887-L887</f>
        <v>0.0</v>
      </c>
    </row>
    <row r="888" spans="1:13" ht="25" customHeight="1">
      <c r="A888" s="3" t="s">
        <v>79</v>
      </c>
      <c r="B888" s="4" t="s">
        <v>406</v>
      </c>
      <c r="C888" s="4" t="s">
        <v>394</v>
      </c>
      <c r="D888" s="24">
        <v>2</v>
      </c>
      <c r="E888" s="10">
        <v>0</v>
      </c>
      <c r="F888" s="26">
        <v>0.08249999999999999</v>
      </c>
      <c r="G888" s="10">
        <v>0</v>
      </c>
      <c r="H888" s="10">
        <v>0</v>
      </c>
      <c r="I888" s="10">
        <v>0</v>
      </c>
      <c r="J888" s="10">
        <v>0</v>
      </c>
      <c r="K888" s="10">
        <v>0</v>
      </c>
      <c r="L888" s="10">
        <v>0</v>
      </c>
      <c r="M888" s="10">
        <f>E888+K888-I888-J888-L888</f>
        <v>0.0</v>
      </c>
    </row>
    <row r="889" spans="1:13" ht="25" customHeight="1">
      <c r="A889" s="6" t="s">
        <v>79</v>
      </c>
      <c r="B889" s="7" t="s">
        <v>406</v>
      </c>
      <c r="C889" s="7" t="s">
        <v>395</v>
      </c>
      <c r="D889" s="23">
        <v>2</v>
      </c>
      <c r="E889" s="9">
        <v>0</v>
      </c>
      <c r="F889" s="25">
        <v>0.07999999999999999</v>
      </c>
      <c r="G889" s="9">
        <v>0</v>
      </c>
      <c r="H889" s="9">
        <v>0</v>
      </c>
      <c r="I889" s="9">
        <v>0</v>
      </c>
      <c r="J889" s="9">
        <v>0</v>
      </c>
      <c r="K889" s="9">
        <v>0</v>
      </c>
      <c r="L889" s="9">
        <v>0</v>
      </c>
      <c r="M889" s="9">
        <f>E889+K889-I889-J889-L889</f>
        <v>0.0</v>
      </c>
    </row>
    <row r="890" spans="1:13" ht="25" customHeight="1">
      <c r="A890" s="3" t="s">
        <v>79</v>
      </c>
      <c r="B890" s="4" t="s">
        <v>406</v>
      </c>
      <c r="C890" s="4" t="s">
        <v>139</v>
      </c>
      <c r="D890" s="24">
        <v>3</v>
      </c>
      <c r="E890" s="10">
        <v>843.6947157045345</v>
      </c>
      <c r="F890" s="26">
        <v>0.038</v>
      </c>
      <c r="G890" s="10">
        <v>32.06039919677231</v>
      </c>
      <c r="H890" s="10">
        <v>0</v>
      </c>
      <c r="I890" s="10">
        <v>0</v>
      </c>
      <c r="J890" s="10">
        <v>555.017493680331</v>
      </c>
      <c r="K890" s="10">
        <v>0</v>
      </c>
      <c r="L890" s="10">
        <v>0</v>
      </c>
      <c r="M890" s="10">
        <f>E890+K890-I890-J890-L890</f>
        <v>288.6772220242035</v>
      </c>
    </row>
    <row r="891" spans="1:13" ht="25" customHeight="1">
      <c r="A891" s="6" t="s">
        <v>79</v>
      </c>
      <c r="B891" s="7" t="s">
        <v>406</v>
      </c>
      <c r="C891" s="7" t="s">
        <v>153</v>
      </c>
      <c r="D891" s="23">
        <v>3</v>
      </c>
      <c r="E891" s="9">
        <v>0</v>
      </c>
      <c r="F891" s="25">
        <v>0.05</v>
      </c>
      <c r="G891" s="9">
        <v>0</v>
      </c>
      <c r="H891" s="9">
        <v>0</v>
      </c>
      <c r="I891" s="9">
        <v>0</v>
      </c>
      <c r="J891" s="9">
        <v>0</v>
      </c>
      <c r="K891" s="9">
        <v>0</v>
      </c>
      <c r="L891" s="9">
        <v>0</v>
      </c>
      <c r="M891" s="9">
        <f>E891+K891-I891-J891-L891</f>
        <v>0.0</v>
      </c>
    </row>
    <row r="892" spans="1:13" ht="25" customHeight="1">
      <c r="A892" s="3" t="s">
        <v>79</v>
      </c>
      <c r="B892" s="4" t="s">
        <v>406</v>
      </c>
      <c r="C892" s="4" t="s">
        <v>198</v>
      </c>
      <c r="D892" s="24">
        <v>3</v>
      </c>
      <c r="E892" s="10">
        <v>0</v>
      </c>
      <c r="F892" s="26">
        <v>0.0475</v>
      </c>
      <c r="G892" s="10">
        <v>0</v>
      </c>
      <c r="H892" s="10">
        <v>0</v>
      </c>
      <c r="I892" s="10">
        <v>0</v>
      </c>
      <c r="J892" s="10">
        <v>0</v>
      </c>
      <c r="K892" s="10">
        <v>0</v>
      </c>
      <c r="L892" s="10">
        <v>0</v>
      </c>
      <c r="M892" s="10">
        <f>E892+K892-I892-J892-L892</f>
        <v>0.0</v>
      </c>
    </row>
    <row r="893" spans="1:13" ht="25" customHeight="1">
      <c r="A893" s="6" t="s">
        <v>79</v>
      </c>
      <c r="B893" s="7" t="s">
        <v>406</v>
      </c>
      <c r="C893" s="7" t="s">
        <v>394</v>
      </c>
      <c r="D893" s="23">
        <v>3</v>
      </c>
      <c r="E893" s="9">
        <v>0</v>
      </c>
      <c r="F893" s="25">
        <v>0.08000000000000002</v>
      </c>
      <c r="G893" s="9">
        <v>0</v>
      </c>
      <c r="H893" s="9">
        <v>0</v>
      </c>
      <c r="I893" s="9">
        <v>0</v>
      </c>
      <c r="J893" s="9">
        <v>0</v>
      </c>
      <c r="K893" s="9">
        <v>0</v>
      </c>
      <c r="L893" s="9">
        <v>0</v>
      </c>
      <c r="M893" s="9">
        <f>E893+K893-I893-J893-L893</f>
        <v>0.0</v>
      </c>
    </row>
    <row r="894" spans="1:13" ht="25" customHeight="1">
      <c r="A894" s="3" t="s">
        <v>79</v>
      </c>
      <c r="B894" s="4" t="s">
        <v>406</v>
      </c>
      <c r="C894" s="4" t="s">
        <v>395</v>
      </c>
      <c r="D894" s="24">
        <v>3</v>
      </c>
      <c r="E894" s="10">
        <v>0</v>
      </c>
      <c r="F894" s="26">
        <v>0.07750000000000001</v>
      </c>
      <c r="G894" s="10">
        <v>0</v>
      </c>
      <c r="H894" s="10">
        <v>0</v>
      </c>
      <c r="I894" s="10">
        <v>0</v>
      </c>
      <c r="J894" s="10">
        <v>0</v>
      </c>
      <c r="K894" s="10">
        <v>0</v>
      </c>
      <c r="L894" s="10">
        <v>0</v>
      </c>
      <c r="M894" s="10">
        <f>E894+K894-I894-J894-L894</f>
        <v>0.0</v>
      </c>
    </row>
    <row r="895" spans="1:13" ht="25" customHeight="1">
      <c r="A895" s="6" t="s">
        <v>79</v>
      </c>
      <c r="B895" s="7" t="s">
        <v>406</v>
      </c>
      <c r="C895" s="7" t="s">
        <v>139</v>
      </c>
      <c r="D895" s="23">
        <v>4</v>
      </c>
      <c r="E895" s="9">
        <v>288.6772220242035</v>
      </c>
      <c r="F895" s="25">
        <v>0.038</v>
      </c>
      <c r="G895" s="9">
        <v>10.96973443691973</v>
      </c>
      <c r="H895" s="9">
        <v>288.6772220242035</v>
      </c>
      <c r="I895" s="9">
        <v>288.6772220242035</v>
      </c>
      <c r="J895" s="9">
        <v>0</v>
      </c>
      <c r="K895" s="9">
        <v>0</v>
      </c>
      <c r="L895" s="9">
        <v>0</v>
      </c>
      <c r="M895" s="9">
        <f>E895+K895-I895-J895-L895</f>
        <v>0.0</v>
      </c>
    </row>
    <row r="896" spans="1:13" ht="25" customHeight="1">
      <c r="A896" s="3" t="s">
        <v>79</v>
      </c>
      <c r="B896" s="4" t="s">
        <v>406</v>
      </c>
      <c r="C896" s="4" t="s">
        <v>153</v>
      </c>
      <c r="D896" s="24">
        <v>4</v>
      </c>
      <c r="E896" s="10">
        <v>0</v>
      </c>
      <c r="F896" s="26">
        <v>0.05</v>
      </c>
      <c r="G896" s="10">
        <v>0</v>
      </c>
      <c r="H896" s="10">
        <v>0</v>
      </c>
      <c r="I896" s="10">
        <v>0</v>
      </c>
      <c r="J896" s="10">
        <v>0</v>
      </c>
      <c r="K896" s="10">
        <v>0</v>
      </c>
      <c r="L896" s="10">
        <v>0</v>
      </c>
      <c r="M896" s="10">
        <f>E896+K896-I896-J896-L896</f>
        <v>0.0</v>
      </c>
    </row>
    <row r="897" spans="1:13" ht="25" customHeight="1">
      <c r="A897" s="6" t="s">
        <v>79</v>
      </c>
      <c r="B897" s="7" t="s">
        <v>406</v>
      </c>
      <c r="C897" s="7" t="s">
        <v>198</v>
      </c>
      <c r="D897" s="23">
        <v>4</v>
      </c>
      <c r="E897" s="9">
        <v>0</v>
      </c>
      <c r="F897" s="25">
        <v>0.0475</v>
      </c>
      <c r="G897" s="9">
        <v>0</v>
      </c>
      <c r="H897" s="9">
        <v>0</v>
      </c>
      <c r="I897" s="9">
        <v>0</v>
      </c>
      <c r="J897" s="9">
        <v>0</v>
      </c>
      <c r="K897" s="9">
        <v>0</v>
      </c>
      <c r="L897" s="9">
        <v>0</v>
      </c>
      <c r="M897" s="9">
        <f>E897+K897-I897-J897-L897</f>
        <v>0.0</v>
      </c>
    </row>
    <row r="898" spans="1:13" ht="25" customHeight="1">
      <c r="A898" s="3" t="s">
        <v>79</v>
      </c>
      <c r="B898" s="4" t="s">
        <v>406</v>
      </c>
      <c r="C898" s="4" t="s">
        <v>394</v>
      </c>
      <c r="D898" s="24">
        <v>4</v>
      </c>
      <c r="E898" s="10">
        <v>0</v>
      </c>
      <c r="F898" s="26">
        <v>0.08000000000000002</v>
      </c>
      <c r="G898" s="10">
        <v>0</v>
      </c>
      <c r="H898" s="10">
        <v>0</v>
      </c>
      <c r="I898" s="10">
        <v>0</v>
      </c>
      <c r="J898" s="10">
        <v>0</v>
      </c>
      <c r="K898" s="10">
        <v>0</v>
      </c>
      <c r="L898" s="10">
        <v>0</v>
      </c>
      <c r="M898" s="10">
        <f>E898+K898-I898-J898-L898</f>
        <v>0.0</v>
      </c>
    </row>
    <row r="899" spans="1:13" ht="25" customHeight="1">
      <c r="A899" s="6" t="s">
        <v>79</v>
      </c>
      <c r="B899" s="7" t="s">
        <v>406</v>
      </c>
      <c r="C899" s="7" t="s">
        <v>395</v>
      </c>
      <c r="D899" s="23">
        <v>4</v>
      </c>
      <c r="E899" s="9">
        <v>0</v>
      </c>
      <c r="F899" s="25">
        <v>0.07750000000000001</v>
      </c>
      <c r="G899" s="9">
        <v>0</v>
      </c>
      <c r="H899" s="9">
        <v>0</v>
      </c>
      <c r="I899" s="9">
        <v>0</v>
      </c>
      <c r="J899" s="9">
        <v>0</v>
      </c>
      <c r="K899" s="9">
        <v>0</v>
      </c>
      <c r="L899" s="9">
        <v>0</v>
      </c>
      <c r="M899" s="9">
        <f>E899+K899-I899-J899-L899</f>
        <v>0.0</v>
      </c>
    </row>
    <row r="900" spans="1:13" ht="25" customHeight="1">
      <c r="A900" s="3" t="s">
        <v>79</v>
      </c>
      <c r="B900" s="4" t="s">
        <v>406</v>
      </c>
      <c r="C900" s="4" t="s">
        <v>139</v>
      </c>
      <c r="D900" s="24">
        <v>5</v>
      </c>
      <c r="E900" s="10">
        <v>0</v>
      </c>
      <c r="F900" s="26">
        <v>0.038</v>
      </c>
      <c r="G900" s="10">
        <v>0</v>
      </c>
      <c r="H900" s="10">
        <v>0</v>
      </c>
      <c r="I900" s="10">
        <v>0</v>
      </c>
      <c r="J900" s="10">
        <v>0</v>
      </c>
      <c r="K900" s="10">
        <v>0</v>
      </c>
      <c r="L900" s="10">
        <v>0</v>
      </c>
      <c r="M900" s="10">
        <f>E900+K900-I900-J900-L900</f>
        <v>0.0</v>
      </c>
    </row>
    <row r="901" spans="1:13" ht="25" customHeight="1">
      <c r="A901" s="6" t="s">
        <v>79</v>
      </c>
      <c r="B901" s="7" t="s">
        <v>406</v>
      </c>
      <c r="C901" s="7" t="s">
        <v>153</v>
      </c>
      <c r="D901" s="23">
        <v>5</v>
      </c>
      <c r="E901" s="9">
        <v>0</v>
      </c>
      <c r="F901" s="25">
        <v>0.05</v>
      </c>
      <c r="G901" s="9">
        <v>0</v>
      </c>
      <c r="H901" s="9">
        <v>0</v>
      </c>
      <c r="I901" s="9">
        <v>0</v>
      </c>
      <c r="J901" s="9">
        <v>0</v>
      </c>
      <c r="K901" s="9">
        <v>0</v>
      </c>
      <c r="L901" s="9">
        <v>0</v>
      </c>
      <c r="M901" s="9">
        <f>E901+K901-I901-J901-L901</f>
        <v>0.0</v>
      </c>
    </row>
    <row r="902" spans="1:13" ht="25" customHeight="1">
      <c r="A902" s="3" t="s">
        <v>79</v>
      </c>
      <c r="B902" s="4" t="s">
        <v>406</v>
      </c>
      <c r="C902" s="4" t="s">
        <v>198</v>
      </c>
      <c r="D902" s="24">
        <v>5</v>
      </c>
      <c r="E902" s="10">
        <v>0</v>
      </c>
      <c r="F902" s="26">
        <v>0.0475</v>
      </c>
      <c r="G902" s="10">
        <v>0</v>
      </c>
      <c r="H902" s="10">
        <v>0</v>
      </c>
      <c r="I902" s="10">
        <v>0</v>
      </c>
      <c r="J902" s="10">
        <v>0</v>
      </c>
      <c r="K902" s="10">
        <v>0</v>
      </c>
      <c r="L902" s="10">
        <v>0</v>
      </c>
      <c r="M902" s="10">
        <f>E902+K902-I902-J902-L902</f>
        <v>0.0</v>
      </c>
    </row>
    <row r="903" spans="1:13" ht="25" customHeight="1">
      <c r="A903" s="6" t="s">
        <v>79</v>
      </c>
      <c r="B903" s="7" t="s">
        <v>406</v>
      </c>
      <c r="C903" s="7" t="s">
        <v>394</v>
      </c>
      <c r="D903" s="23">
        <v>5</v>
      </c>
      <c r="E903" s="9">
        <v>0</v>
      </c>
      <c r="F903" s="25">
        <v>0.08000000000000002</v>
      </c>
      <c r="G903" s="9">
        <v>0</v>
      </c>
      <c r="H903" s="9">
        <v>0</v>
      </c>
      <c r="I903" s="9">
        <v>0</v>
      </c>
      <c r="J903" s="9">
        <v>0</v>
      </c>
      <c r="K903" s="9">
        <v>0</v>
      </c>
      <c r="L903" s="9">
        <v>0</v>
      </c>
      <c r="M903" s="9">
        <f>E903+K903-I903-J903-L903</f>
        <v>0.0</v>
      </c>
    </row>
    <row r="904" spans="1:13" ht="25" customHeight="1">
      <c r="A904" s="3" t="s">
        <v>79</v>
      </c>
      <c r="B904" s="4" t="s">
        <v>406</v>
      </c>
      <c r="C904" s="4" t="s">
        <v>395</v>
      </c>
      <c r="D904" s="24">
        <v>5</v>
      </c>
      <c r="E904" s="10">
        <v>0</v>
      </c>
      <c r="F904" s="26">
        <v>0.07750000000000001</v>
      </c>
      <c r="G904" s="10">
        <v>0</v>
      </c>
      <c r="H904" s="10">
        <v>0</v>
      </c>
      <c r="I904" s="10">
        <v>0</v>
      </c>
      <c r="J904" s="10">
        <v>0</v>
      </c>
      <c r="K904" s="10">
        <v>0</v>
      </c>
      <c r="L904" s="10">
        <v>0</v>
      </c>
      <c r="M904" s="10">
        <f>E904+K904-I904-J904-L904</f>
        <v>0.0</v>
      </c>
    </row>
    <row r="905" spans="1:13" ht="25" customHeight="1">
      <c r="A905" s="6" t="s">
        <v>68</v>
      </c>
      <c r="B905" s="7" t="s">
        <v>407</v>
      </c>
      <c r="C905" s="7" t="s">
        <v>139</v>
      </c>
      <c r="D905" s="23">
        <v>1</v>
      </c>
      <c r="E905" s="9">
        <v>900</v>
      </c>
      <c r="F905" s="25">
        <v>0.038</v>
      </c>
      <c r="G905" s="9">
        <v>34.2</v>
      </c>
      <c r="H905" s="9">
        <v>0</v>
      </c>
      <c r="I905" s="9">
        <v>0</v>
      </c>
      <c r="J905" s="9">
        <v>0</v>
      </c>
      <c r="K905" s="9">
        <v>0</v>
      </c>
      <c r="L905" s="9">
        <v>0</v>
      </c>
      <c r="M905" s="9">
        <f>E905+K905-I905-J905-L905</f>
        <v>900.0</v>
      </c>
    </row>
    <row r="906" spans="1:13" ht="25" customHeight="1">
      <c r="A906" s="3" t="s">
        <v>68</v>
      </c>
      <c r="B906" s="4" t="s">
        <v>407</v>
      </c>
      <c r="C906" s="4" t="s">
        <v>153</v>
      </c>
      <c r="D906" s="24">
        <v>1</v>
      </c>
      <c r="E906" s="10">
        <v>80</v>
      </c>
      <c r="F906" s="26">
        <v>0.05</v>
      </c>
      <c r="G906" s="10">
        <v>4</v>
      </c>
      <c r="H906" s="10">
        <v>16</v>
      </c>
      <c r="I906" s="10">
        <v>16</v>
      </c>
      <c r="J906" s="10">
        <v>0</v>
      </c>
      <c r="K906" s="10">
        <v>0</v>
      </c>
      <c r="L906" s="10">
        <v>0</v>
      </c>
      <c r="M906" s="10">
        <f>E906+K906-I906-J906-L906</f>
        <v>64.0</v>
      </c>
    </row>
    <row r="907" spans="1:13" ht="25" customHeight="1">
      <c r="A907" s="6" t="s">
        <v>68</v>
      </c>
      <c r="B907" s="7" t="s">
        <v>407</v>
      </c>
      <c r="C907" s="7" t="s">
        <v>198</v>
      </c>
      <c r="D907" s="23">
        <v>1</v>
      </c>
      <c r="E907" s="9">
        <v>350</v>
      </c>
      <c r="F907" s="25">
        <v>0.0475</v>
      </c>
      <c r="G907" s="9">
        <v>16.625</v>
      </c>
      <c r="H907" s="9">
        <v>0</v>
      </c>
      <c r="I907" s="9">
        <v>0</v>
      </c>
      <c r="J907" s="9">
        <v>0</v>
      </c>
      <c r="K907" s="9">
        <v>0</v>
      </c>
      <c r="L907" s="9">
        <v>0</v>
      </c>
      <c r="M907" s="9">
        <f>E907+K907-I907-J907-L907</f>
        <v>350.0</v>
      </c>
    </row>
    <row r="908" spans="1:13" ht="25" customHeight="1">
      <c r="A908" s="3" t="s">
        <v>68</v>
      </c>
      <c r="B908" s="4" t="s">
        <v>407</v>
      </c>
      <c r="C908" s="4" t="s">
        <v>394</v>
      </c>
      <c r="D908" s="24">
        <v>1</v>
      </c>
      <c r="E908" s="10">
        <v>1340.10152284264</v>
      </c>
      <c r="F908" s="26">
        <v>0.08500000000000001</v>
      </c>
      <c r="G908" s="10">
        <v>113.9086294416244</v>
      </c>
      <c r="H908" s="10">
        <v>26.80203045685279</v>
      </c>
      <c r="I908" s="10">
        <v>26.80203045685279</v>
      </c>
      <c r="J908" s="10">
        <v>238.5119597906956</v>
      </c>
      <c r="K908" s="10">
        <v>0</v>
      </c>
      <c r="L908" s="10">
        <v>0</v>
      </c>
      <c r="M908" s="10">
        <f>E908+K908-I908-J908-L908</f>
        <v>1074.7875325950913</v>
      </c>
    </row>
    <row r="909" spans="1:13" ht="25" customHeight="1">
      <c r="A909" s="6" t="s">
        <v>68</v>
      </c>
      <c r="B909" s="7" t="s">
        <v>407</v>
      </c>
      <c r="C909" s="7" t="s">
        <v>395</v>
      </c>
      <c r="D909" s="23">
        <v>1</v>
      </c>
      <c r="E909" s="9">
        <v>0</v>
      </c>
      <c r="F909" s="25">
        <v>0.0625</v>
      </c>
      <c r="G909" s="9">
        <v>0</v>
      </c>
      <c r="H909" s="9">
        <v>0</v>
      </c>
      <c r="I909" s="9">
        <v>0</v>
      </c>
      <c r="J909" s="9">
        <v>0</v>
      </c>
      <c r="K909" s="9">
        <v>0</v>
      </c>
      <c r="L909" s="9">
        <v>0</v>
      </c>
      <c r="M909" s="9">
        <f>E909+K909-I909-J909-L909</f>
        <v>0.0</v>
      </c>
    </row>
    <row r="910" spans="1:13" ht="25" customHeight="1">
      <c r="A910" s="3" t="s">
        <v>68</v>
      </c>
      <c r="B910" s="4" t="s">
        <v>407</v>
      </c>
      <c r="C910" s="4" t="s">
        <v>139</v>
      </c>
      <c r="D910" s="24">
        <v>2</v>
      </c>
      <c r="E910" s="10">
        <v>900</v>
      </c>
      <c r="F910" s="26">
        <v>0.038</v>
      </c>
      <c r="G910" s="10">
        <v>34.2</v>
      </c>
      <c r="H910" s="10">
        <v>0</v>
      </c>
      <c r="I910" s="10">
        <v>0</v>
      </c>
      <c r="J910" s="10">
        <v>0</v>
      </c>
      <c r="K910" s="10">
        <v>0</v>
      </c>
      <c r="L910" s="10">
        <v>0</v>
      </c>
      <c r="M910" s="10">
        <f>E910+K910-I910-J910-L910</f>
        <v>900.0</v>
      </c>
    </row>
    <row r="911" spans="1:13" ht="25" customHeight="1">
      <c r="A911" s="6" t="s">
        <v>68</v>
      </c>
      <c r="B911" s="7" t="s">
        <v>407</v>
      </c>
      <c r="C911" s="7" t="s">
        <v>153</v>
      </c>
      <c r="D911" s="23">
        <v>2</v>
      </c>
      <c r="E911" s="9">
        <v>64</v>
      </c>
      <c r="F911" s="25">
        <v>0.05</v>
      </c>
      <c r="G911" s="9">
        <v>3.2</v>
      </c>
      <c r="H911" s="9">
        <v>16</v>
      </c>
      <c r="I911" s="9">
        <v>16</v>
      </c>
      <c r="J911" s="9">
        <v>0</v>
      </c>
      <c r="K911" s="9">
        <v>0</v>
      </c>
      <c r="L911" s="9">
        <v>0</v>
      </c>
      <c r="M911" s="9">
        <f>E911+K911-I911-J911-L911</f>
        <v>48.0</v>
      </c>
    </row>
    <row r="912" spans="1:13" ht="25" customHeight="1">
      <c r="A912" s="3" t="s">
        <v>68</v>
      </c>
      <c r="B912" s="4" t="s">
        <v>407</v>
      </c>
      <c r="C912" s="4" t="s">
        <v>198</v>
      </c>
      <c r="D912" s="24">
        <v>2</v>
      </c>
      <c r="E912" s="10">
        <v>350</v>
      </c>
      <c r="F912" s="26">
        <v>0.0475</v>
      </c>
      <c r="G912" s="10">
        <v>16.625</v>
      </c>
      <c r="H912" s="10">
        <v>0</v>
      </c>
      <c r="I912" s="10">
        <v>0</v>
      </c>
      <c r="J912" s="10">
        <v>0</v>
      </c>
      <c r="K912" s="10">
        <v>0</v>
      </c>
      <c r="L912" s="10">
        <v>0</v>
      </c>
      <c r="M912" s="10">
        <f>E912+K912-I912-J912-L912</f>
        <v>350.0</v>
      </c>
    </row>
    <row r="913" spans="1:13" ht="25" customHeight="1">
      <c r="A913" s="6" t="s">
        <v>68</v>
      </c>
      <c r="B913" s="7" t="s">
        <v>407</v>
      </c>
      <c r="C913" s="7" t="s">
        <v>394</v>
      </c>
      <c r="D913" s="23">
        <v>2</v>
      </c>
      <c r="E913" s="9">
        <v>1074.787532595091</v>
      </c>
      <c r="F913" s="25">
        <v>0.0825</v>
      </c>
      <c r="G913" s="9">
        <v>88.66997143909504</v>
      </c>
      <c r="H913" s="9">
        <v>26.80203045685279</v>
      </c>
      <c r="I913" s="9">
        <v>26.80203045685279</v>
      </c>
      <c r="J913" s="9">
        <v>333.2365586008102</v>
      </c>
      <c r="K913" s="9">
        <v>0</v>
      </c>
      <c r="L913" s="9">
        <v>0</v>
      </c>
      <c r="M913" s="9">
        <f>E913+K913-I913-J913-L913</f>
        <v>714.7489435374282</v>
      </c>
    </row>
    <row r="914" spans="1:13" ht="25" customHeight="1">
      <c r="A914" s="3" t="s">
        <v>68</v>
      </c>
      <c r="B914" s="4" t="s">
        <v>407</v>
      </c>
      <c r="C914" s="4" t="s">
        <v>395</v>
      </c>
      <c r="D914" s="24">
        <v>2</v>
      </c>
      <c r="E914" s="10">
        <v>0</v>
      </c>
      <c r="F914" s="26">
        <v>0.06</v>
      </c>
      <c r="G914" s="10">
        <v>0</v>
      </c>
      <c r="H914" s="10">
        <v>0</v>
      </c>
      <c r="I914" s="10">
        <v>0</v>
      </c>
      <c r="J914" s="10">
        <v>0</v>
      </c>
      <c r="K914" s="10">
        <v>0</v>
      </c>
      <c r="L914" s="10">
        <v>0</v>
      </c>
      <c r="M914" s="10">
        <f>E914+K914-I914-J914-L914</f>
        <v>0.0</v>
      </c>
    </row>
    <row r="915" spans="1:13" ht="25" customHeight="1">
      <c r="A915" s="6" t="s">
        <v>68</v>
      </c>
      <c r="B915" s="7" t="s">
        <v>407</v>
      </c>
      <c r="C915" s="7" t="s">
        <v>139</v>
      </c>
      <c r="D915" s="23">
        <v>3</v>
      </c>
      <c r="E915" s="9">
        <v>900</v>
      </c>
      <c r="F915" s="25">
        <v>0.038</v>
      </c>
      <c r="G915" s="9">
        <v>34.2</v>
      </c>
      <c r="H915" s="9">
        <v>0</v>
      </c>
      <c r="I915" s="9">
        <v>0</v>
      </c>
      <c r="J915" s="9">
        <v>0</v>
      </c>
      <c r="K915" s="9">
        <v>0</v>
      </c>
      <c r="L915" s="9">
        <v>0</v>
      </c>
      <c r="M915" s="9">
        <f>E915+K915-I915-J915-L915</f>
        <v>900.0</v>
      </c>
    </row>
    <row r="916" spans="1:13" ht="25" customHeight="1">
      <c r="A916" s="3" t="s">
        <v>68</v>
      </c>
      <c r="B916" s="4" t="s">
        <v>407</v>
      </c>
      <c r="C916" s="4" t="s">
        <v>153</v>
      </c>
      <c r="D916" s="24">
        <v>3</v>
      </c>
      <c r="E916" s="10">
        <v>48</v>
      </c>
      <c r="F916" s="26">
        <v>0.05</v>
      </c>
      <c r="G916" s="10">
        <v>2.4</v>
      </c>
      <c r="H916" s="10">
        <v>16</v>
      </c>
      <c r="I916" s="10">
        <v>16</v>
      </c>
      <c r="J916" s="10">
        <v>0</v>
      </c>
      <c r="K916" s="10">
        <v>0</v>
      </c>
      <c r="L916" s="10">
        <v>0</v>
      </c>
      <c r="M916" s="10">
        <f>E916+K916-I916-J916-L916</f>
        <v>32.0</v>
      </c>
    </row>
    <row r="917" spans="1:13" ht="25" customHeight="1">
      <c r="A917" s="6" t="s">
        <v>68</v>
      </c>
      <c r="B917" s="7" t="s">
        <v>407</v>
      </c>
      <c r="C917" s="7" t="s">
        <v>198</v>
      </c>
      <c r="D917" s="23">
        <v>3</v>
      </c>
      <c r="E917" s="9">
        <v>350</v>
      </c>
      <c r="F917" s="25">
        <v>0.0475</v>
      </c>
      <c r="G917" s="9">
        <v>16.625</v>
      </c>
      <c r="H917" s="9">
        <v>350</v>
      </c>
      <c r="I917" s="9">
        <v>350</v>
      </c>
      <c r="J917" s="9">
        <v>0</v>
      </c>
      <c r="K917" s="9">
        <v>0</v>
      </c>
      <c r="L917" s="9">
        <v>0</v>
      </c>
      <c r="M917" s="9">
        <f>E917+K917-I917-J917-L917</f>
        <v>0.0</v>
      </c>
    </row>
    <row r="918" spans="1:13" ht="25" customHeight="1">
      <c r="A918" s="3" t="s">
        <v>68</v>
      </c>
      <c r="B918" s="4" t="s">
        <v>407</v>
      </c>
      <c r="C918" s="4" t="s">
        <v>394</v>
      </c>
      <c r="D918" s="24">
        <v>3</v>
      </c>
      <c r="E918" s="10">
        <v>714.7489435374282</v>
      </c>
      <c r="F918" s="26">
        <v>0.08</v>
      </c>
      <c r="G918" s="10">
        <v>57.17991548299426</v>
      </c>
      <c r="H918" s="10">
        <v>26.80203045685279</v>
      </c>
      <c r="I918" s="10">
        <v>26.80203045685279</v>
      </c>
      <c r="J918" s="10">
        <v>103.4570760088117</v>
      </c>
      <c r="K918" s="10">
        <v>0</v>
      </c>
      <c r="L918" s="10">
        <v>0</v>
      </c>
      <c r="M918" s="10">
        <f>E918+K918-I918-J918-L918</f>
        <v>584.4898370717638</v>
      </c>
    </row>
    <row r="919" spans="1:13" ht="25" customHeight="1">
      <c r="A919" s="6" t="s">
        <v>68</v>
      </c>
      <c r="B919" s="7" t="s">
        <v>407</v>
      </c>
      <c r="C919" s="7" t="s">
        <v>395</v>
      </c>
      <c r="D919" s="23">
        <v>3</v>
      </c>
      <c r="E919" s="9">
        <v>0</v>
      </c>
      <c r="F919" s="25">
        <v>0.0575</v>
      </c>
      <c r="G919" s="9">
        <v>0</v>
      </c>
      <c r="H919" s="9">
        <v>0</v>
      </c>
      <c r="I919" s="9">
        <v>0</v>
      </c>
      <c r="J919" s="9">
        <v>0</v>
      </c>
      <c r="K919" s="9">
        <v>0</v>
      </c>
      <c r="L919" s="9">
        <v>0</v>
      </c>
      <c r="M919" s="9">
        <f>E919+K919-I919-J919-L919</f>
        <v>0.0</v>
      </c>
    </row>
    <row r="920" spans="1:13" ht="25" customHeight="1">
      <c r="A920" s="3" t="s">
        <v>68</v>
      </c>
      <c r="B920" s="4" t="s">
        <v>407</v>
      </c>
      <c r="C920" s="4" t="s">
        <v>139</v>
      </c>
      <c r="D920" s="24">
        <v>4</v>
      </c>
      <c r="E920" s="10">
        <v>900</v>
      </c>
      <c r="F920" s="26">
        <v>0.038</v>
      </c>
      <c r="G920" s="10">
        <v>34.2</v>
      </c>
      <c r="H920" s="10">
        <v>900</v>
      </c>
      <c r="I920" s="10">
        <v>900</v>
      </c>
      <c r="J920" s="10">
        <v>0</v>
      </c>
      <c r="K920" s="10">
        <v>0</v>
      </c>
      <c r="L920" s="10">
        <v>0</v>
      </c>
      <c r="M920" s="10">
        <f>E920+K920-I920-J920-L920</f>
        <v>0.0</v>
      </c>
    </row>
    <row r="921" spans="1:13" ht="25" customHeight="1">
      <c r="A921" s="6" t="s">
        <v>68</v>
      </c>
      <c r="B921" s="7" t="s">
        <v>407</v>
      </c>
      <c r="C921" s="7" t="s">
        <v>153</v>
      </c>
      <c r="D921" s="23">
        <v>4</v>
      </c>
      <c r="E921" s="9">
        <v>32</v>
      </c>
      <c r="F921" s="25">
        <v>0.05</v>
      </c>
      <c r="G921" s="9">
        <v>1.6</v>
      </c>
      <c r="H921" s="9">
        <v>16</v>
      </c>
      <c r="I921" s="9">
        <v>16</v>
      </c>
      <c r="J921" s="9">
        <v>0</v>
      </c>
      <c r="K921" s="9">
        <v>0</v>
      </c>
      <c r="L921" s="9">
        <v>0</v>
      </c>
      <c r="M921" s="9">
        <f>E921+K921-I921-J921-L921</f>
        <v>16.0</v>
      </c>
    </row>
    <row r="922" spans="1:13" ht="25" customHeight="1">
      <c r="A922" s="3" t="s">
        <v>68</v>
      </c>
      <c r="B922" s="4" t="s">
        <v>407</v>
      </c>
      <c r="C922" s="4" t="s">
        <v>198</v>
      </c>
      <c r="D922" s="24">
        <v>4</v>
      </c>
      <c r="E922" s="10">
        <v>0</v>
      </c>
      <c r="F922" s="26">
        <v>0.0475</v>
      </c>
      <c r="G922" s="10">
        <v>0</v>
      </c>
      <c r="H922" s="10">
        <v>0</v>
      </c>
      <c r="I922" s="10">
        <v>0</v>
      </c>
      <c r="J922" s="10">
        <v>0</v>
      </c>
      <c r="K922" s="10">
        <v>0</v>
      </c>
      <c r="L922" s="10">
        <v>0</v>
      </c>
      <c r="M922" s="10">
        <f>E922+K922-I922-J922-L922</f>
        <v>0.0</v>
      </c>
    </row>
    <row r="923" spans="1:13" ht="25" customHeight="1">
      <c r="A923" s="6" t="s">
        <v>68</v>
      </c>
      <c r="B923" s="7" t="s">
        <v>407</v>
      </c>
      <c r="C923" s="7" t="s">
        <v>394</v>
      </c>
      <c r="D923" s="23">
        <v>4</v>
      </c>
      <c r="E923" s="9">
        <v>584.4898370717638</v>
      </c>
      <c r="F923" s="25">
        <v>0.08</v>
      </c>
      <c r="G923" s="9">
        <v>46.7591869657411</v>
      </c>
      <c r="H923" s="9">
        <v>26.80203045685279</v>
      </c>
      <c r="I923" s="9">
        <v>26.80203045685279</v>
      </c>
      <c r="J923" s="9">
        <v>0</v>
      </c>
      <c r="K923" s="9">
        <v>0</v>
      </c>
      <c r="L923" s="9">
        <v>0</v>
      </c>
      <c r="M923" s="9">
        <f>E923+K923-I923-J923-L923</f>
        <v>557.687806614911</v>
      </c>
    </row>
    <row r="924" spans="1:13" ht="25" customHeight="1">
      <c r="A924" s="3" t="s">
        <v>68</v>
      </c>
      <c r="B924" s="4" t="s">
        <v>407</v>
      </c>
      <c r="C924" s="4" t="s">
        <v>395</v>
      </c>
      <c r="D924" s="24">
        <v>4</v>
      </c>
      <c r="E924" s="10">
        <v>0</v>
      </c>
      <c r="F924" s="26">
        <v>0.0575</v>
      </c>
      <c r="G924" s="10">
        <v>0</v>
      </c>
      <c r="H924" s="10">
        <v>0</v>
      </c>
      <c r="I924" s="10">
        <v>0</v>
      </c>
      <c r="J924" s="10">
        <v>0</v>
      </c>
      <c r="K924" s="10">
        <v>378.8245481763015</v>
      </c>
      <c r="L924" s="10">
        <v>0</v>
      </c>
      <c r="M924" s="10">
        <f>E924+K924-I924-J924-L924</f>
        <v>378.8245481763015</v>
      </c>
    </row>
    <row r="925" spans="1:13" ht="25" customHeight="1">
      <c r="A925" s="6" t="s">
        <v>68</v>
      </c>
      <c r="B925" s="7" t="s">
        <v>407</v>
      </c>
      <c r="C925" s="7" t="s">
        <v>139</v>
      </c>
      <c r="D925" s="23">
        <v>5</v>
      </c>
      <c r="E925" s="9">
        <v>0</v>
      </c>
      <c r="F925" s="25">
        <v>0.038</v>
      </c>
      <c r="G925" s="9">
        <v>0</v>
      </c>
      <c r="H925" s="9">
        <v>0</v>
      </c>
      <c r="I925" s="9">
        <v>0</v>
      </c>
      <c r="J925" s="9">
        <v>0</v>
      </c>
      <c r="K925" s="9">
        <v>0</v>
      </c>
      <c r="L925" s="9">
        <v>0</v>
      </c>
      <c r="M925" s="9">
        <f>E925+K925-I925-J925-L925</f>
        <v>0.0</v>
      </c>
    </row>
    <row r="926" spans="1:13" ht="25" customHeight="1">
      <c r="A926" s="3" t="s">
        <v>68</v>
      </c>
      <c r="B926" s="4" t="s">
        <v>407</v>
      </c>
      <c r="C926" s="4" t="s">
        <v>153</v>
      </c>
      <c r="D926" s="24">
        <v>5</v>
      </c>
      <c r="E926" s="10">
        <v>16</v>
      </c>
      <c r="F926" s="26">
        <v>0.05</v>
      </c>
      <c r="G926" s="10">
        <v>0.8</v>
      </c>
      <c r="H926" s="10">
        <v>16</v>
      </c>
      <c r="I926" s="10">
        <v>16</v>
      </c>
      <c r="J926" s="10">
        <v>0</v>
      </c>
      <c r="K926" s="10">
        <v>0</v>
      </c>
      <c r="L926" s="10">
        <v>0</v>
      </c>
      <c r="M926" s="10">
        <f>E926+K926-I926-J926-L926</f>
        <v>0.0</v>
      </c>
    </row>
    <row r="927" spans="1:13" ht="25" customHeight="1">
      <c r="A927" s="6" t="s">
        <v>68</v>
      </c>
      <c r="B927" s="7" t="s">
        <v>407</v>
      </c>
      <c r="C927" s="7" t="s">
        <v>198</v>
      </c>
      <c r="D927" s="23">
        <v>5</v>
      </c>
      <c r="E927" s="9">
        <v>0</v>
      </c>
      <c r="F927" s="25">
        <v>0.0475</v>
      </c>
      <c r="G927" s="9">
        <v>0</v>
      </c>
      <c r="H927" s="9">
        <v>0</v>
      </c>
      <c r="I927" s="9">
        <v>0</v>
      </c>
      <c r="J927" s="9">
        <v>0</v>
      </c>
      <c r="K927" s="9">
        <v>0</v>
      </c>
      <c r="L927" s="9">
        <v>0</v>
      </c>
      <c r="M927" s="9">
        <f>E927+K927-I927-J927-L927</f>
        <v>0.0</v>
      </c>
    </row>
    <row r="928" spans="1:13" ht="25" customHeight="1">
      <c r="A928" s="3" t="s">
        <v>68</v>
      </c>
      <c r="B928" s="4" t="s">
        <v>407</v>
      </c>
      <c r="C928" s="4" t="s">
        <v>394</v>
      </c>
      <c r="D928" s="24">
        <v>5</v>
      </c>
      <c r="E928" s="10">
        <v>557.687806614911</v>
      </c>
      <c r="F928" s="26">
        <v>0.08</v>
      </c>
      <c r="G928" s="10">
        <v>44.61502452919288</v>
      </c>
      <c r="H928" s="10">
        <v>557.687806614911</v>
      </c>
      <c r="I928" s="10">
        <v>557.687806614911</v>
      </c>
      <c r="J928" s="10">
        <v>0</v>
      </c>
      <c r="K928" s="10">
        <v>0</v>
      </c>
      <c r="L928" s="10">
        <v>0</v>
      </c>
      <c r="M928" s="10">
        <f>E928+K928-I928-J928-L928</f>
        <v>0.0</v>
      </c>
    </row>
    <row r="929" spans="1:13" ht="25" customHeight="1">
      <c r="A929" s="6" t="s">
        <v>68</v>
      </c>
      <c r="B929" s="7" t="s">
        <v>407</v>
      </c>
      <c r="C929" s="7" t="s">
        <v>395</v>
      </c>
      <c r="D929" s="23">
        <v>5</v>
      </c>
      <c r="E929" s="9">
        <v>378.8245481763015</v>
      </c>
      <c r="F929" s="25">
        <v>0.0575</v>
      </c>
      <c r="G929" s="9">
        <v>21.78241152013734</v>
      </c>
      <c r="H929" s="9">
        <v>378.8245481763015</v>
      </c>
      <c r="I929" s="9">
        <v>378.8245481763015</v>
      </c>
      <c r="J929" s="9">
        <v>0</v>
      </c>
      <c r="K929" s="9">
        <v>0</v>
      </c>
      <c r="L929" s="9">
        <v>0</v>
      </c>
      <c r="M929" s="9">
        <f>E929+K929-I929-J929-L929</f>
        <v>0.0</v>
      </c>
    </row>
    <row r="930" spans="1:13" ht="25" customHeight="1">
      <c r="A930" s="3" t="s">
        <v>78</v>
      </c>
      <c r="B930" s="4" t="s">
        <v>407</v>
      </c>
      <c r="C930" s="4" t="s">
        <v>139</v>
      </c>
      <c r="D930" s="24">
        <v>1</v>
      </c>
      <c r="E930" s="10">
        <v>900</v>
      </c>
      <c r="F930" s="26">
        <v>0.038</v>
      </c>
      <c r="G930" s="10">
        <v>34.2</v>
      </c>
      <c r="H930" s="10">
        <v>0</v>
      </c>
      <c r="I930" s="10">
        <v>0</v>
      </c>
      <c r="J930" s="10">
        <v>0</v>
      </c>
      <c r="K930" s="10">
        <v>0</v>
      </c>
      <c r="L930" s="10">
        <v>0</v>
      </c>
      <c r="M930" s="10">
        <f>E930+K930-I930-J930-L930</f>
        <v>900.0</v>
      </c>
    </row>
    <row r="931" spans="1:13" ht="25" customHeight="1">
      <c r="A931" s="6" t="s">
        <v>78</v>
      </c>
      <c r="B931" s="7" t="s">
        <v>407</v>
      </c>
      <c r="C931" s="7" t="s">
        <v>153</v>
      </c>
      <c r="D931" s="23">
        <v>1</v>
      </c>
      <c r="E931" s="9">
        <v>80</v>
      </c>
      <c r="F931" s="25">
        <v>0.05</v>
      </c>
      <c r="G931" s="9">
        <v>4</v>
      </c>
      <c r="H931" s="9">
        <v>16</v>
      </c>
      <c r="I931" s="9">
        <v>16</v>
      </c>
      <c r="J931" s="9">
        <v>0</v>
      </c>
      <c r="K931" s="9">
        <v>0</v>
      </c>
      <c r="L931" s="9">
        <v>0</v>
      </c>
      <c r="M931" s="9">
        <f>E931+K931-I931-J931-L931</f>
        <v>64.0</v>
      </c>
    </row>
    <row r="932" spans="1:13" ht="25" customHeight="1">
      <c r="A932" s="3" t="s">
        <v>78</v>
      </c>
      <c r="B932" s="4" t="s">
        <v>407</v>
      </c>
      <c r="C932" s="4" t="s">
        <v>198</v>
      </c>
      <c r="D932" s="24">
        <v>1</v>
      </c>
      <c r="E932" s="10">
        <v>350</v>
      </c>
      <c r="F932" s="26">
        <v>0.0475</v>
      </c>
      <c r="G932" s="10">
        <v>16.625</v>
      </c>
      <c r="H932" s="10">
        <v>0</v>
      </c>
      <c r="I932" s="10">
        <v>0</v>
      </c>
      <c r="J932" s="10">
        <v>0</v>
      </c>
      <c r="K932" s="10">
        <v>0</v>
      </c>
      <c r="L932" s="10">
        <v>0</v>
      </c>
      <c r="M932" s="10">
        <f>E932+K932-I932-J932-L932</f>
        <v>350.0</v>
      </c>
    </row>
    <row r="933" spans="1:13" ht="25" customHeight="1">
      <c r="A933" s="6" t="s">
        <v>78</v>
      </c>
      <c r="B933" s="7" t="s">
        <v>407</v>
      </c>
      <c r="C933" s="7" t="s">
        <v>394</v>
      </c>
      <c r="D933" s="23">
        <v>1</v>
      </c>
      <c r="E933" s="9">
        <v>2223.350253807107</v>
      </c>
      <c r="F933" s="25">
        <v>0.08500000000000001</v>
      </c>
      <c r="G933" s="9">
        <v>188.9847715736041</v>
      </c>
      <c r="H933" s="9">
        <v>44.46700507614213</v>
      </c>
      <c r="I933" s="9">
        <v>44.46700507614213</v>
      </c>
      <c r="J933" s="9">
        <v>1034.539878572421</v>
      </c>
      <c r="K933" s="9">
        <v>0</v>
      </c>
      <c r="L933" s="9">
        <v>0</v>
      </c>
      <c r="M933" s="9">
        <f>E933+K933-I933-J933-L933</f>
        <v>1144.3433701585432</v>
      </c>
    </row>
    <row r="934" spans="1:13" ht="25" customHeight="1">
      <c r="A934" s="3" t="s">
        <v>78</v>
      </c>
      <c r="B934" s="4" t="s">
        <v>407</v>
      </c>
      <c r="C934" s="4" t="s">
        <v>395</v>
      </c>
      <c r="D934" s="24">
        <v>1</v>
      </c>
      <c r="E934" s="10">
        <v>0</v>
      </c>
      <c r="F934" s="26">
        <v>0.0625</v>
      </c>
      <c r="G934" s="10">
        <v>0</v>
      </c>
      <c r="H934" s="10">
        <v>0</v>
      </c>
      <c r="I934" s="10">
        <v>0</v>
      </c>
      <c r="J934" s="10">
        <v>0</v>
      </c>
      <c r="K934" s="10">
        <v>0</v>
      </c>
      <c r="L934" s="10">
        <v>0</v>
      </c>
      <c r="M934" s="10">
        <f>E934+K934-I934-J934-L934</f>
        <v>0.0</v>
      </c>
    </row>
    <row r="935" spans="1:13" ht="25" customHeight="1">
      <c r="A935" s="6" t="s">
        <v>78</v>
      </c>
      <c r="B935" s="7" t="s">
        <v>407</v>
      </c>
      <c r="C935" s="7" t="s">
        <v>139</v>
      </c>
      <c r="D935" s="23">
        <v>2</v>
      </c>
      <c r="E935" s="9">
        <v>900</v>
      </c>
      <c r="F935" s="25">
        <v>0.038</v>
      </c>
      <c r="G935" s="9">
        <v>34.2</v>
      </c>
      <c r="H935" s="9">
        <v>0</v>
      </c>
      <c r="I935" s="9">
        <v>0</v>
      </c>
      <c r="J935" s="9">
        <v>0</v>
      </c>
      <c r="K935" s="9">
        <v>0</v>
      </c>
      <c r="L935" s="9">
        <v>0</v>
      </c>
      <c r="M935" s="9">
        <f>E935+K935-I935-J935-L935</f>
        <v>900.0</v>
      </c>
    </row>
    <row r="936" spans="1:13" ht="25" customHeight="1">
      <c r="A936" s="3" t="s">
        <v>78</v>
      </c>
      <c r="B936" s="4" t="s">
        <v>407</v>
      </c>
      <c r="C936" s="4" t="s">
        <v>153</v>
      </c>
      <c r="D936" s="24">
        <v>2</v>
      </c>
      <c r="E936" s="10">
        <v>64</v>
      </c>
      <c r="F936" s="26">
        <v>0.05</v>
      </c>
      <c r="G936" s="10">
        <v>3.2</v>
      </c>
      <c r="H936" s="10">
        <v>16</v>
      </c>
      <c r="I936" s="10">
        <v>16</v>
      </c>
      <c r="J936" s="10">
        <v>0</v>
      </c>
      <c r="K936" s="10">
        <v>0</v>
      </c>
      <c r="L936" s="10">
        <v>0</v>
      </c>
      <c r="M936" s="10">
        <f>E936+K936-I936-J936-L936</f>
        <v>48.0</v>
      </c>
    </row>
    <row r="937" spans="1:13" ht="25" customHeight="1">
      <c r="A937" s="6" t="s">
        <v>78</v>
      </c>
      <c r="B937" s="7" t="s">
        <v>407</v>
      </c>
      <c r="C937" s="7" t="s">
        <v>198</v>
      </c>
      <c r="D937" s="23">
        <v>2</v>
      </c>
      <c r="E937" s="9">
        <v>350</v>
      </c>
      <c r="F937" s="25">
        <v>0.0475</v>
      </c>
      <c r="G937" s="9">
        <v>16.625</v>
      </c>
      <c r="H937" s="9">
        <v>0</v>
      </c>
      <c r="I937" s="9">
        <v>0</v>
      </c>
      <c r="J937" s="9">
        <v>0</v>
      </c>
      <c r="K937" s="9">
        <v>0</v>
      </c>
      <c r="L937" s="9">
        <v>0</v>
      </c>
      <c r="M937" s="9">
        <f>E937+K937-I937-J937-L937</f>
        <v>350.0</v>
      </c>
    </row>
    <row r="938" spans="1:13" ht="25" customHeight="1">
      <c r="A938" s="3" t="s">
        <v>78</v>
      </c>
      <c r="B938" s="4" t="s">
        <v>407</v>
      </c>
      <c r="C938" s="4" t="s">
        <v>394</v>
      </c>
      <c r="D938" s="24">
        <v>2</v>
      </c>
      <c r="E938" s="10">
        <v>1144.343370158543</v>
      </c>
      <c r="F938" s="26">
        <v>0.0825</v>
      </c>
      <c r="G938" s="10">
        <v>94.40832803807982</v>
      </c>
      <c r="H938" s="10">
        <v>44.46700507614213</v>
      </c>
      <c r="I938" s="10">
        <v>44.46700507614213</v>
      </c>
      <c r="J938" s="10">
        <v>311.2678165322825</v>
      </c>
      <c r="K938" s="10">
        <v>0</v>
      </c>
      <c r="L938" s="10">
        <v>0</v>
      </c>
      <c r="M938" s="10">
        <f>E938+K938-I938-J938-L938</f>
        <v>788.6085485501185</v>
      </c>
    </row>
    <row r="939" spans="1:13" ht="25" customHeight="1">
      <c r="A939" s="6" t="s">
        <v>78</v>
      </c>
      <c r="B939" s="7" t="s">
        <v>407</v>
      </c>
      <c r="C939" s="7" t="s">
        <v>395</v>
      </c>
      <c r="D939" s="23">
        <v>2</v>
      </c>
      <c r="E939" s="9">
        <v>0</v>
      </c>
      <c r="F939" s="25">
        <v>0.06</v>
      </c>
      <c r="G939" s="9">
        <v>0</v>
      </c>
      <c r="H939" s="9">
        <v>0</v>
      </c>
      <c r="I939" s="9">
        <v>0</v>
      </c>
      <c r="J939" s="9">
        <v>0</v>
      </c>
      <c r="K939" s="9">
        <v>0</v>
      </c>
      <c r="L939" s="9">
        <v>0</v>
      </c>
      <c r="M939" s="9">
        <f>E939+K939-I939-J939-L939</f>
        <v>0.0</v>
      </c>
    </row>
    <row r="940" spans="1:13" ht="25" customHeight="1">
      <c r="A940" s="3" t="s">
        <v>78</v>
      </c>
      <c r="B940" s="4" t="s">
        <v>407</v>
      </c>
      <c r="C940" s="4" t="s">
        <v>139</v>
      </c>
      <c r="D940" s="24">
        <v>3</v>
      </c>
      <c r="E940" s="10">
        <v>900</v>
      </c>
      <c r="F940" s="26">
        <v>0.038</v>
      </c>
      <c r="G940" s="10">
        <v>34.2</v>
      </c>
      <c r="H940" s="10">
        <v>0</v>
      </c>
      <c r="I940" s="10">
        <v>0</v>
      </c>
      <c r="J940" s="10">
        <v>0</v>
      </c>
      <c r="K940" s="10">
        <v>0</v>
      </c>
      <c r="L940" s="10">
        <v>0</v>
      </c>
      <c r="M940" s="10">
        <f>E940+K940-I940-J940-L940</f>
        <v>900.0</v>
      </c>
    </row>
    <row r="941" spans="1:13" ht="25" customHeight="1">
      <c r="A941" s="6" t="s">
        <v>78</v>
      </c>
      <c r="B941" s="7" t="s">
        <v>407</v>
      </c>
      <c r="C941" s="7" t="s">
        <v>153</v>
      </c>
      <c r="D941" s="23">
        <v>3</v>
      </c>
      <c r="E941" s="9">
        <v>48</v>
      </c>
      <c r="F941" s="25">
        <v>0.05</v>
      </c>
      <c r="G941" s="9">
        <v>2.4</v>
      </c>
      <c r="H941" s="9">
        <v>16</v>
      </c>
      <c r="I941" s="9">
        <v>16</v>
      </c>
      <c r="J941" s="9">
        <v>0</v>
      </c>
      <c r="K941" s="9">
        <v>0</v>
      </c>
      <c r="L941" s="9">
        <v>0</v>
      </c>
      <c r="M941" s="9">
        <f>E941+K941-I941-J941-L941</f>
        <v>32.0</v>
      </c>
    </row>
    <row r="942" spans="1:13" ht="25" customHeight="1">
      <c r="A942" s="3" t="s">
        <v>78</v>
      </c>
      <c r="B942" s="4" t="s">
        <v>407</v>
      </c>
      <c r="C942" s="4" t="s">
        <v>198</v>
      </c>
      <c r="D942" s="24">
        <v>3</v>
      </c>
      <c r="E942" s="10">
        <v>350</v>
      </c>
      <c r="F942" s="26">
        <v>0.0475</v>
      </c>
      <c r="G942" s="10">
        <v>16.625</v>
      </c>
      <c r="H942" s="10">
        <v>350</v>
      </c>
      <c r="I942" s="10">
        <v>350</v>
      </c>
      <c r="J942" s="10">
        <v>0</v>
      </c>
      <c r="K942" s="10">
        <v>0</v>
      </c>
      <c r="L942" s="10">
        <v>0</v>
      </c>
      <c r="M942" s="10">
        <f>E942+K942-I942-J942-L942</f>
        <v>0.0</v>
      </c>
    </row>
    <row r="943" spans="1:13" ht="25" customHeight="1">
      <c r="A943" s="6" t="s">
        <v>78</v>
      </c>
      <c r="B943" s="7" t="s">
        <v>407</v>
      </c>
      <c r="C943" s="7" t="s">
        <v>394</v>
      </c>
      <c r="D943" s="23">
        <v>3</v>
      </c>
      <c r="E943" s="9">
        <v>788.6085485501185</v>
      </c>
      <c r="F943" s="25">
        <v>0.08</v>
      </c>
      <c r="G943" s="9">
        <v>63.08868388400948</v>
      </c>
      <c r="H943" s="9">
        <v>44.46700507614213</v>
      </c>
      <c r="I943" s="9">
        <v>44.46700507614213</v>
      </c>
      <c r="J943" s="9">
        <v>81.36052508876082</v>
      </c>
      <c r="K943" s="9">
        <v>0</v>
      </c>
      <c r="L943" s="9">
        <v>0</v>
      </c>
      <c r="M943" s="9">
        <f>E943+K943-I943-J943-L943</f>
        <v>662.7810183852155</v>
      </c>
    </row>
    <row r="944" spans="1:13" ht="25" customHeight="1">
      <c r="A944" s="3" t="s">
        <v>78</v>
      </c>
      <c r="B944" s="4" t="s">
        <v>407</v>
      </c>
      <c r="C944" s="4" t="s">
        <v>395</v>
      </c>
      <c r="D944" s="24">
        <v>3</v>
      </c>
      <c r="E944" s="10">
        <v>0</v>
      </c>
      <c r="F944" s="26">
        <v>0.0575</v>
      </c>
      <c r="G944" s="10">
        <v>0</v>
      </c>
      <c r="H944" s="10">
        <v>0</v>
      </c>
      <c r="I944" s="10">
        <v>0</v>
      </c>
      <c r="J944" s="10">
        <v>0</v>
      </c>
      <c r="K944" s="10">
        <v>0</v>
      </c>
      <c r="L944" s="10">
        <v>0</v>
      </c>
      <c r="M944" s="10">
        <f>E944+K944-I944-J944-L944</f>
        <v>0.0</v>
      </c>
    </row>
    <row r="945" spans="1:13" ht="25" customHeight="1">
      <c r="A945" s="6" t="s">
        <v>78</v>
      </c>
      <c r="B945" s="7" t="s">
        <v>407</v>
      </c>
      <c r="C945" s="7" t="s">
        <v>139</v>
      </c>
      <c r="D945" s="23">
        <v>4</v>
      </c>
      <c r="E945" s="9">
        <v>900</v>
      </c>
      <c r="F945" s="25">
        <v>0.038</v>
      </c>
      <c r="G945" s="9">
        <v>34.2</v>
      </c>
      <c r="H945" s="9">
        <v>900</v>
      </c>
      <c r="I945" s="9">
        <v>900</v>
      </c>
      <c r="J945" s="9">
        <v>0</v>
      </c>
      <c r="K945" s="9">
        <v>0</v>
      </c>
      <c r="L945" s="9">
        <v>0</v>
      </c>
      <c r="M945" s="9">
        <f>E945+K945-I945-J945-L945</f>
        <v>0.0</v>
      </c>
    </row>
    <row r="946" spans="1:13" ht="25" customHeight="1">
      <c r="A946" s="3" t="s">
        <v>78</v>
      </c>
      <c r="B946" s="4" t="s">
        <v>407</v>
      </c>
      <c r="C946" s="4" t="s">
        <v>153</v>
      </c>
      <c r="D946" s="24">
        <v>4</v>
      </c>
      <c r="E946" s="10">
        <v>32</v>
      </c>
      <c r="F946" s="26">
        <v>0.05</v>
      </c>
      <c r="G946" s="10">
        <v>1.6</v>
      </c>
      <c r="H946" s="10">
        <v>16</v>
      </c>
      <c r="I946" s="10">
        <v>16</v>
      </c>
      <c r="J946" s="10">
        <v>0</v>
      </c>
      <c r="K946" s="10">
        <v>0</v>
      </c>
      <c r="L946" s="10">
        <v>0</v>
      </c>
      <c r="M946" s="10">
        <f>E946+K946-I946-J946-L946</f>
        <v>16.0</v>
      </c>
    </row>
    <row r="947" spans="1:13" ht="25" customHeight="1">
      <c r="A947" s="6" t="s">
        <v>78</v>
      </c>
      <c r="B947" s="7" t="s">
        <v>407</v>
      </c>
      <c r="C947" s="7" t="s">
        <v>198</v>
      </c>
      <c r="D947" s="23">
        <v>4</v>
      </c>
      <c r="E947" s="9">
        <v>0</v>
      </c>
      <c r="F947" s="25">
        <v>0.0475</v>
      </c>
      <c r="G947" s="9">
        <v>0</v>
      </c>
      <c r="H947" s="9">
        <v>0</v>
      </c>
      <c r="I947" s="9">
        <v>0</v>
      </c>
      <c r="J947" s="9">
        <v>0</v>
      </c>
      <c r="K947" s="9">
        <v>0</v>
      </c>
      <c r="L947" s="9">
        <v>0</v>
      </c>
      <c r="M947" s="9">
        <f>E947+K947-I947-J947-L947</f>
        <v>0.0</v>
      </c>
    </row>
    <row r="948" spans="1:13" ht="25" customHeight="1">
      <c r="A948" s="3" t="s">
        <v>78</v>
      </c>
      <c r="B948" s="4" t="s">
        <v>407</v>
      </c>
      <c r="C948" s="4" t="s">
        <v>394</v>
      </c>
      <c r="D948" s="24">
        <v>4</v>
      </c>
      <c r="E948" s="10">
        <v>662.7810183852155</v>
      </c>
      <c r="F948" s="26">
        <v>0.08</v>
      </c>
      <c r="G948" s="10">
        <v>53.02248147081724</v>
      </c>
      <c r="H948" s="10">
        <v>44.46700507614213</v>
      </c>
      <c r="I948" s="10">
        <v>44.46700507614213</v>
      </c>
      <c r="J948" s="10">
        <v>0</v>
      </c>
      <c r="K948" s="10">
        <v>0</v>
      </c>
      <c r="L948" s="10">
        <v>0</v>
      </c>
      <c r="M948" s="10">
        <f>E948+K948-I948-J948-L948</f>
        <v>618.3140133090733</v>
      </c>
    </row>
    <row r="949" spans="1:13" ht="25" customHeight="1">
      <c r="A949" s="6" t="s">
        <v>78</v>
      </c>
      <c r="B949" s="7" t="s">
        <v>407</v>
      </c>
      <c r="C949" s="7" t="s">
        <v>395</v>
      </c>
      <c r="D949" s="23">
        <v>4</v>
      </c>
      <c r="E949" s="9">
        <v>0</v>
      </c>
      <c r="F949" s="25">
        <v>0.0575</v>
      </c>
      <c r="G949" s="9">
        <v>0</v>
      </c>
      <c r="H949" s="9">
        <v>0</v>
      </c>
      <c r="I949" s="9">
        <v>0</v>
      </c>
      <c r="J949" s="9">
        <v>0</v>
      </c>
      <c r="K949" s="9">
        <v>401.1869936743983</v>
      </c>
      <c r="L949" s="9">
        <v>0</v>
      </c>
      <c r="M949" s="9">
        <f>E949+K949-I949-J949-L949</f>
        <v>401.1869936743983</v>
      </c>
    </row>
    <row r="950" spans="1:13" ht="25" customHeight="1">
      <c r="A950" s="3" t="s">
        <v>78</v>
      </c>
      <c r="B950" s="4" t="s">
        <v>407</v>
      </c>
      <c r="C950" s="4" t="s">
        <v>139</v>
      </c>
      <c r="D950" s="24">
        <v>5</v>
      </c>
      <c r="E950" s="10">
        <v>0</v>
      </c>
      <c r="F950" s="26">
        <v>0.038</v>
      </c>
      <c r="G950" s="10">
        <v>0</v>
      </c>
      <c r="H950" s="10">
        <v>0</v>
      </c>
      <c r="I950" s="10">
        <v>0</v>
      </c>
      <c r="J950" s="10">
        <v>0</v>
      </c>
      <c r="K950" s="10">
        <v>0</v>
      </c>
      <c r="L950" s="10">
        <v>0</v>
      </c>
      <c r="M950" s="10">
        <f>E950+K950-I950-J950-L950</f>
        <v>0.0</v>
      </c>
    </row>
    <row r="951" spans="1:13" ht="25" customHeight="1">
      <c r="A951" s="6" t="s">
        <v>78</v>
      </c>
      <c r="B951" s="7" t="s">
        <v>407</v>
      </c>
      <c r="C951" s="7" t="s">
        <v>153</v>
      </c>
      <c r="D951" s="23">
        <v>5</v>
      </c>
      <c r="E951" s="9">
        <v>16</v>
      </c>
      <c r="F951" s="25">
        <v>0.05</v>
      </c>
      <c r="G951" s="9">
        <v>0.8</v>
      </c>
      <c r="H951" s="9">
        <v>16</v>
      </c>
      <c r="I951" s="9">
        <v>16</v>
      </c>
      <c r="J951" s="9">
        <v>0</v>
      </c>
      <c r="K951" s="9">
        <v>0</v>
      </c>
      <c r="L951" s="9">
        <v>0</v>
      </c>
      <c r="M951" s="9">
        <f>E951+K951-I951-J951-L951</f>
        <v>0.0</v>
      </c>
    </row>
    <row r="952" spans="1:13" ht="25" customHeight="1">
      <c r="A952" s="3" t="s">
        <v>78</v>
      </c>
      <c r="B952" s="4" t="s">
        <v>407</v>
      </c>
      <c r="C952" s="4" t="s">
        <v>198</v>
      </c>
      <c r="D952" s="24">
        <v>5</v>
      </c>
      <c r="E952" s="10">
        <v>0</v>
      </c>
      <c r="F952" s="26">
        <v>0.0475</v>
      </c>
      <c r="G952" s="10">
        <v>0</v>
      </c>
      <c r="H952" s="10">
        <v>0</v>
      </c>
      <c r="I952" s="10">
        <v>0</v>
      </c>
      <c r="J952" s="10">
        <v>0</v>
      </c>
      <c r="K952" s="10">
        <v>0</v>
      </c>
      <c r="L952" s="10">
        <v>0</v>
      </c>
      <c r="M952" s="10">
        <f>E952+K952-I952-J952-L952</f>
        <v>0.0</v>
      </c>
    </row>
    <row r="953" spans="1:13" ht="25" customHeight="1">
      <c r="A953" s="6" t="s">
        <v>78</v>
      </c>
      <c r="B953" s="7" t="s">
        <v>407</v>
      </c>
      <c r="C953" s="7" t="s">
        <v>394</v>
      </c>
      <c r="D953" s="23">
        <v>5</v>
      </c>
      <c r="E953" s="9">
        <v>618.3140133090733</v>
      </c>
      <c r="F953" s="25">
        <v>0.08</v>
      </c>
      <c r="G953" s="9">
        <v>49.46512106472586</v>
      </c>
      <c r="H953" s="9">
        <v>618.3140133090733</v>
      </c>
      <c r="I953" s="9">
        <v>618.3140133090733</v>
      </c>
      <c r="J953" s="9">
        <v>0</v>
      </c>
      <c r="K953" s="9">
        <v>0</v>
      </c>
      <c r="L953" s="9">
        <v>0</v>
      </c>
      <c r="M953" s="9">
        <f>E953+K953-I953-J953-L953</f>
        <v>0.0</v>
      </c>
    </row>
    <row r="954" spans="1:13" ht="25" customHeight="1">
      <c r="A954" s="3" t="s">
        <v>78</v>
      </c>
      <c r="B954" s="4" t="s">
        <v>407</v>
      </c>
      <c r="C954" s="4" t="s">
        <v>395</v>
      </c>
      <c r="D954" s="24">
        <v>5</v>
      </c>
      <c r="E954" s="10">
        <v>401.1869936743983</v>
      </c>
      <c r="F954" s="26">
        <v>0.0575</v>
      </c>
      <c r="G954" s="10">
        <v>23.0682521362779</v>
      </c>
      <c r="H954" s="10">
        <v>401.1869936743983</v>
      </c>
      <c r="I954" s="10">
        <v>401.1869936743983</v>
      </c>
      <c r="J954" s="10">
        <v>0</v>
      </c>
      <c r="K954" s="10">
        <v>0</v>
      </c>
      <c r="L954" s="10">
        <v>0</v>
      </c>
      <c r="M954" s="10">
        <f>E954+K954-I954-J954-L954</f>
        <v>0.0</v>
      </c>
    </row>
    <row r="955" spans="1:13" ht="25" customHeight="1">
      <c r="A955" s="6" t="s">
        <v>79</v>
      </c>
      <c r="B955" s="7" t="s">
        <v>407</v>
      </c>
      <c r="C955" s="7" t="s">
        <v>139</v>
      </c>
      <c r="D955" s="23">
        <v>1</v>
      </c>
      <c r="E955" s="9">
        <v>900</v>
      </c>
      <c r="F955" s="25">
        <v>0.038</v>
      </c>
      <c r="G955" s="9">
        <v>34.2</v>
      </c>
      <c r="H955" s="9">
        <v>0</v>
      </c>
      <c r="I955" s="9">
        <v>0</v>
      </c>
      <c r="J955" s="9">
        <v>0</v>
      </c>
      <c r="K955" s="9">
        <v>0</v>
      </c>
      <c r="L955" s="9">
        <v>0</v>
      </c>
      <c r="M955" s="9">
        <f>E955+K955-I955-J955-L955</f>
        <v>900.0</v>
      </c>
    </row>
    <row r="956" spans="1:13" ht="25" customHeight="1">
      <c r="A956" s="3" t="s">
        <v>79</v>
      </c>
      <c r="B956" s="4" t="s">
        <v>407</v>
      </c>
      <c r="C956" s="4" t="s">
        <v>153</v>
      </c>
      <c r="D956" s="24">
        <v>1</v>
      </c>
      <c r="E956" s="10">
        <v>80</v>
      </c>
      <c r="F956" s="26">
        <v>0.05</v>
      </c>
      <c r="G956" s="10">
        <v>4</v>
      </c>
      <c r="H956" s="10">
        <v>16</v>
      </c>
      <c r="I956" s="10">
        <v>16</v>
      </c>
      <c r="J956" s="10">
        <v>26.76069075516267</v>
      </c>
      <c r="K956" s="10">
        <v>0</v>
      </c>
      <c r="L956" s="10">
        <v>0</v>
      </c>
      <c r="M956" s="10">
        <f>E956+K956-I956-J956-L956</f>
        <v>37.23930924483733</v>
      </c>
    </row>
    <row r="957" spans="1:13" ht="25" customHeight="1">
      <c r="A957" s="6" t="s">
        <v>79</v>
      </c>
      <c r="B957" s="7" t="s">
        <v>407</v>
      </c>
      <c r="C957" s="7" t="s">
        <v>198</v>
      </c>
      <c r="D957" s="23">
        <v>1</v>
      </c>
      <c r="E957" s="9">
        <v>350</v>
      </c>
      <c r="F957" s="25">
        <v>0.0475</v>
      </c>
      <c r="G957" s="9">
        <v>16.625</v>
      </c>
      <c r="H957" s="9">
        <v>0</v>
      </c>
      <c r="I957" s="9">
        <v>0</v>
      </c>
      <c r="J957" s="9">
        <v>0</v>
      </c>
      <c r="K957" s="9">
        <v>0</v>
      </c>
      <c r="L957" s="9">
        <v>0</v>
      </c>
      <c r="M957" s="9">
        <f>E957+K957-I957-J957-L957</f>
        <v>350.0</v>
      </c>
    </row>
    <row r="958" spans="1:13" ht="25" customHeight="1">
      <c r="A958" s="3" t="s">
        <v>79</v>
      </c>
      <c r="B958" s="4" t="s">
        <v>407</v>
      </c>
      <c r="C958" s="4" t="s">
        <v>394</v>
      </c>
      <c r="D958" s="24">
        <v>1</v>
      </c>
      <c r="E958" s="10">
        <v>304.5685279187817</v>
      </c>
      <c r="F958" s="26">
        <v>0.08500000000000001</v>
      </c>
      <c r="G958" s="10">
        <v>25.88832487309645</v>
      </c>
      <c r="H958" s="10">
        <v>6.091370558375635</v>
      </c>
      <c r="I958" s="10">
        <v>6.091370558375635</v>
      </c>
      <c r="J958" s="10">
        <v>298.4771573604061</v>
      </c>
      <c r="K958" s="10">
        <v>0</v>
      </c>
      <c r="L958" s="10">
        <v>0</v>
      </c>
      <c r="M958" s="10">
        <f>E958+K958-I958-J958-L958</f>
        <v>0.0</v>
      </c>
    </row>
    <row r="959" spans="1:13" ht="25" customHeight="1">
      <c r="A959" s="6" t="s">
        <v>79</v>
      </c>
      <c r="B959" s="7" t="s">
        <v>407</v>
      </c>
      <c r="C959" s="7" t="s">
        <v>395</v>
      </c>
      <c r="D959" s="23">
        <v>1</v>
      </c>
      <c r="E959" s="9">
        <v>0</v>
      </c>
      <c r="F959" s="25">
        <v>0.0625</v>
      </c>
      <c r="G959" s="9">
        <v>0</v>
      </c>
      <c r="H959" s="9">
        <v>0</v>
      </c>
      <c r="I959" s="9">
        <v>0</v>
      </c>
      <c r="J959" s="9">
        <v>0</v>
      </c>
      <c r="K959" s="9">
        <v>0</v>
      </c>
      <c r="L959" s="9">
        <v>0</v>
      </c>
      <c r="M959" s="9">
        <f>E959+K959-I959-J959-L959</f>
        <v>0.0</v>
      </c>
    </row>
    <row r="960" spans="1:13" ht="25" customHeight="1">
      <c r="A960" s="3" t="s">
        <v>79</v>
      </c>
      <c r="B960" s="4" t="s">
        <v>407</v>
      </c>
      <c r="C960" s="4" t="s">
        <v>139</v>
      </c>
      <c r="D960" s="24">
        <v>2</v>
      </c>
      <c r="E960" s="10">
        <v>900</v>
      </c>
      <c r="F960" s="26">
        <v>0.038</v>
      </c>
      <c r="G960" s="10">
        <v>34.2</v>
      </c>
      <c r="H960" s="10">
        <v>0</v>
      </c>
      <c r="I960" s="10">
        <v>0</v>
      </c>
      <c r="J960" s="10">
        <v>56.30528429546558</v>
      </c>
      <c r="K960" s="10">
        <v>0</v>
      </c>
      <c r="L960" s="10">
        <v>0</v>
      </c>
      <c r="M960" s="10">
        <f>E960+K960-I960-J960-L960</f>
        <v>843.6947157045345</v>
      </c>
    </row>
    <row r="961" spans="1:13" ht="25" customHeight="1">
      <c r="A961" s="6" t="s">
        <v>79</v>
      </c>
      <c r="B961" s="7" t="s">
        <v>407</v>
      </c>
      <c r="C961" s="7" t="s">
        <v>153</v>
      </c>
      <c r="D961" s="23">
        <v>2</v>
      </c>
      <c r="E961" s="9">
        <v>37.23930924483733</v>
      </c>
      <c r="F961" s="25">
        <v>0.05</v>
      </c>
      <c r="G961" s="9">
        <v>1.861965462241867</v>
      </c>
      <c r="H961" s="9">
        <v>16</v>
      </c>
      <c r="I961" s="9">
        <v>16</v>
      </c>
      <c r="J961" s="9">
        <v>21.23930924483733</v>
      </c>
      <c r="K961" s="9">
        <v>0</v>
      </c>
      <c r="L961" s="9">
        <v>0</v>
      </c>
      <c r="M961" s="9">
        <f>E961+K961-I961-J961-L961</f>
        <v>0.0</v>
      </c>
    </row>
    <row r="962" spans="1:13" ht="25" customHeight="1">
      <c r="A962" s="3" t="s">
        <v>79</v>
      </c>
      <c r="B962" s="4" t="s">
        <v>407</v>
      </c>
      <c r="C962" s="4" t="s">
        <v>198</v>
      </c>
      <c r="D962" s="24">
        <v>2</v>
      </c>
      <c r="E962" s="10">
        <v>350</v>
      </c>
      <c r="F962" s="26">
        <v>0.0475</v>
      </c>
      <c r="G962" s="10">
        <v>16.625</v>
      </c>
      <c r="H962" s="10">
        <v>0</v>
      </c>
      <c r="I962" s="10">
        <v>0</v>
      </c>
      <c r="J962" s="10">
        <v>350</v>
      </c>
      <c r="K962" s="10">
        <v>0</v>
      </c>
      <c r="L962" s="10">
        <v>0</v>
      </c>
      <c r="M962" s="10">
        <f>E962+K962-I962-J962-L962</f>
        <v>0.0</v>
      </c>
    </row>
    <row r="963" spans="1:13" ht="25" customHeight="1">
      <c r="A963" s="6" t="s">
        <v>79</v>
      </c>
      <c r="B963" s="7" t="s">
        <v>407</v>
      </c>
      <c r="C963" s="7" t="s">
        <v>394</v>
      </c>
      <c r="D963" s="23">
        <v>2</v>
      </c>
      <c r="E963" s="9">
        <v>0</v>
      </c>
      <c r="F963" s="25">
        <v>0.0825</v>
      </c>
      <c r="G963" s="9">
        <v>0</v>
      </c>
      <c r="H963" s="9">
        <v>0</v>
      </c>
      <c r="I963" s="9">
        <v>0</v>
      </c>
      <c r="J963" s="9">
        <v>0</v>
      </c>
      <c r="K963" s="9">
        <v>0</v>
      </c>
      <c r="L963" s="9">
        <v>0</v>
      </c>
      <c r="M963" s="9">
        <f>E963+K963-I963-J963-L963</f>
        <v>0.0</v>
      </c>
    </row>
    <row r="964" spans="1:13" ht="25" customHeight="1">
      <c r="A964" s="3" t="s">
        <v>79</v>
      </c>
      <c r="B964" s="4" t="s">
        <v>407</v>
      </c>
      <c r="C964" s="4" t="s">
        <v>395</v>
      </c>
      <c r="D964" s="24">
        <v>2</v>
      </c>
      <c r="E964" s="10">
        <v>0</v>
      </c>
      <c r="F964" s="26">
        <v>0.06</v>
      </c>
      <c r="G964" s="10">
        <v>0</v>
      </c>
      <c r="H964" s="10">
        <v>0</v>
      </c>
      <c r="I964" s="10">
        <v>0</v>
      </c>
      <c r="J964" s="10">
        <v>0</v>
      </c>
      <c r="K964" s="10">
        <v>0</v>
      </c>
      <c r="L964" s="10">
        <v>0</v>
      </c>
      <c r="M964" s="10">
        <f>E964+K964-I964-J964-L964</f>
        <v>0.0</v>
      </c>
    </row>
    <row r="965" spans="1:13" ht="25" customHeight="1">
      <c r="A965" s="6" t="s">
        <v>79</v>
      </c>
      <c r="B965" s="7" t="s">
        <v>407</v>
      </c>
      <c r="C965" s="7" t="s">
        <v>139</v>
      </c>
      <c r="D965" s="23">
        <v>3</v>
      </c>
      <c r="E965" s="9">
        <v>843.6947157045345</v>
      </c>
      <c r="F965" s="25">
        <v>0.038</v>
      </c>
      <c r="G965" s="9">
        <v>32.06039919677231</v>
      </c>
      <c r="H965" s="9">
        <v>0</v>
      </c>
      <c r="I965" s="9">
        <v>0</v>
      </c>
      <c r="J965" s="9">
        <v>555.017493680331</v>
      </c>
      <c r="K965" s="9">
        <v>0</v>
      </c>
      <c r="L965" s="9">
        <v>0</v>
      </c>
      <c r="M965" s="9">
        <f>E965+K965-I965-J965-L965</f>
        <v>288.6772220242035</v>
      </c>
    </row>
    <row r="966" spans="1:13" ht="25" customHeight="1">
      <c r="A966" s="3" t="s">
        <v>79</v>
      </c>
      <c r="B966" s="4" t="s">
        <v>407</v>
      </c>
      <c r="C966" s="4" t="s">
        <v>153</v>
      </c>
      <c r="D966" s="24">
        <v>3</v>
      </c>
      <c r="E966" s="10">
        <v>0</v>
      </c>
      <c r="F966" s="26">
        <v>0.05</v>
      </c>
      <c r="G966" s="10">
        <v>0</v>
      </c>
      <c r="H966" s="10">
        <v>0</v>
      </c>
      <c r="I966" s="10">
        <v>0</v>
      </c>
      <c r="J966" s="10">
        <v>0</v>
      </c>
      <c r="K966" s="10">
        <v>0</v>
      </c>
      <c r="L966" s="10">
        <v>0</v>
      </c>
      <c r="M966" s="10">
        <f>E966+K966-I966-J966-L966</f>
        <v>0.0</v>
      </c>
    </row>
    <row r="967" spans="1:13" ht="25" customHeight="1">
      <c r="A967" s="6" t="s">
        <v>79</v>
      </c>
      <c r="B967" s="7" t="s">
        <v>407</v>
      </c>
      <c r="C967" s="7" t="s">
        <v>198</v>
      </c>
      <c r="D967" s="23">
        <v>3</v>
      </c>
      <c r="E967" s="9">
        <v>0</v>
      </c>
      <c r="F967" s="25">
        <v>0.0475</v>
      </c>
      <c r="G967" s="9">
        <v>0</v>
      </c>
      <c r="H967" s="9">
        <v>0</v>
      </c>
      <c r="I967" s="9">
        <v>0</v>
      </c>
      <c r="J967" s="9">
        <v>0</v>
      </c>
      <c r="K967" s="9">
        <v>0</v>
      </c>
      <c r="L967" s="9">
        <v>0</v>
      </c>
      <c r="M967" s="9">
        <f>E967+K967-I967-J967-L967</f>
        <v>0.0</v>
      </c>
    </row>
    <row r="968" spans="1:13" ht="25" customHeight="1">
      <c r="A968" s="3" t="s">
        <v>79</v>
      </c>
      <c r="B968" s="4" t="s">
        <v>407</v>
      </c>
      <c r="C968" s="4" t="s">
        <v>394</v>
      </c>
      <c r="D968" s="24">
        <v>3</v>
      </c>
      <c r="E968" s="10">
        <v>0</v>
      </c>
      <c r="F968" s="26">
        <v>0.08</v>
      </c>
      <c r="G968" s="10">
        <v>0</v>
      </c>
      <c r="H968" s="10">
        <v>0</v>
      </c>
      <c r="I968" s="10">
        <v>0</v>
      </c>
      <c r="J968" s="10">
        <v>0</v>
      </c>
      <c r="K968" s="10">
        <v>0</v>
      </c>
      <c r="L968" s="10">
        <v>0</v>
      </c>
      <c r="M968" s="10">
        <f>E968+K968-I968-J968-L968</f>
        <v>0.0</v>
      </c>
    </row>
    <row r="969" spans="1:13" ht="25" customHeight="1">
      <c r="A969" s="6" t="s">
        <v>79</v>
      </c>
      <c r="B969" s="7" t="s">
        <v>407</v>
      </c>
      <c r="C969" s="7" t="s">
        <v>395</v>
      </c>
      <c r="D969" s="23">
        <v>3</v>
      </c>
      <c r="E969" s="9">
        <v>0</v>
      </c>
      <c r="F969" s="25">
        <v>0.0575</v>
      </c>
      <c r="G969" s="9">
        <v>0</v>
      </c>
      <c r="H969" s="9">
        <v>0</v>
      </c>
      <c r="I969" s="9">
        <v>0</v>
      </c>
      <c r="J969" s="9">
        <v>0</v>
      </c>
      <c r="K969" s="9">
        <v>0</v>
      </c>
      <c r="L969" s="9">
        <v>0</v>
      </c>
      <c r="M969" s="9">
        <f>E969+K969-I969-J969-L969</f>
        <v>0.0</v>
      </c>
    </row>
    <row r="970" spans="1:13" ht="25" customHeight="1">
      <c r="A970" s="3" t="s">
        <v>79</v>
      </c>
      <c r="B970" s="4" t="s">
        <v>407</v>
      </c>
      <c r="C970" s="4" t="s">
        <v>139</v>
      </c>
      <c r="D970" s="24">
        <v>4</v>
      </c>
      <c r="E970" s="10">
        <v>288.6772220242035</v>
      </c>
      <c r="F970" s="26">
        <v>0.038</v>
      </c>
      <c r="G970" s="10">
        <v>10.96973443691973</v>
      </c>
      <c r="H970" s="10">
        <v>288.6772220242035</v>
      </c>
      <c r="I970" s="10">
        <v>288.6772220242035</v>
      </c>
      <c r="J970" s="10">
        <v>0</v>
      </c>
      <c r="K970" s="10">
        <v>0</v>
      </c>
      <c r="L970" s="10">
        <v>0</v>
      </c>
      <c r="M970" s="10">
        <f>E970+K970-I970-J970-L970</f>
        <v>0.0</v>
      </c>
    </row>
    <row r="971" spans="1:13" ht="25" customHeight="1">
      <c r="A971" s="6" t="s">
        <v>79</v>
      </c>
      <c r="B971" s="7" t="s">
        <v>407</v>
      </c>
      <c r="C971" s="7" t="s">
        <v>153</v>
      </c>
      <c r="D971" s="23">
        <v>4</v>
      </c>
      <c r="E971" s="9">
        <v>0</v>
      </c>
      <c r="F971" s="25">
        <v>0.05</v>
      </c>
      <c r="G971" s="9">
        <v>0</v>
      </c>
      <c r="H971" s="9">
        <v>0</v>
      </c>
      <c r="I971" s="9">
        <v>0</v>
      </c>
      <c r="J971" s="9">
        <v>0</v>
      </c>
      <c r="K971" s="9">
        <v>0</v>
      </c>
      <c r="L971" s="9">
        <v>0</v>
      </c>
      <c r="M971" s="9">
        <f>E971+K971-I971-J971-L971</f>
        <v>0.0</v>
      </c>
    </row>
    <row r="972" spans="1:13" ht="25" customHeight="1">
      <c r="A972" s="3" t="s">
        <v>79</v>
      </c>
      <c r="B972" s="4" t="s">
        <v>407</v>
      </c>
      <c r="C972" s="4" t="s">
        <v>198</v>
      </c>
      <c r="D972" s="24">
        <v>4</v>
      </c>
      <c r="E972" s="10">
        <v>0</v>
      </c>
      <c r="F972" s="26">
        <v>0.0475</v>
      </c>
      <c r="G972" s="10">
        <v>0</v>
      </c>
      <c r="H972" s="10">
        <v>0</v>
      </c>
      <c r="I972" s="10">
        <v>0</v>
      </c>
      <c r="J972" s="10">
        <v>0</v>
      </c>
      <c r="K972" s="10">
        <v>0</v>
      </c>
      <c r="L972" s="10">
        <v>0</v>
      </c>
      <c r="M972" s="10">
        <f>E972+K972-I972-J972-L972</f>
        <v>0.0</v>
      </c>
    </row>
    <row r="973" spans="1:13" ht="25" customHeight="1">
      <c r="A973" s="6" t="s">
        <v>79</v>
      </c>
      <c r="B973" s="7" t="s">
        <v>407</v>
      </c>
      <c r="C973" s="7" t="s">
        <v>394</v>
      </c>
      <c r="D973" s="23">
        <v>4</v>
      </c>
      <c r="E973" s="9">
        <v>0</v>
      </c>
      <c r="F973" s="25">
        <v>0.08</v>
      </c>
      <c r="G973" s="9">
        <v>0</v>
      </c>
      <c r="H973" s="9">
        <v>0</v>
      </c>
      <c r="I973" s="9">
        <v>0</v>
      </c>
      <c r="J973" s="9">
        <v>0</v>
      </c>
      <c r="K973" s="9">
        <v>0</v>
      </c>
      <c r="L973" s="9">
        <v>0</v>
      </c>
      <c r="M973" s="9">
        <f>E973+K973-I973-J973-L973</f>
        <v>0.0</v>
      </c>
    </row>
    <row r="974" spans="1:13" ht="25" customHeight="1">
      <c r="A974" s="3" t="s">
        <v>79</v>
      </c>
      <c r="B974" s="4" t="s">
        <v>407</v>
      </c>
      <c r="C974" s="4" t="s">
        <v>395</v>
      </c>
      <c r="D974" s="24">
        <v>4</v>
      </c>
      <c r="E974" s="10">
        <v>0</v>
      </c>
      <c r="F974" s="26">
        <v>0.0575</v>
      </c>
      <c r="G974" s="10">
        <v>0</v>
      </c>
      <c r="H974" s="10">
        <v>0</v>
      </c>
      <c r="I974" s="10">
        <v>0</v>
      </c>
      <c r="J974" s="10">
        <v>0</v>
      </c>
      <c r="K974" s="10">
        <v>0</v>
      </c>
      <c r="L974" s="10">
        <v>0</v>
      </c>
      <c r="M974" s="10">
        <f>E974+K974-I974-J974-L974</f>
        <v>0.0</v>
      </c>
    </row>
    <row r="975" spans="1:13" ht="25" customHeight="1">
      <c r="A975" s="6" t="s">
        <v>79</v>
      </c>
      <c r="B975" s="7" t="s">
        <v>407</v>
      </c>
      <c r="C975" s="7" t="s">
        <v>139</v>
      </c>
      <c r="D975" s="23">
        <v>5</v>
      </c>
      <c r="E975" s="9">
        <v>0</v>
      </c>
      <c r="F975" s="25">
        <v>0.038</v>
      </c>
      <c r="G975" s="9">
        <v>0</v>
      </c>
      <c r="H975" s="9">
        <v>0</v>
      </c>
      <c r="I975" s="9">
        <v>0</v>
      </c>
      <c r="J975" s="9">
        <v>0</v>
      </c>
      <c r="K975" s="9">
        <v>0</v>
      </c>
      <c r="L975" s="9">
        <v>0</v>
      </c>
      <c r="M975" s="9">
        <f>E975+K975-I975-J975-L975</f>
        <v>0.0</v>
      </c>
    </row>
    <row r="976" spans="1:13" ht="25" customHeight="1">
      <c r="A976" s="3" t="s">
        <v>79</v>
      </c>
      <c r="B976" s="4" t="s">
        <v>407</v>
      </c>
      <c r="C976" s="4" t="s">
        <v>153</v>
      </c>
      <c r="D976" s="24">
        <v>5</v>
      </c>
      <c r="E976" s="10">
        <v>0</v>
      </c>
      <c r="F976" s="26">
        <v>0.05</v>
      </c>
      <c r="G976" s="10">
        <v>0</v>
      </c>
      <c r="H976" s="10">
        <v>0</v>
      </c>
      <c r="I976" s="10">
        <v>0</v>
      </c>
      <c r="J976" s="10">
        <v>0</v>
      </c>
      <c r="K976" s="10">
        <v>0</v>
      </c>
      <c r="L976" s="10">
        <v>0</v>
      </c>
      <c r="M976" s="10">
        <f>E976+K976-I976-J976-L976</f>
        <v>0.0</v>
      </c>
    </row>
    <row r="977" spans="1:13" ht="25" customHeight="1">
      <c r="A977" s="6" t="s">
        <v>79</v>
      </c>
      <c r="B977" s="7" t="s">
        <v>407</v>
      </c>
      <c r="C977" s="7" t="s">
        <v>198</v>
      </c>
      <c r="D977" s="23">
        <v>5</v>
      </c>
      <c r="E977" s="9">
        <v>0</v>
      </c>
      <c r="F977" s="25">
        <v>0.0475</v>
      </c>
      <c r="G977" s="9">
        <v>0</v>
      </c>
      <c r="H977" s="9">
        <v>0</v>
      </c>
      <c r="I977" s="9">
        <v>0</v>
      </c>
      <c r="J977" s="9">
        <v>0</v>
      </c>
      <c r="K977" s="9">
        <v>0</v>
      </c>
      <c r="L977" s="9">
        <v>0</v>
      </c>
      <c r="M977" s="9">
        <f>E977+K977-I977-J977-L977</f>
        <v>0.0</v>
      </c>
    </row>
    <row r="978" spans="1:13" ht="25" customHeight="1">
      <c r="A978" s="3" t="s">
        <v>79</v>
      </c>
      <c r="B978" s="4" t="s">
        <v>407</v>
      </c>
      <c r="C978" s="4" t="s">
        <v>394</v>
      </c>
      <c r="D978" s="24">
        <v>5</v>
      </c>
      <c r="E978" s="10">
        <v>0</v>
      </c>
      <c r="F978" s="26">
        <v>0.08</v>
      </c>
      <c r="G978" s="10">
        <v>0</v>
      </c>
      <c r="H978" s="10">
        <v>0</v>
      </c>
      <c r="I978" s="10">
        <v>0</v>
      </c>
      <c r="J978" s="10">
        <v>0</v>
      </c>
      <c r="K978" s="10">
        <v>0</v>
      </c>
      <c r="L978" s="10">
        <v>0</v>
      </c>
      <c r="M978" s="10">
        <f>E978+K978-I978-J978-L978</f>
        <v>0.0</v>
      </c>
    </row>
    <row r="979" spans="1:13" ht="25" customHeight="1">
      <c r="A979" s="6" t="s">
        <v>79</v>
      </c>
      <c r="B979" s="7" t="s">
        <v>407</v>
      </c>
      <c r="C979" s="7" t="s">
        <v>395</v>
      </c>
      <c r="D979" s="23">
        <v>5</v>
      </c>
      <c r="E979" s="9">
        <v>0</v>
      </c>
      <c r="F979" s="25">
        <v>0.0575</v>
      </c>
      <c r="G979" s="9">
        <v>0</v>
      </c>
      <c r="H979" s="9">
        <v>0</v>
      </c>
      <c r="I979" s="9">
        <v>0</v>
      </c>
      <c r="J979" s="9">
        <v>0</v>
      </c>
      <c r="K979" s="9">
        <v>0</v>
      </c>
      <c r="L979" s="9">
        <v>0</v>
      </c>
      <c r="M979" s="9">
        <f>E979+K979-I979-J979-L979</f>
        <v>0.0</v>
      </c>
    </row>
    <row r="980" spans="1:13" ht="25" customHeight="1">
      <c r="A980" s="3" t="s">
        <v>68</v>
      </c>
      <c r="B980" s="4" t="s">
        <v>408</v>
      </c>
      <c r="C980" s="4" t="s">
        <v>139</v>
      </c>
      <c r="D980" s="24">
        <v>1</v>
      </c>
      <c r="E980" s="10">
        <v>900</v>
      </c>
      <c r="F980" s="26">
        <v>0.038</v>
      </c>
      <c r="G980" s="10">
        <v>34.2</v>
      </c>
      <c r="H980" s="10">
        <v>0</v>
      </c>
      <c r="I980" s="10">
        <v>0</v>
      </c>
      <c r="J980" s="10">
        <v>0</v>
      </c>
      <c r="K980" s="10">
        <v>0</v>
      </c>
      <c r="L980" s="10">
        <v>0</v>
      </c>
      <c r="M980" s="10">
        <f>E980+K980-I980-J980-L980</f>
        <v>900.0</v>
      </c>
    </row>
    <row r="981" spans="1:13" ht="25" customHeight="1">
      <c r="A981" s="6" t="s">
        <v>68</v>
      </c>
      <c r="B981" s="7" t="s">
        <v>408</v>
      </c>
      <c r="C981" s="7" t="s">
        <v>153</v>
      </c>
      <c r="D981" s="23">
        <v>1</v>
      </c>
      <c r="E981" s="9">
        <v>80</v>
      </c>
      <c r="F981" s="25">
        <v>0.05</v>
      </c>
      <c r="G981" s="9">
        <v>4</v>
      </c>
      <c r="H981" s="9">
        <v>16</v>
      </c>
      <c r="I981" s="9">
        <v>16</v>
      </c>
      <c r="J981" s="9">
        <v>0</v>
      </c>
      <c r="K981" s="9">
        <v>0</v>
      </c>
      <c r="L981" s="9">
        <v>0</v>
      </c>
      <c r="M981" s="9">
        <f>E981+K981-I981-J981-L981</f>
        <v>64.0</v>
      </c>
    </row>
    <row r="982" spans="1:13" ht="25" customHeight="1">
      <c r="A982" s="3" t="s">
        <v>68</v>
      </c>
      <c r="B982" s="4" t="s">
        <v>408</v>
      </c>
      <c r="C982" s="4" t="s">
        <v>198</v>
      </c>
      <c r="D982" s="24">
        <v>1</v>
      </c>
      <c r="E982" s="10">
        <v>350</v>
      </c>
      <c r="F982" s="26">
        <v>0.0475</v>
      </c>
      <c r="G982" s="10">
        <v>16.625</v>
      </c>
      <c r="H982" s="10">
        <v>0</v>
      </c>
      <c r="I982" s="10">
        <v>0</v>
      </c>
      <c r="J982" s="10">
        <v>0</v>
      </c>
      <c r="K982" s="10">
        <v>0</v>
      </c>
      <c r="L982" s="10">
        <v>0</v>
      </c>
      <c r="M982" s="10">
        <f>E982+K982-I982-J982-L982</f>
        <v>350.0</v>
      </c>
    </row>
    <row r="983" spans="1:13" ht="25" customHeight="1">
      <c r="A983" s="6" t="s">
        <v>68</v>
      </c>
      <c r="B983" s="7" t="s">
        <v>408</v>
      </c>
      <c r="C983" s="7" t="s">
        <v>394</v>
      </c>
      <c r="D983" s="23">
        <v>1</v>
      </c>
      <c r="E983" s="9">
        <v>1340.10152284264</v>
      </c>
      <c r="F983" s="25">
        <v>0.065</v>
      </c>
      <c r="G983" s="9">
        <v>87.10659898477158</v>
      </c>
      <c r="H983" s="9">
        <v>26.80203045685279</v>
      </c>
      <c r="I983" s="9">
        <v>26.80203045685279</v>
      </c>
      <c r="J983" s="9">
        <v>243.6134826333354</v>
      </c>
      <c r="K983" s="9">
        <v>0</v>
      </c>
      <c r="L983" s="9">
        <v>0</v>
      </c>
      <c r="M983" s="9">
        <f>E983+K983-I983-J983-L983</f>
        <v>1069.6860097524514</v>
      </c>
    </row>
    <row r="984" spans="1:13" ht="25" customHeight="1">
      <c r="A984" s="3" t="s">
        <v>68</v>
      </c>
      <c r="B984" s="4" t="s">
        <v>408</v>
      </c>
      <c r="C984" s="4" t="s">
        <v>395</v>
      </c>
      <c r="D984" s="24">
        <v>1</v>
      </c>
      <c r="E984" s="10">
        <v>0</v>
      </c>
      <c r="F984" s="26">
        <v>0.0625</v>
      </c>
      <c r="G984" s="10">
        <v>0</v>
      </c>
      <c r="H984" s="10">
        <v>0</v>
      </c>
      <c r="I984" s="10">
        <v>0</v>
      </c>
      <c r="J984" s="10">
        <v>0</v>
      </c>
      <c r="K984" s="10">
        <v>0</v>
      </c>
      <c r="L984" s="10">
        <v>0</v>
      </c>
      <c r="M984" s="10">
        <f>E984+K984-I984-J984-L984</f>
        <v>0.0</v>
      </c>
    </row>
    <row r="985" spans="1:13" ht="25" customHeight="1">
      <c r="A985" s="6" t="s">
        <v>68</v>
      </c>
      <c r="B985" s="7" t="s">
        <v>408</v>
      </c>
      <c r="C985" s="7" t="s">
        <v>139</v>
      </c>
      <c r="D985" s="23">
        <v>2</v>
      </c>
      <c r="E985" s="9">
        <v>900</v>
      </c>
      <c r="F985" s="25">
        <v>0.038</v>
      </c>
      <c r="G985" s="9">
        <v>34.2</v>
      </c>
      <c r="H985" s="9">
        <v>0</v>
      </c>
      <c r="I985" s="9">
        <v>0</v>
      </c>
      <c r="J985" s="9">
        <v>0</v>
      </c>
      <c r="K985" s="9">
        <v>0</v>
      </c>
      <c r="L985" s="9">
        <v>0</v>
      </c>
      <c r="M985" s="9">
        <f>E985+K985-I985-J985-L985</f>
        <v>900.0</v>
      </c>
    </row>
    <row r="986" spans="1:13" ht="25" customHeight="1">
      <c r="A986" s="3" t="s">
        <v>68</v>
      </c>
      <c r="B986" s="4" t="s">
        <v>408</v>
      </c>
      <c r="C986" s="4" t="s">
        <v>153</v>
      </c>
      <c r="D986" s="24">
        <v>2</v>
      </c>
      <c r="E986" s="10">
        <v>64</v>
      </c>
      <c r="F986" s="26">
        <v>0.05</v>
      </c>
      <c r="G986" s="10">
        <v>3.2</v>
      </c>
      <c r="H986" s="10">
        <v>16</v>
      </c>
      <c r="I986" s="10">
        <v>16</v>
      </c>
      <c r="J986" s="10">
        <v>0</v>
      </c>
      <c r="K986" s="10">
        <v>0</v>
      </c>
      <c r="L986" s="10">
        <v>0</v>
      </c>
      <c r="M986" s="10">
        <f>E986+K986-I986-J986-L986</f>
        <v>48.0</v>
      </c>
    </row>
    <row r="987" spans="1:13" ht="25" customHeight="1">
      <c r="A987" s="6" t="s">
        <v>68</v>
      </c>
      <c r="B987" s="7" t="s">
        <v>408</v>
      </c>
      <c r="C987" s="7" t="s">
        <v>198</v>
      </c>
      <c r="D987" s="23">
        <v>2</v>
      </c>
      <c r="E987" s="9">
        <v>350</v>
      </c>
      <c r="F987" s="25">
        <v>0.0475</v>
      </c>
      <c r="G987" s="9">
        <v>16.625</v>
      </c>
      <c r="H987" s="9">
        <v>0</v>
      </c>
      <c r="I987" s="9">
        <v>0</v>
      </c>
      <c r="J987" s="9">
        <v>0</v>
      </c>
      <c r="K987" s="9">
        <v>0</v>
      </c>
      <c r="L987" s="9">
        <v>0</v>
      </c>
      <c r="M987" s="9">
        <f>E987+K987-I987-J987-L987</f>
        <v>350.0</v>
      </c>
    </row>
    <row r="988" spans="1:13" ht="25" customHeight="1">
      <c r="A988" s="3" t="s">
        <v>68</v>
      </c>
      <c r="B988" s="4" t="s">
        <v>408</v>
      </c>
      <c r="C988" s="4" t="s">
        <v>394</v>
      </c>
      <c r="D988" s="24">
        <v>2</v>
      </c>
      <c r="E988" s="10">
        <v>1069.686009752451</v>
      </c>
      <c r="F988" s="26">
        <v>0.0625</v>
      </c>
      <c r="G988" s="10">
        <v>66.85537560952821</v>
      </c>
      <c r="H988" s="10">
        <v>26.80203045685279</v>
      </c>
      <c r="I988" s="10">
        <v>26.80203045685279</v>
      </c>
      <c r="J988" s="10">
        <v>304.5975054729854</v>
      </c>
      <c r="K988" s="10">
        <v>0</v>
      </c>
      <c r="L988" s="10">
        <v>0</v>
      </c>
      <c r="M988" s="10">
        <f>E988+K988-I988-J988-L988</f>
        <v>738.2864738226131</v>
      </c>
    </row>
    <row r="989" spans="1:13" ht="25" customHeight="1">
      <c r="A989" s="6" t="s">
        <v>68</v>
      </c>
      <c r="B989" s="7" t="s">
        <v>408</v>
      </c>
      <c r="C989" s="7" t="s">
        <v>395</v>
      </c>
      <c r="D989" s="23">
        <v>2</v>
      </c>
      <c r="E989" s="9">
        <v>0</v>
      </c>
      <c r="F989" s="25">
        <v>0.06</v>
      </c>
      <c r="G989" s="9">
        <v>0</v>
      </c>
      <c r="H989" s="9">
        <v>0</v>
      </c>
      <c r="I989" s="9">
        <v>0</v>
      </c>
      <c r="J989" s="9">
        <v>0</v>
      </c>
      <c r="K989" s="9">
        <v>0</v>
      </c>
      <c r="L989" s="9">
        <v>0</v>
      </c>
      <c r="M989" s="9">
        <f>E989+K989-I989-J989-L989</f>
        <v>0.0</v>
      </c>
    </row>
    <row r="990" spans="1:13" ht="25" customHeight="1">
      <c r="A990" s="3" t="s">
        <v>68</v>
      </c>
      <c r="B990" s="4" t="s">
        <v>408</v>
      </c>
      <c r="C990" s="4" t="s">
        <v>139</v>
      </c>
      <c r="D990" s="24">
        <v>3</v>
      </c>
      <c r="E990" s="10">
        <v>900</v>
      </c>
      <c r="F990" s="26">
        <v>0.038</v>
      </c>
      <c r="G990" s="10">
        <v>34.2</v>
      </c>
      <c r="H990" s="10">
        <v>0</v>
      </c>
      <c r="I990" s="10">
        <v>0</v>
      </c>
      <c r="J990" s="10">
        <v>0</v>
      </c>
      <c r="K990" s="10">
        <v>0</v>
      </c>
      <c r="L990" s="10">
        <v>0</v>
      </c>
      <c r="M990" s="10">
        <f>E990+K990-I990-J990-L990</f>
        <v>900.0</v>
      </c>
    </row>
    <row r="991" spans="1:13" ht="25" customHeight="1">
      <c r="A991" s="6" t="s">
        <v>68</v>
      </c>
      <c r="B991" s="7" t="s">
        <v>408</v>
      </c>
      <c r="C991" s="7" t="s">
        <v>153</v>
      </c>
      <c r="D991" s="23">
        <v>3</v>
      </c>
      <c r="E991" s="9">
        <v>48</v>
      </c>
      <c r="F991" s="25">
        <v>0.05</v>
      </c>
      <c r="G991" s="9">
        <v>2.4</v>
      </c>
      <c r="H991" s="9">
        <v>16</v>
      </c>
      <c r="I991" s="9">
        <v>16</v>
      </c>
      <c r="J991" s="9">
        <v>0</v>
      </c>
      <c r="K991" s="9">
        <v>0</v>
      </c>
      <c r="L991" s="9">
        <v>0</v>
      </c>
      <c r="M991" s="9">
        <f>E991+K991-I991-J991-L991</f>
        <v>32.0</v>
      </c>
    </row>
    <row r="992" spans="1:13" ht="25" customHeight="1">
      <c r="A992" s="3" t="s">
        <v>68</v>
      </c>
      <c r="B992" s="4" t="s">
        <v>408</v>
      </c>
      <c r="C992" s="4" t="s">
        <v>198</v>
      </c>
      <c r="D992" s="24">
        <v>3</v>
      </c>
      <c r="E992" s="10">
        <v>350</v>
      </c>
      <c r="F992" s="26">
        <v>0.0475</v>
      </c>
      <c r="G992" s="10">
        <v>16.625</v>
      </c>
      <c r="H992" s="10">
        <v>350</v>
      </c>
      <c r="I992" s="10">
        <v>350</v>
      </c>
      <c r="J992" s="10">
        <v>0</v>
      </c>
      <c r="K992" s="10">
        <v>0</v>
      </c>
      <c r="L992" s="10">
        <v>0</v>
      </c>
      <c r="M992" s="10">
        <f>E992+K992-I992-J992-L992</f>
        <v>0.0</v>
      </c>
    </row>
    <row r="993" spans="1:13" ht="25" customHeight="1">
      <c r="A993" s="6" t="s">
        <v>68</v>
      </c>
      <c r="B993" s="7" t="s">
        <v>408</v>
      </c>
      <c r="C993" s="7" t="s">
        <v>394</v>
      </c>
      <c r="D993" s="23">
        <v>3</v>
      </c>
      <c r="E993" s="9">
        <v>738.2864738226131</v>
      </c>
      <c r="F993" s="25">
        <v>0.06</v>
      </c>
      <c r="G993" s="9">
        <v>44.29718842935679</v>
      </c>
      <c r="H993" s="9">
        <v>26.80203045685279</v>
      </c>
      <c r="I993" s="9">
        <v>26.80203045685279</v>
      </c>
      <c r="J993" s="9">
        <v>38.11912129903988</v>
      </c>
      <c r="K993" s="9">
        <v>0</v>
      </c>
      <c r="L993" s="9">
        <v>0</v>
      </c>
      <c r="M993" s="9">
        <f>E993+K993-I993-J993-L993</f>
        <v>673.3653220667204</v>
      </c>
    </row>
    <row r="994" spans="1:13" ht="25" customHeight="1">
      <c r="A994" s="3" t="s">
        <v>68</v>
      </c>
      <c r="B994" s="4" t="s">
        <v>408</v>
      </c>
      <c r="C994" s="4" t="s">
        <v>395</v>
      </c>
      <c r="D994" s="24">
        <v>3</v>
      </c>
      <c r="E994" s="10">
        <v>0</v>
      </c>
      <c r="F994" s="26">
        <v>0.0575</v>
      </c>
      <c r="G994" s="10">
        <v>0</v>
      </c>
      <c r="H994" s="10">
        <v>0</v>
      </c>
      <c r="I994" s="10">
        <v>0</v>
      </c>
      <c r="J994" s="10">
        <v>0</v>
      </c>
      <c r="K994" s="10">
        <v>0</v>
      </c>
      <c r="L994" s="10">
        <v>0</v>
      </c>
      <c r="M994" s="10">
        <f>E994+K994-I994-J994-L994</f>
        <v>0.0</v>
      </c>
    </row>
    <row r="995" spans="1:13" ht="25" customHeight="1">
      <c r="A995" s="6" t="s">
        <v>68</v>
      </c>
      <c r="B995" s="7" t="s">
        <v>408</v>
      </c>
      <c r="C995" s="7" t="s">
        <v>139</v>
      </c>
      <c r="D995" s="23">
        <v>4</v>
      </c>
      <c r="E995" s="9">
        <v>900</v>
      </c>
      <c r="F995" s="25">
        <v>0.038</v>
      </c>
      <c r="G995" s="9">
        <v>34.2</v>
      </c>
      <c r="H995" s="9">
        <v>900</v>
      </c>
      <c r="I995" s="9">
        <v>900</v>
      </c>
      <c r="J995" s="9">
        <v>0</v>
      </c>
      <c r="K995" s="9">
        <v>0</v>
      </c>
      <c r="L995" s="9">
        <v>0</v>
      </c>
      <c r="M995" s="9">
        <f>E995+K995-I995-J995-L995</f>
        <v>0.0</v>
      </c>
    </row>
    <row r="996" spans="1:13" ht="25" customHeight="1">
      <c r="A996" s="3" t="s">
        <v>68</v>
      </c>
      <c r="B996" s="4" t="s">
        <v>408</v>
      </c>
      <c r="C996" s="4" t="s">
        <v>153</v>
      </c>
      <c r="D996" s="24">
        <v>4</v>
      </c>
      <c r="E996" s="10">
        <v>32</v>
      </c>
      <c r="F996" s="26">
        <v>0.05</v>
      </c>
      <c r="G996" s="10">
        <v>1.6</v>
      </c>
      <c r="H996" s="10">
        <v>16</v>
      </c>
      <c r="I996" s="10">
        <v>16</v>
      </c>
      <c r="J996" s="10">
        <v>0</v>
      </c>
      <c r="K996" s="10">
        <v>0</v>
      </c>
      <c r="L996" s="10">
        <v>0</v>
      </c>
      <c r="M996" s="10">
        <f>E996+K996-I996-J996-L996</f>
        <v>16.0</v>
      </c>
    </row>
    <row r="997" spans="1:13" ht="25" customHeight="1">
      <c r="A997" s="6" t="s">
        <v>68</v>
      </c>
      <c r="B997" s="7" t="s">
        <v>408</v>
      </c>
      <c r="C997" s="7" t="s">
        <v>198</v>
      </c>
      <c r="D997" s="23">
        <v>4</v>
      </c>
      <c r="E997" s="9">
        <v>0</v>
      </c>
      <c r="F997" s="25">
        <v>0.0475</v>
      </c>
      <c r="G997" s="9">
        <v>0</v>
      </c>
      <c r="H997" s="9">
        <v>0</v>
      </c>
      <c r="I997" s="9">
        <v>0</v>
      </c>
      <c r="J997" s="9">
        <v>0</v>
      </c>
      <c r="K997" s="9">
        <v>0</v>
      </c>
      <c r="L997" s="9">
        <v>0</v>
      </c>
      <c r="M997" s="9">
        <f>E997+K997-I997-J997-L997</f>
        <v>0.0</v>
      </c>
    </row>
    <row r="998" spans="1:13" ht="25" customHeight="1">
      <c r="A998" s="3" t="s">
        <v>68</v>
      </c>
      <c r="B998" s="4" t="s">
        <v>408</v>
      </c>
      <c r="C998" s="4" t="s">
        <v>394</v>
      </c>
      <c r="D998" s="24">
        <v>4</v>
      </c>
      <c r="E998" s="10">
        <v>673.3653220667204</v>
      </c>
      <c r="F998" s="26">
        <v>0.06</v>
      </c>
      <c r="G998" s="10">
        <v>40.40191932400323</v>
      </c>
      <c r="H998" s="10">
        <v>26.80203045685279</v>
      </c>
      <c r="I998" s="10">
        <v>26.80203045685279</v>
      </c>
      <c r="J998" s="10">
        <v>0</v>
      </c>
      <c r="K998" s="10">
        <v>0</v>
      </c>
      <c r="L998" s="10">
        <v>0</v>
      </c>
      <c r="M998" s="10">
        <f>E998+K998-I998-J998-L998</f>
        <v>646.5632916098676</v>
      </c>
    </row>
    <row r="999" spans="1:13" ht="25" customHeight="1">
      <c r="A999" s="6" t="s">
        <v>68</v>
      </c>
      <c r="B999" s="7" t="s">
        <v>408</v>
      </c>
      <c r="C999" s="7" t="s">
        <v>395</v>
      </c>
      <c r="D999" s="23">
        <v>4</v>
      </c>
      <c r="E999" s="9">
        <v>0</v>
      </c>
      <c r="F999" s="25">
        <v>0.0575</v>
      </c>
      <c r="G999" s="9">
        <v>0</v>
      </c>
      <c r="H999" s="9">
        <v>0</v>
      </c>
      <c r="I999" s="9">
        <v>0</v>
      </c>
      <c r="J999" s="9">
        <v>0</v>
      </c>
      <c r="K999" s="9">
        <v>449.0565974449983</v>
      </c>
      <c r="L999" s="9">
        <v>0</v>
      </c>
      <c r="M999" s="9">
        <f>E999+K999-I999-J999-L999</f>
        <v>449.05659744499826</v>
      </c>
    </row>
    <row r="1000" spans="1:13" ht="25" customHeight="1">
      <c r="A1000" s="3" t="s">
        <v>68</v>
      </c>
      <c r="B1000" s="4" t="s">
        <v>408</v>
      </c>
      <c r="C1000" s="4" t="s">
        <v>139</v>
      </c>
      <c r="D1000" s="24">
        <v>5</v>
      </c>
      <c r="E1000" s="10">
        <v>0</v>
      </c>
      <c r="F1000" s="26">
        <v>0.038</v>
      </c>
      <c r="G1000" s="10">
        <v>0</v>
      </c>
      <c r="H1000" s="10">
        <v>0</v>
      </c>
      <c r="I1000" s="10">
        <v>0</v>
      </c>
      <c r="J1000" s="10">
        <v>0</v>
      </c>
      <c r="K1000" s="10">
        <v>0</v>
      </c>
      <c r="L1000" s="10">
        <v>0</v>
      </c>
      <c r="M1000" s="10">
        <f>E1000+K1000-I1000-J1000-L1000</f>
        <v>0.0</v>
      </c>
    </row>
    <row r="1001" spans="1:13" ht="25" customHeight="1">
      <c r="A1001" s="6" t="s">
        <v>68</v>
      </c>
      <c r="B1001" s="7" t="s">
        <v>408</v>
      </c>
      <c r="C1001" s="7" t="s">
        <v>153</v>
      </c>
      <c r="D1001" s="23">
        <v>5</v>
      </c>
      <c r="E1001" s="9">
        <v>16</v>
      </c>
      <c r="F1001" s="25">
        <v>0.05</v>
      </c>
      <c r="G1001" s="9">
        <v>0.8</v>
      </c>
      <c r="H1001" s="9">
        <v>16</v>
      </c>
      <c r="I1001" s="9">
        <v>16</v>
      </c>
      <c r="J1001" s="9">
        <v>0</v>
      </c>
      <c r="K1001" s="9">
        <v>0</v>
      </c>
      <c r="L1001" s="9">
        <v>0</v>
      </c>
      <c r="M1001" s="9">
        <f>E1001+K1001-I1001-J1001-L1001</f>
        <v>0.0</v>
      </c>
    </row>
    <row r="1002" spans="1:13" ht="25" customHeight="1">
      <c r="A1002" s="3" t="s">
        <v>68</v>
      </c>
      <c r="B1002" s="4" t="s">
        <v>408</v>
      </c>
      <c r="C1002" s="4" t="s">
        <v>198</v>
      </c>
      <c r="D1002" s="24">
        <v>5</v>
      </c>
      <c r="E1002" s="10">
        <v>0</v>
      </c>
      <c r="F1002" s="26">
        <v>0.0475</v>
      </c>
      <c r="G1002" s="10">
        <v>0</v>
      </c>
      <c r="H1002" s="10">
        <v>0</v>
      </c>
      <c r="I1002" s="10">
        <v>0</v>
      </c>
      <c r="J1002" s="10">
        <v>0</v>
      </c>
      <c r="K1002" s="10">
        <v>0</v>
      </c>
      <c r="L1002" s="10">
        <v>0</v>
      </c>
      <c r="M1002" s="10">
        <f>E1002+K1002-I1002-J1002-L1002</f>
        <v>0.0</v>
      </c>
    </row>
    <row r="1003" spans="1:13" ht="25" customHeight="1">
      <c r="A1003" s="6" t="s">
        <v>68</v>
      </c>
      <c r="B1003" s="7" t="s">
        <v>408</v>
      </c>
      <c r="C1003" s="7" t="s">
        <v>394</v>
      </c>
      <c r="D1003" s="23">
        <v>5</v>
      </c>
      <c r="E1003" s="9">
        <v>646.5632916098676</v>
      </c>
      <c r="F1003" s="25">
        <v>0.06</v>
      </c>
      <c r="G1003" s="9">
        <v>38.79379749659206</v>
      </c>
      <c r="H1003" s="9">
        <v>646.5632916098676</v>
      </c>
      <c r="I1003" s="9">
        <v>646.5632916098676</v>
      </c>
      <c r="J1003" s="9">
        <v>0</v>
      </c>
      <c r="K1003" s="9">
        <v>0</v>
      </c>
      <c r="L1003" s="9">
        <v>0</v>
      </c>
      <c r="M1003" s="9">
        <f>E1003+K1003-I1003-J1003-L1003</f>
        <v>0.0</v>
      </c>
    </row>
    <row r="1004" spans="1:13" ht="25" customHeight="1">
      <c r="A1004" s="3" t="s">
        <v>68</v>
      </c>
      <c r="B1004" s="4" t="s">
        <v>408</v>
      </c>
      <c r="C1004" s="4" t="s">
        <v>395</v>
      </c>
      <c r="D1004" s="24">
        <v>5</v>
      </c>
      <c r="E1004" s="10">
        <v>449.0565974449983</v>
      </c>
      <c r="F1004" s="26">
        <v>0.0575</v>
      </c>
      <c r="G1004" s="10">
        <v>25.8207543530874</v>
      </c>
      <c r="H1004" s="10">
        <v>449.0565974449983</v>
      </c>
      <c r="I1004" s="10">
        <v>449.0565974449983</v>
      </c>
      <c r="J1004" s="10">
        <v>0</v>
      </c>
      <c r="K1004" s="10">
        <v>0</v>
      </c>
      <c r="L1004" s="10">
        <v>0</v>
      </c>
      <c r="M1004" s="10">
        <f>E1004+K1004-I1004-J1004-L1004</f>
        <v>0.0</v>
      </c>
    </row>
    <row r="1005" spans="1:13" ht="25" customHeight="1">
      <c r="A1005" s="6" t="s">
        <v>78</v>
      </c>
      <c r="B1005" s="7" t="s">
        <v>408</v>
      </c>
      <c r="C1005" s="7" t="s">
        <v>139</v>
      </c>
      <c r="D1005" s="23">
        <v>1</v>
      </c>
      <c r="E1005" s="9">
        <v>900</v>
      </c>
      <c r="F1005" s="25">
        <v>0.038</v>
      </c>
      <c r="G1005" s="9">
        <v>34.2</v>
      </c>
      <c r="H1005" s="9">
        <v>0</v>
      </c>
      <c r="I1005" s="9">
        <v>0</v>
      </c>
      <c r="J1005" s="9">
        <v>0</v>
      </c>
      <c r="K1005" s="9">
        <v>0</v>
      </c>
      <c r="L1005" s="9">
        <v>0</v>
      </c>
      <c r="M1005" s="9">
        <f>E1005+K1005-I1005-J1005-L1005</f>
        <v>900.0</v>
      </c>
    </row>
    <row r="1006" spans="1:13" ht="25" customHeight="1">
      <c r="A1006" s="3" t="s">
        <v>78</v>
      </c>
      <c r="B1006" s="4" t="s">
        <v>408</v>
      </c>
      <c r="C1006" s="4" t="s">
        <v>153</v>
      </c>
      <c r="D1006" s="24">
        <v>1</v>
      </c>
      <c r="E1006" s="10">
        <v>80</v>
      </c>
      <c r="F1006" s="26">
        <v>0.05</v>
      </c>
      <c r="G1006" s="10">
        <v>4</v>
      </c>
      <c r="H1006" s="10">
        <v>16</v>
      </c>
      <c r="I1006" s="10">
        <v>16</v>
      </c>
      <c r="J1006" s="10">
        <v>0</v>
      </c>
      <c r="K1006" s="10">
        <v>0</v>
      </c>
      <c r="L1006" s="10">
        <v>0</v>
      </c>
      <c r="M1006" s="10">
        <f>E1006+K1006-I1006-J1006-L1006</f>
        <v>64.0</v>
      </c>
    </row>
    <row r="1007" spans="1:13" ht="25" customHeight="1">
      <c r="A1007" s="6" t="s">
        <v>78</v>
      </c>
      <c r="B1007" s="7" t="s">
        <v>408</v>
      </c>
      <c r="C1007" s="7" t="s">
        <v>198</v>
      </c>
      <c r="D1007" s="23">
        <v>1</v>
      </c>
      <c r="E1007" s="9">
        <v>350</v>
      </c>
      <c r="F1007" s="25">
        <v>0.0475</v>
      </c>
      <c r="G1007" s="9">
        <v>16.625</v>
      </c>
      <c r="H1007" s="9">
        <v>0</v>
      </c>
      <c r="I1007" s="9">
        <v>0</v>
      </c>
      <c r="J1007" s="9">
        <v>0</v>
      </c>
      <c r="K1007" s="9">
        <v>0</v>
      </c>
      <c r="L1007" s="9">
        <v>0</v>
      </c>
      <c r="M1007" s="9">
        <f>E1007+K1007-I1007-J1007-L1007</f>
        <v>350.0</v>
      </c>
    </row>
    <row r="1008" spans="1:13" ht="25" customHeight="1">
      <c r="A1008" s="3" t="s">
        <v>78</v>
      </c>
      <c r="B1008" s="4" t="s">
        <v>408</v>
      </c>
      <c r="C1008" s="4" t="s">
        <v>394</v>
      </c>
      <c r="D1008" s="24">
        <v>1</v>
      </c>
      <c r="E1008" s="10">
        <v>2223.350253807107</v>
      </c>
      <c r="F1008" s="26">
        <v>0.065</v>
      </c>
      <c r="G1008" s="10">
        <v>144.5177664974619</v>
      </c>
      <c r="H1008" s="10">
        <v>44.46700507614213</v>
      </c>
      <c r="I1008" s="10">
        <v>44.46700507614213</v>
      </c>
      <c r="J1008" s="10">
        <v>1052.890132379528</v>
      </c>
      <c r="K1008" s="10">
        <v>0</v>
      </c>
      <c r="L1008" s="10">
        <v>0</v>
      </c>
      <c r="M1008" s="10">
        <f>E1008+K1008-I1008-J1008-L1008</f>
        <v>1125.9931163514364</v>
      </c>
    </row>
    <row r="1009" spans="1:13" ht="25" customHeight="1">
      <c r="A1009" s="6" t="s">
        <v>78</v>
      </c>
      <c r="B1009" s="7" t="s">
        <v>408</v>
      </c>
      <c r="C1009" s="7" t="s">
        <v>395</v>
      </c>
      <c r="D1009" s="23">
        <v>1</v>
      </c>
      <c r="E1009" s="9">
        <v>0</v>
      </c>
      <c r="F1009" s="25">
        <v>0.0625</v>
      </c>
      <c r="G1009" s="9">
        <v>0</v>
      </c>
      <c r="H1009" s="9">
        <v>0</v>
      </c>
      <c r="I1009" s="9">
        <v>0</v>
      </c>
      <c r="J1009" s="9">
        <v>0</v>
      </c>
      <c r="K1009" s="9">
        <v>0</v>
      </c>
      <c r="L1009" s="9">
        <v>0</v>
      </c>
      <c r="M1009" s="9">
        <f>E1009+K1009-I1009-J1009-L1009</f>
        <v>0.0</v>
      </c>
    </row>
    <row r="1010" spans="1:13" ht="25" customHeight="1">
      <c r="A1010" s="3" t="s">
        <v>78</v>
      </c>
      <c r="B1010" s="4" t="s">
        <v>408</v>
      </c>
      <c r="C1010" s="4" t="s">
        <v>139</v>
      </c>
      <c r="D1010" s="24">
        <v>2</v>
      </c>
      <c r="E1010" s="10">
        <v>900</v>
      </c>
      <c r="F1010" s="26">
        <v>0.038</v>
      </c>
      <c r="G1010" s="10">
        <v>34.2</v>
      </c>
      <c r="H1010" s="10">
        <v>0</v>
      </c>
      <c r="I1010" s="10">
        <v>0</v>
      </c>
      <c r="J1010" s="10">
        <v>0</v>
      </c>
      <c r="K1010" s="10">
        <v>0</v>
      </c>
      <c r="L1010" s="10">
        <v>0</v>
      </c>
      <c r="M1010" s="10">
        <f>E1010+K1010-I1010-J1010-L1010</f>
        <v>900.0</v>
      </c>
    </row>
    <row r="1011" spans="1:13" ht="25" customHeight="1">
      <c r="A1011" s="6" t="s">
        <v>78</v>
      </c>
      <c r="B1011" s="7" t="s">
        <v>408</v>
      </c>
      <c r="C1011" s="7" t="s">
        <v>153</v>
      </c>
      <c r="D1011" s="23">
        <v>2</v>
      </c>
      <c r="E1011" s="9">
        <v>64</v>
      </c>
      <c r="F1011" s="25">
        <v>0.05</v>
      </c>
      <c r="G1011" s="9">
        <v>3.2</v>
      </c>
      <c r="H1011" s="9">
        <v>16</v>
      </c>
      <c r="I1011" s="9">
        <v>16</v>
      </c>
      <c r="J1011" s="9">
        <v>0</v>
      </c>
      <c r="K1011" s="9">
        <v>0</v>
      </c>
      <c r="L1011" s="9">
        <v>0</v>
      </c>
      <c r="M1011" s="9">
        <f>E1011+K1011-I1011-J1011-L1011</f>
        <v>48.0</v>
      </c>
    </row>
    <row r="1012" spans="1:13" ht="25" customHeight="1">
      <c r="A1012" s="3" t="s">
        <v>78</v>
      </c>
      <c r="B1012" s="4" t="s">
        <v>408</v>
      </c>
      <c r="C1012" s="4" t="s">
        <v>198</v>
      </c>
      <c r="D1012" s="24">
        <v>2</v>
      </c>
      <c r="E1012" s="10">
        <v>350</v>
      </c>
      <c r="F1012" s="26">
        <v>0.0475</v>
      </c>
      <c r="G1012" s="10">
        <v>16.625</v>
      </c>
      <c r="H1012" s="10">
        <v>0</v>
      </c>
      <c r="I1012" s="10">
        <v>0</v>
      </c>
      <c r="J1012" s="10">
        <v>0</v>
      </c>
      <c r="K1012" s="10">
        <v>0</v>
      </c>
      <c r="L1012" s="10">
        <v>0</v>
      </c>
      <c r="M1012" s="10">
        <f>E1012+K1012-I1012-J1012-L1012</f>
        <v>350.0</v>
      </c>
    </row>
    <row r="1013" spans="1:13" ht="25" customHeight="1">
      <c r="A1013" s="6" t="s">
        <v>78</v>
      </c>
      <c r="B1013" s="7" t="s">
        <v>408</v>
      </c>
      <c r="C1013" s="7" t="s">
        <v>394</v>
      </c>
      <c r="D1013" s="23">
        <v>2</v>
      </c>
      <c r="E1013" s="9">
        <v>1125.993116351436</v>
      </c>
      <c r="F1013" s="25">
        <v>0.0625</v>
      </c>
      <c r="G1013" s="9">
        <v>70.37456977196477</v>
      </c>
      <c r="H1013" s="9">
        <v>44.46700507614213</v>
      </c>
      <c r="I1013" s="9">
        <v>44.46700507614213</v>
      </c>
      <c r="J1013" s="9">
        <v>284.2931352318687</v>
      </c>
      <c r="K1013" s="9">
        <v>0</v>
      </c>
      <c r="L1013" s="9">
        <v>0</v>
      </c>
      <c r="M1013" s="9">
        <f>E1013+K1013-I1013-J1013-L1013</f>
        <v>797.2329760434254</v>
      </c>
    </row>
    <row r="1014" spans="1:13" ht="25" customHeight="1">
      <c r="A1014" s="3" t="s">
        <v>78</v>
      </c>
      <c r="B1014" s="4" t="s">
        <v>408</v>
      </c>
      <c r="C1014" s="4" t="s">
        <v>395</v>
      </c>
      <c r="D1014" s="24">
        <v>2</v>
      </c>
      <c r="E1014" s="10">
        <v>0</v>
      </c>
      <c r="F1014" s="26">
        <v>0.06</v>
      </c>
      <c r="G1014" s="10">
        <v>0</v>
      </c>
      <c r="H1014" s="10">
        <v>0</v>
      </c>
      <c r="I1014" s="10">
        <v>0</v>
      </c>
      <c r="J1014" s="10">
        <v>0</v>
      </c>
      <c r="K1014" s="10">
        <v>0</v>
      </c>
      <c r="L1014" s="10">
        <v>0</v>
      </c>
      <c r="M1014" s="10">
        <f>E1014+K1014-I1014-J1014-L1014</f>
        <v>0.0</v>
      </c>
    </row>
    <row r="1015" spans="1:13" ht="25" customHeight="1">
      <c r="A1015" s="6" t="s">
        <v>78</v>
      </c>
      <c r="B1015" s="7" t="s">
        <v>408</v>
      </c>
      <c r="C1015" s="7" t="s">
        <v>139</v>
      </c>
      <c r="D1015" s="23">
        <v>3</v>
      </c>
      <c r="E1015" s="9">
        <v>900</v>
      </c>
      <c r="F1015" s="25">
        <v>0.038</v>
      </c>
      <c r="G1015" s="9">
        <v>34.2</v>
      </c>
      <c r="H1015" s="9">
        <v>0</v>
      </c>
      <c r="I1015" s="9">
        <v>0</v>
      </c>
      <c r="J1015" s="9">
        <v>0</v>
      </c>
      <c r="K1015" s="9">
        <v>0</v>
      </c>
      <c r="L1015" s="9">
        <v>0</v>
      </c>
      <c r="M1015" s="9">
        <f>E1015+K1015-I1015-J1015-L1015</f>
        <v>900.0</v>
      </c>
    </row>
    <row r="1016" spans="1:13" ht="25" customHeight="1">
      <c r="A1016" s="3" t="s">
        <v>78</v>
      </c>
      <c r="B1016" s="4" t="s">
        <v>408</v>
      </c>
      <c r="C1016" s="4" t="s">
        <v>153</v>
      </c>
      <c r="D1016" s="24">
        <v>3</v>
      </c>
      <c r="E1016" s="10">
        <v>48</v>
      </c>
      <c r="F1016" s="26">
        <v>0.05</v>
      </c>
      <c r="G1016" s="10">
        <v>2.4</v>
      </c>
      <c r="H1016" s="10">
        <v>16</v>
      </c>
      <c r="I1016" s="10">
        <v>16</v>
      </c>
      <c r="J1016" s="10">
        <v>0</v>
      </c>
      <c r="K1016" s="10">
        <v>0</v>
      </c>
      <c r="L1016" s="10">
        <v>0</v>
      </c>
      <c r="M1016" s="10">
        <f>E1016+K1016-I1016-J1016-L1016</f>
        <v>32.0</v>
      </c>
    </row>
    <row r="1017" spans="1:13" ht="25" customHeight="1">
      <c r="A1017" s="6" t="s">
        <v>78</v>
      </c>
      <c r="B1017" s="7" t="s">
        <v>408</v>
      </c>
      <c r="C1017" s="7" t="s">
        <v>198</v>
      </c>
      <c r="D1017" s="23">
        <v>3</v>
      </c>
      <c r="E1017" s="9">
        <v>350</v>
      </c>
      <c r="F1017" s="25">
        <v>0.0475</v>
      </c>
      <c r="G1017" s="9">
        <v>16.625</v>
      </c>
      <c r="H1017" s="9">
        <v>350</v>
      </c>
      <c r="I1017" s="9">
        <v>350</v>
      </c>
      <c r="J1017" s="9">
        <v>0</v>
      </c>
      <c r="K1017" s="9">
        <v>0</v>
      </c>
      <c r="L1017" s="9">
        <v>0</v>
      </c>
      <c r="M1017" s="9">
        <f>E1017+K1017-I1017-J1017-L1017</f>
        <v>0.0</v>
      </c>
    </row>
    <row r="1018" spans="1:13" ht="25" customHeight="1">
      <c r="A1018" s="3" t="s">
        <v>78</v>
      </c>
      <c r="B1018" s="4" t="s">
        <v>408</v>
      </c>
      <c r="C1018" s="4" t="s">
        <v>394</v>
      </c>
      <c r="D1018" s="24">
        <v>3</v>
      </c>
      <c r="E1018" s="10">
        <v>797.2329760434254</v>
      </c>
      <c r="F1018" s="26">
        <v>0.06</v>
      </c>
      <c r="G1018" s="10">
        <v>47.83397856260553</v>
      </c>
      <c r="H1018" s="10">
        <v>44.46700507614213</v>
      </c>
      <c r="I1018" s="10">
        <v>44.46700507614213</v>
      </c>
      <c r="J1018" s="10">
        <v>17.80155407981397</v>
      </c>
      <c r="K1018" s="10">
        <v>0</v>
      </c>
      <c r="L1018" s="10">
        <v>0</v>
      </c>
      <c r="M1018" s="10">
        <f>E1018+K1018-I1018-J1018-L1018</f>
        <v>734.9644168874693</v>
      </c>
    </row>
    <row r="1019" spans="1:13" ht="25" customHeight="1">
      <c r="A1019" s="6" t="s">
        <v>78</v>
      </c>
      <c r="B1019" s="7" t="s">
        <v>408</v>
      </c>
      <c r="C1019" s="7" t="s">
        <v>395</v>
      </c>
      <c r="D1019" s="23">
        <v>3</v>
      </c>
      <c r="E1019" s="9">
        <v>0</v>
      </c>
      <c r="F1019" s="25">
        <v>0.0575</v>
      </c>
      <c r="G1019" s="9">
        <v>0</v>
      </c>
      <c r="H1019" s="9">
        <v>0</v>
      </c>
      <c r="I1019" s="9">
        <v>0</v>
      </c>
      <c r="J1019" s="9">
        <v>0</v>
      </c>
      <c r="K1019" s="9">
        <v>0</v>
      </c>
      <c r="L1019" s="9">
        <v>0</v>
      </c>
      <c r="M1019" s="9">
        <f>E1019+K1019-I1019-J1019-L1019</f>
        <v>0.0</v>
      </c>
    </row>
    <row r="1020" spans="1:13" ht="25" customHeight="1">
      <c r="A1020" s="3" t="s">
        <v>78</v>
      </c>
      <c r="B1020" s="4" t="s">
        <v>408</v>
      </c>
      <c r="C1020" s="4" t="s">
        <v>139</v>
      </c>
      <c r="D1020" s="24">
        <v>4</v>
      </c>
      <c r="E1020" s="10">
        <v>900</v>
      </c>
      <c r="F1020" s="26">
        <v>0.038</v>
      </c>
      <c r="G1020" s="10">
        <v>34.2</v>
      </c>
      <c r="H1020" s="10">
        <v>900</v>
      </c>
      <c r="I1020" s="10">
        <v>900</v>
      </c>
      <c r="J1020" s="10">
        <v>0</v>
      </c>
      <c r="K1020" s="10">
        <v>0</v>
      </c>
      <c r="L1020" s="10">
        <v>0</v>
      </c>
      <c r="M1020" s="10">
        <f>E1020+K1020-I1020-J1020-L1020</f>
        <v>0.0</v>
      </c>
    </row>
    <row r="1021" spans="1:13" ht="25" customHeight="1">
      <c r="A1021" s="6" t="s">
        <v>78</v>
      </c>
      <c r="B1021" s="7" t="s">
        <v>408</v>
      </c>
      <c r="C1021" s="7" t="s">
        <v>153</v>
      </c>
      <c r="D1021" s="23">
        <v>4</v>
      </c>
      <c r="E1021" s="9">
        <v>32</v>
      </c>
      <c r="F1021" s="25">
        <v>0.05</v>
      </c>
      <c r="G1021" s="9">
        <v>1.6</v>
      </c>
      <c r="H1021" s="9">
        <v>16</v>
      </c>
      <c r="I1021" s="9">
        <v>16</v>
      </c>
      <c r="J1021" s="9">
        <v>0</v>
      </c>
      <c r="K1021" s="9">
        <v>0</v>
      </c>
      <c r="L1021" s="9">
        <v>0</v>
      </c>
      <c r="M1021" s="9">
        <f>E1021+K1021-I1021-J1021-L1021</f>
        <v>16.0</v>
      </c>
    </row>
    <row r="1022" spans="1:13" ht="25" customHeight="1">
      <c r="A1022" s="3" t="s">
        <v>78</v>
      </c>
      <c r="B1022" s="4" t="s">
        <v>408</v>
      </c>
      <c r="C1022" s="4" t="s">
        <v>198</v>
      </c>
      <c r="D1022" s="24">
        <v>4</v>
      </c>
      <c r="E1022" s="10">
        <v>0</v>
      </c>
      <c r="F1022" s="26">
        <v>0.0475</v>
      </c>
      <c r="G1022" s="10">
        <v>0</v>
      </c>
      <c r="H1022" s="10">
        <v>0</v>
      </c>
      <c r="I1022" s="10">
        <v>0</v>
      </c>
      <c r="J1022" s="10">
        <v>0</v>
      </c>
      <c r="K1022" s="10">
        <v>0</v>
      </c>
      <c r="L1022" s="10">
        <v>0</v>
      </c>
      <c r="M1022" s="10">
        <f>E1022+K1022-I1022-J1022-L1022</f>
        <v>0.0</v>
      </c>
    </row>
    <row r="1023" spans="1:13" ht="25" customHeight="1">
      <c r="A1023" s="6" t="s">
        <v>78</v>
      </c>
      <c r="B1023" s="7" t="s">
        <v>408</v>
      </c>
      <c r="C1023" s="7" t="s">
        <v>394</v>
      </c>
      <c r="D1023" s="23">
        <v>4</v>
      </c>
      <c r="E1023" s="9">
        <v>734.9644168874693</v>
      </c>
      <c r="F1023" s="25">
        <v>0.06</v>
      </c>
      <c r="G1023" s="9">
        <v>44.09786501324816</v>
      </c>
      <c r="H1023" s="9">
        <v>44.46700507614213</v>
      </c>
      <c r="I1023" s="9">
        <v>44.46700507614213</v>
      </c>
      <c r="J1023" s="9">
        <v>0</v>
      </c>
      <c r="K1023" s="9">
        <v>0</v>
      </c>
      <c r="L1023" s="9">
        <v>0</v>
      </c>
      <c r="M1023" s="9">
        <f>E1023+K1023-I1023-J1023-L1023</f>
        <v>690.4974118113271</v>
      </c>
    </row>
    <row r="1024" spans="1:13" ht="25" customHeight="1">
      <c r="A1024" s="3" t="s">
        <v>78</v>
      </c>
      <c r="B1024" s="4" t="s">
        <v>408</v>
      </c>
      <c r="C1024" s="4" t="s">
        <v>395</v>
      </c>
      <c r="D1024" s="24">
        <v>4</v>
      </c>
      <c r="E1024" s="10">
        <v>0</v>
      </c>
      <c r="F1024" s="26">
        <v>0.0575</v>
      </c>
      <c r="G1024" s="10">
        <v>0</v>
      </c>
      <c r="H1024" s="10">
        <v>0</v>
      </c>
      <c r="I1024" s="10">
        <v>0</v>
      </c>
      <c r="J1024" s="10">
        <v>0</v>
      </c>
      <c r="K1024" s="10">
        <v>469.4935313312214</v>
      </c>
      <c r="L1024" s="10">
        <v>0</v>
      </c>
      <c r="M1024" s="10">
        <f>E1024+K1024-I1024-J1024-L1024</f>
        <v>469.49353133122145</v>
      </c>
    </row>
    <row r="1025" spans="1:13" ht="25" customHeight="1">
      <c r="A1025" s="6" t="s">
        <v>78</v>
      </c>
      <c r="B1025" s="7" t="s">
        <v>408</v>
      </c>
      <c r="C1025" s="7" t="s">
        <v>139</v>
      </c>
      <c r="D1025" s="23">
        <v>5</v>
      </c>
      <c r="E1025" s="9">
        <v>0</v>
      </c>
      <c r="F1025" s="25">
        <v>0.038</v>
      </c>
      <c r="G1025" s="9">
        <v>0</v>
      </c>
      <c r="H1025" s="9">
        <v>0</v>
      </c>
      <c r="I1025" s="9">
        <v>0</v>
      </c>
      <c r="J1025" s="9">
        <v>0</v>
      </c>
      <c r="K1025" s="9">
        <v>0</v>
      </c>
      <c r="L1025" s="9">
        <v>0</v>
      </c>
      <c r="M1025" s="9">
        <f>E1025+K1025-I1025-J1025-L1025</f>
        <v>0.0</v>
      </c>
    </row>
    <row r="1026" spans="1:13" ht="25" customHeight="1">
      <c r="A1026" s="3" t="s">
        <v>78</v>
      </c>
      <c r="B1026" s="4" t="s">
        <v>408</v>
      </c>
      <c r="C1026" s="4" t="s">
        <v>153</v>
      </c>
      <c r="D1026" s="24">
        <v>5</v>
      </c>
      <c r="E1026" s="10">
        <v>16</v>
      </c>
      <c r="F1026" s="26">
        <v>0.05</v>
      </c>
      <c r="G1026" s="10">
        <v>0.8</v>
      </c>
      <c r="H1026" s="10">
        <v>16</v>
      </c>
      <c r="I1026" s="10">
        <v>16</v>
      </c>
      <c r="J1026" s="10">
        <v>0</v>
      </c>
      <c r="K1026" s="10">
        <v>0</v>
      </c>
      <c r="L1026" s="10">
        <v>0</v>
      </c>
      <c r="M1026" s="10">
        <f>E1026+K1026-I1026-J1026-L1026</f>
        <v>0.0</v>
      </c>
    </row>
    <row r="1027" spans="1:13" ht="25" customHeight="1">
      <c r="A1027" s="6" t="s">
        <v>78</v>
      </c>
      <c r="B1027" s="7" t="s">
        <v>408</v>
      </c>
      <c r="C1027" s="7" t="s">
        <v>198</v>
      </c>
      <c r="D1027" s="23">
        <v>5</v>
      </c>
      <c r="E1027" s="9">
        <v>0</v>
      </c>
      <c r="F1027" s="25">
        <v>0.0475</v>
      </c>
      <c r="G1027" s="9">
        <v>0</v>
      </c>
      <c r="H1027" s="9">
        <v>0</v>
      </c>
      <c r="I1027" s="9">
        <v>0</v>
      </c>
      <c r="J1027" s="9">
        <v>0</v>
      </c>
      <c r="K1027" s="9">
        <v>0</v>
      </c>
      <c r="L1027" s="9">
        <v>0</v>
      </c>
      <c r="M1027" s="9">
        <f>E1027+K1027-I1027-J1027-L1027</f>
        <v>0.0</v>
      </c>
    </row>
    <row r="1028" spans="1:13" ht="25" customHeight="1">
      <c r="A1028" s="3" t="s">
        <v>78</v>
      </c>
      <c r="B1028" s="4" t="s">
        <v>408</v>
      </c>
      <c r="C1028" s="4" t="s">
        <v>394</v>
      </c>
      <c r="D1028" s="24">
        <v>5</v>
      </c>
      <c r="E1028" s="10">
        <v>690.4974118113271</v>
      </c>
      <c r="F1028" s="26">
        <v>0.06</v>
      </c>
      <c r="G1028" s="10">
        <v>41.42984470867963</v>
      </c>
      <c r="H1028" s="10">
        <v>690.4974118113271</v>
      </c>
      <c r="I1028" s="10">
        <v>690.4974118113271</v>
      </c>
      <c r="J1028" s="10">
        <v>0</v>
      </c>
      <c r="K1028" s="10">
        <v>0</v>
      </c>
      <c r="L1028" s="10">
        <v>0</v>
      </c>
      <c r="M1028" s="10">
        <f>E1028+K1028-I1028-J1028-L1028</f>
        <v>0.0</v>
      </c>
    </row>
    <row r="1029" spans="1:13" ht="25" customHeight="1">
      <c r="A1029" s="6" t="s">
        <v>78</v>
      </c>
      <c r="B1029" s="7" t="s">
        <v>408</v>
      </c>
      <c r="C1029" s="7" t="s">
        <v>395</v>
      </c>
      <c r="D1029" s="23">
        <v>5</v>
      </c>
      <c r="E1029" s="9">
        <v>469.4935313312214</v>
      </c>
      <c r="F1029" s="25">
        <v>0.0575</v>
      </c>
      <c r="G1029" s="9">
        <v>26.99587805154523</v>
      </c>
      <c r="H1029" s="9">
        <v>469.4935313312214</v>
      </c>
      <c r="I1029" s="9">
        <v>469.4935313312214</v>
      </c>
      <c r="J1029" s="9">
        <v>0</v>
      </c>
      <c r="K1029" s="9">
        <v>0</v>
      </c>
      <c r="L1029" s="9">
        <v>0</v>
      </c>
      <c r="M1029" s="9">
        <f>E1029+K1029-I1029-J1029-L1029</f>
        <v>0.0</v>
      </c>
    </row>
    <row r="1030" spans="1:13" ht="25" customHeight="1">
      <c r="A1030" s="3" t="s">
        <v>79</v>
      </c>
      <c r="B1030" s="4" t="s">
        <v>408</v>
      </c>
      <c r="C1030" s="4" t="s">
        <v>139</v>
      </c>
      <c r="D1030" s="24">
        <v>1</v>
      </c>
      <c r="E1030" s="10">
        <v>900</v>
      </c>
      <c r="F1030" s="26">
        <v>0.038</v>
      </c>
      <c r="G1030" s="10">
        <v>34.2</v>
      </c>
      <c r="H1030" s="10">
        <v>0</v>
      </c>
      <c r="I1030" s="10">
        <v>0</v>
      </c>
      <c r="J1030" s="10">
        <v>0</v>
      </c>
      <c r="K1030" s="10">
        <v>0</v>
      </c>
      <c r="L1030" s="10">
        <v>0</v>
      </c>
      <c r="M1030" s="10">
        <f>E1030+K1030-I1030-J1030-L1030</f>
        <v>900.0</v>
      </c>
    </row>
    <row r="1031" spans="1:13" ht="25" customHeight="1">
      <c r="A1031" s="6" t="s">
        <v>79</v>
      </c>
      <c r="B1031" s="7" t="s">
        <v>408</v>
      </c>
      <c r="C1031" s="7" t="s">
        <v>153</v>
      </c>
      <c r="D1031" s="23">
        <v>1</v>
      </c>
      <c r="E1031" s="9">
        <v>80</v>
      </c>
      <c r="F1031" s="25">
        <v>0.05</v>
      </c>
      <c r="G1031" s="9">
        <v>4</v>
      </c>
      <c r="H1031" s="9">
        <v>16</v>
      </c>
      <c r="I1031" s="9">
        <v>16</v>
      </c>
      <c r="J1031" s="9">
        <v>16.32921867394413</v>
      </c>
      <c r="K1031" s="9">
        <v>0</v>
      </c>
      <c r="L1031" s="9">
        <v>0</v>
      </c>
      <c r="M1031" s="9">
        <f>E1031+K1031-I1031-J1031-L1031</f>
        <v>47.670781326055874</v>
      </c>
    </row>
    <row r="1032" spans="1:13" ht="25" customHeight="1">
      <c r="A1032" s="3" t="s">
        <v>79</v>
      </c>
      <c r="B1032" s="4" t="s">
        <v>408</v>
      </c>
      <c r="C1032" s="4" t="s">
        <v>198</v>
      </c>
      <c r="D1032" s="24">
        <v>1</v>
      </c>
      <c r="E1032" s="10">
        <v>350</v>
      </c>
      <c r="F1032" s="26">
        <v>0.0475</v>
      </c>
      <c r="G1032" s="10">
        <v>16.625</v>
      </c>
      <c r="H1032" s="10">
        <v>0</v>
      </c>
      <c r="I1032" s="10">
        <v>0</v>
      </c>
      <c r="J1032" s="10">
        <v>0</v>
      </c>
      <c r="K1032" s="10">
        <v>0</v>
      </c>
      <c r="L1032" s="10">
        <v>0</v>
      </c>
      <c r="M1032" s="10">
        <f>E1032+K1032-I1032-J1032-L1032</f>
        <v>350.0</v>
      </c>
    </row>
    <row r="1033" spans="1:13" ht="25" customHeight="1">
      <c r="A1033" s="6" t="s">
        <v>79</v>
      </c>
      <c r="B1033" s="7" t="s">
        <v>408</v>
      </c>
      <c r="C1033" s="7" t="s">
        <v>394</v>
      </c>
      <c r="D1033" s="23">
        <v>1</v>
      </c>
      <c r="E1033" s="9">
        <v>304.5685279187817</v>
      </c>
      <c r="F1033" s="25">
        <v>0.065</v>
      </c>
      <c r="G1033" s="9">
        <v>19.79695431472081</v>
      </c>
      <c r="H1033" s="9">
        <v>6.091370558375635</v>
      </c>
      <c r="I1033" s="9">
        <v>6.091370558375635</v>
      </c>
      <c r="J1033" s="9">
        <v>298.4771573604061</v>
      </c>
      <c r="K1033" s="9">
        <v>0</v>
      </c>
      <c r="L1033" s="9">
        <v>0</v>
      </c>
      <c r="M1033" s="9">
        <f>E1033+K1033-I1033-J1033-L1033</f>
        <v>0.0</v>
      </c>
    </row>
    <row r="1034" spans="1:13" ht="25" customHeight="1">
      <c r="A1034" s="3" t="s">
        <v>79</v>
      </c>
      <c r="B1034" s="4" t="s">
        <v>408</v>
      </c>
      <c r="C1034" s="4" t="s">
        <v>395</v>
      </c>
      <c r="D1034" s="24">
        <v>1</v>
      </c>
      <c r="E1034" s="10">
        <v>0</v>
      </c>
      <c r="F1034" s="26">
        <v>0.0625</v>
      </c>
      <c r="G1034" s="10">
        <v>0</v>
      </c>
      <c r="H1034" s="10">
        <v>0</v>
      </c>
      <c r="I1034" s="10">
        <v>0</v>
      </c>
      <c r="J1034" s="10">
        <v>0</v>
      </c>
      <c r="K1034" s="10">
        <v>0</v>
      </c>
      <c r="L1034" s="10">
        <v>0</v>
      </c>
      <c r="M1034" s="10">
        <f>E1034+K1034-I1034-J1034-L1034</f>
        <v>0.0</v>
      </c>
    </row>
    <row r="1035" spans="1:13" ht="25" customHeight="1">
      <c r="A1035" s="6" t="s">
        <v>79</v>
      </c>
      <c r="B1035" s="7" t="s">
        <v>408</v>
      </c>
      <c r="C1035" s="7" t="s">
        <v>139</v>
      </c>
      <c r="D1035" s="23">
        <v>2</v>
      </c>
      <c r="E1035" s="9">
        <v>900</v>
      </c>
      <c r="F1035" s="25">
        <v>0.038</v>
      </c>
      <c r="G1035" s="9">
        <v>34.2</v>
      </c>
      <c r="H1035" s="9">
        <v>0</v>
      </c>
      <c r="I1035" s="9">
        <v>0</v>
      </c>
      <c r="J1035" s="9">
        <v>0.4826320112013605</v>
      </c>
      <c r="K1035" s="9">
        <v>0</v>
      </c>
      <c r="L1035" s="9">
        <v>0</v>
      </c>
      <c r="M1035" s="9">
        <f>E1035+K1035-I1035-J1035-L1035</f>
        <v>899.5173679887987</v>
      </c>
    </row>
    <row r="1036" spans="1:13" ht="25" customHeight="1">
      <c r="A1036" s="3" t="s">
        <v>79</v>
      </c>
      <c r="B1036" s="4" t="s">
        <v>408</v>
      </c>
      <c r="C1036" s="4" t="s">
        <v>153</v>
      </c>
      <c r="D1036" s="24">
        <v>2</v>
      </c>
      <c r="E1036" s="10">
        <v>47.67078132605587</v>
      </c>
      <c r="F1036" s="26">
        <v>0.05</v>
      </c>
      <c r="G1036" s="10">
        <v>2.383539066302794</v>
      </c>
      <c r="H1036" s="10">
        <v>16</v>
      </c>
      <c r="I1036" s="10">
        <v>16</v>
      </c>
      <c r="J1036" s="10">
        <v>31.67078132605587</v>
      </c>
      <c r="K1036" s="10">
        <v>0</v>
      </c>
      <c r="L1036" s="10">
        <v>0</v>
      </c>
      <c r="M1036" s="10">
        <f>E1036+K1036-I1036-J1036-L1036</f>
        <v>0.0</v>
      </c>
    </row>
    <row r="1037" spans="1:13" ht="25" customHeight="1">
      <c r="A1037" s="6" t="s">
        <v>79</v>
      </c>
      <c r="B1037" s="7" t="s">
        <v>408</v>
      </c>
      <c r="C1037" s="7" t="s">
        <v>198</v>
      </c>
      <c r="D1037" s="23">
        <v>2</v>
      </c>
      <c r="E1037" s="9">
        <v>350</v>
      </c>
      <c r="F1037" s="25">
        <v>0.0475</v>
      </c>
      <c r="G1037" s="9">
        <v>16.625</v>
      </c>
      <c r="H1037" s="9">
        <v>0</v>
      </c>
      <c r="I1037" s="9">
        <v>0</v>
      </c>
      <c r="J1037" s="9">
        <v>350</v>
      </c>
      <c r="K1037" s="9">
        <v>0</v>
      </c>
      <c r="L1037" s="9">
        <v>0</v>
      </c>
      <c r="M1037" s="9">
        <f>E1037+K1037-I1037-J1037-L1037</f>
        <v>0.0</v>
      </c>
    </row>
    <row r="1038" spans="1:13" ht="25" customHeight="1">
      <c r="A1038" s="3" t="s">
        <v>79</v>
      </c>
      <c r="B1038" s="4" t="s">
        <v>408</v>
      </c>
      <c r="C1038" s="4" t="s">
        <v>394</v>
      </c>
      <c r="D1038" s="24">
        <v>2</v>
      </c>
      <c r="E1038" s="10">
        <v>0</v>
      </c>
      <c r="F1038" s="26">
        <v>0.0625</v>
      </c>
      <c r="G1038" s="10">
        <v>0</v>
      </c>
      <c r="H1038" s="10">
        <v>0</v>
      </c>
      <c r="I1038" s="10">
        <v>0</v>
      </c>
      <c r="J1038" s="10">
        <v>0</v>
      </c>
      <c r="K1038" s="10">
        <v>0</v>
      </c>
      <c r="L1038" s="10">
        <v>0</v>
      </c>
      <c r="M1038" s="10">
        <f>E1038+K1038-I1038-J1038-L1038</f>
        <v>0.0</v>
      </c>
    </row>
    <row r="1039" spans="1:13" ht="25" customHeight="1">
      <c r="A1039" s="6" t="s">
        <v>79</v>
      </c>
      <c r="B1039" s="7" t="s">
        <v>408</v>
      </c>
      <c r="C1039" s="7" t="s">
        <v>395</v>
      </c>
      <c r="D1039" s="23">
        <v>2</v>
      </c>
      <c r="E1039" s="9">
        <v>0</v>
      </c>
      <c r="F1039" s="25">
        <v>0.06</v>
      </c>
      <c r="G1039" s="9">
        <v>0</v>
      </c>
      <c r="H1039" s="9">
        <v>0</v>
      </c>
      <c r="I1039" s="9">
        <v>0</v>
      </c>
      <c r="J1039" s="9">
        <v>0</v>
      </c>
      <c r="K1039" s="9">
        <v>0</v>
      </c>
      <c r="L1039" s="9">
        <v>0</v>
      </c>
      <c r="M1039" s="9">
        <f>E1039+K1039-I1039-J1039-L1039</f>
        <v>0.0</v>
      </c>
    </row>
    <row r="1040" spans="1:13" ht="25" customHeight="1">
      <c r="A1040" s="3" t="s">
        <v>79</v>
      </c>
      <c r="B1040" s="4" t="s">
        <v>408</v>
      </c>
      <c r="C1040" s="4" t="s">
        <v>139</v>
      </c>
      <c r="D1040" s="24">
        <v>3</v>
      </c>
      <c r="E1040" s="10">
        <v>899.5173679887987</v>
      </c>
      <c r="F1040" s="26">
        <v>0.038</v>
      </c>
      <c r="G1040" s="10">
        <v>34.18165998357435</v>
      </c>
      <c r="H1040" s="10">
        <v>0</v>
      </c>
      <c r="I1040" s="10">
        <v>0</v>
      </c>
      <c r="J1040" s="10">
        <v>478.4265480902295</v>
      </c>
      <c r="K1040" s="10">
        <v>0</v>
      </c>
      <c r="L1040" s="10">
        <v>0</v>
      </c>
      <c r="M1040" s="10">
        <f>E1040+K1040-I1040-J1040-L1040</f>
        <v>421.0908198985692</v>
      </c>
    </row>
    <row r="1041" spans="1:13" ht="25" customHeight="1">
      <c r="A1041" s="6" t="s">
        <v>79</v>
      </c>
      <c r="B1041" s="7" t="s">
        <v>408</v>
      </c>
      <c r="C1041" s="7" t="s">
        <v>153</v>
      </c>
      <c r="D1041" s="23">
        <v>3</v>
      </c>
      <c r="E1041" s="9">
        <v>0</v>
      </c>
      <c r="F1041" s="25">
        <v>0.05</v>
      </c>
      <c r="G1041" s="9">
        <v>0</v>
      </c>
      <c r="H1041" s="9">
        <v>0</v>
      </c>
      <c r="I1041" s="9">
        <v>0</v>
      </c>
      <c r="J1041" s="9">
        <v>0</v>
      </c>
      <c r="K1041" s="9">
        <v>0</v>
      </c>
      <c r="L1041" s="9">
        <v>0</v>
      </c>
      <c r="M1041" s="9">
        <f>E1041+K1041-I1041-J1041-L1041</f>
        <v>0.0</v>
      </c>
    </row>
    <row r="1042" spans="1:13" ht="25" customHeight="1">
      <c r="A1042" s="3" t="s">
        <v>79</v>
      </c>
      <c r="B1042" s="4" t="s">
        <v>408</v>
      </c>
      <c r="C1042" s="4" t="s">
        <v>198</v>
      </c>
      <c r="D1042" s="24">
        <v>3</v>
      </c>
      <c r="E1042" s="10">
        <v>0</v>
      </c>
      <c r="F1042" s="26">
        <v>0.0475</v>
      </c>
      <c r="G1042" s="10">
        <v>0</v>
      </c>
      <c r="H1042" s="10">
        <v>0</v>
      </c>
      <c r="I1042" s="10">
        <v>0</v>
      </c>
      <c r="J1042" s="10">
        <v>0</v>
      </c>
      <c r="K1042" s="10">
        <v>0</v>
      </c>
      <c r="L1042" s="10">
        <v>0</v>
      </c>
      <c r="M1042" s="10">
        <f>E1042+K1042-I1042-J1042-L1042</f>
        <v>0.0</v>
      </c>
    </row>
    <row r="1043" spans="1:13" ht="25" customHeight="1">
      <c r="A1043" s="6" t="s">
        <v>79</v>
      </c>
      <c r="B1043" s="7" t="s">
        <v>408</v>
      </c>
      <c r="C1043" s="7" t="s">
        <v>394</v>
      </c>
      <c r="D1043" s="23">
        <v>3</v>
      </c>
      <c r="E1043" s="9">
        <v>0</v>
      </c>
      <c r="F1043" s="25">
        <v>0.06</v>
      </c>
      <c r="G1043" s="9">
        <v>0</v>
      </c>
      <c r="H1043" s="9">
        <v>0</v>
      </c>
      <c r="I1043" s="9">
        <v>0</v>
      </c>
      <c r="J1043" s="9">
        <v>0</v>
      </c>
      <c r="K1043" s="9">
        <v>0</v>
      </c>
      <c r="L1043" s="9">
        <v>0</v>
      </c>
      <c r="M1043" s="9">
        <f>E1043+K1043-I1043-J1043-L1043</f>
        <v>0.0</v>
      </c>
    </row>
    <row r="1044" spans="1:13" ht="25" customHeight="1">
      <c r="A1044" s="3" t="s">
        <v>79</v>
      </c>
      <c r="B1044" s="4" t="s">
        <v>408</v>
      </c>
      <c r="C1044" s="4" t="s">
        <v>395</v>
      </c>
      <c r="D1044" s="24">
        <v>3</v>
      </c>
      <c r="E1044" s="10">
        <v>0</v>
      </c>
      <c r="F1044" s="26">
        <v>0.0575</v>
      </c>
      <c r="G1044" s="10">
        <v>0</v>
      </c>
      <c r="H1044" s="10">
        <v>0</v>
      </c>
      <c r="I1044" s="10">
        <v>0</v>
      </c>
      <c r="J1044" s="10">
        <v>0</v>
      </c>
      <c r="K1044" s="10">
        <v>0</v>
      </c>
      <c r="L1044" s="10">
        <v>0</v>
      </c>
      <c r="M1044" s="10">
        <f>E1044+K1044-I1044-J1044-L1044</f>
        <v>0.0</v>
      </c>
    </row>
    <row r="1045" spans="1:13" ht="25" customHeight="1">
      <c r="A1045" s="6" t="s">
        <v>79</v>
      </c>
      <c r="B1045" s="7" t="s">
        <v>408</v>
      </c>
      <c r="C1045" s="7" t="s">
        <v>139</v>
      </c>
      <c r="D1045" s="23">
        <v>4</v>
      </c>
      <c r="E1045" s="9">
        <v>421.0908198985692</v>
      </c>
      <c r="F1045" s="25">
        <v>0.038</v>
      </c>
      <c r="G1045" s="9">
        <v>16.00145115614563</v>
      </c>
      <c r="H1045" s="9">
        <v>421.0908198985692</v>
      </c>
      <c r="I1045" s="9">
        <v>421.0908198985692</v>
      </c>
      <c r="J1045" s="9">
        <v>0</v>
      </c>
      <c r="K1045" s="9">
        <v>0</v>
      </c>
      <c r="L1045" s="9">
        <v>0</v>
      </c>
      <c r="M1045" s="9">
        <f>E1045+K1045-I1045-J1045-L1045</f>
        <v>0.0</v>
      </c>
    </row>
    <row r="1046" spans="1:13" ht="25" customHeight="1">
      <c r="A1046" s="3" t="s">
        <v>79</v>
      </c>
      <c r="B1046" s="4" t="s">
        <v>408</v>
      </c>
      <c r="C1046" s="4" t="s">
        <v>153</v>
      </c>
      <c r="D1046" s="24">
        <v>4</v>
      </c>
      <c r="E1046" s="10">
        <v>0</v>
      </c>
      <c r="F1046" s="26">
        <v>0.05</v>
      </c>
      <c r="G1046" s="10">
        <v>0</v>
      </c>
      <c r="H1046" s="10">
        <v>0</v>
      </c>
      <c r="I1046" s="10">
        <v>0</v>
      </c>
      <c r="J1046" s="10">
        <v>0</v>
      </c>
      <c r="K1046" s="10">
        <v>0</v>
      </c>
      <c r="L1046" s="10">
        <v>0</v>
      </c>
      <c r="M1046" s="10">
        <f>E1046+K1046-I1046-J1046-L1046</f>
        <v>0.0</v>
      </c>
    </row>
    <row r="1047" spans="1:13" ht="25" customHeight="1">
      <c r="A1047" s="6" t="s">
        <v>79</v>
      </c>
      <c r="B1047" s="7" t="s">
        <v>408</v>
      </c>
      <c r="C1047" s="7" t="s">
        <v>198</v>
      </c>
      <c r="D1047" s="23">
        <v>4</v>
      </c>
      <c r="E1047" s="9">
        <v>0</v>
      </c>
      <c r="F1047" s="25">
        <v>0.0475</v>
      </c>
      <c r="G1047" s="9">
        <v>0</v>
      </c>
      <c r="H1047" s="9">
        <v>0</v>
      </c>
      <c r="I1047" s="9">
        <v>0</v>
      </c>
      <c r="J1047" s="9">
        <v>0</v>
      </c>
      <c r="K1047" s="9">
        <v>0</v>
      </c>
      <c r="L1047" s="9">
        <v>0</v>
      </c>
      <c r="M1047" s="9">
        <f>E1047+K1047-I1047-J1047-L1047</f>
        <v>0.0</v>
      </c>
    </row>
    <row r="1048" spans="1:13" ht="25" customHeight="1">
      <c r="A1048" s="3" t="s">
        <v>79</v>
      </c>
      <c r="B1048" s="4" t="s">
        <v>408</v>
      </c>
      <c r="C1048" s="4" t="s">
        <v>394</v>
      </c>
      <c r="D1048" s="24">
        <v>4</v>
      </c>
      <c r="E1048" s="10">
        <v>0</v>
      </c>
      <c r="F1048" s="26">
        <v>0.06</v>
      </c>
      <c r="G1048" s="10">
        <v>0</v>
      </c>
      <c r="H1048" s="10">
        <v>0</v>
      </c>
      <c r="I1048" s="10">
        <v>0</v>
      </c>
      <c r="J1048" s="10">
        <v>0</v>
      </c>
      <c r="K1048" s="10">
        <v>0</v>
      </c>
      <c r="L1048" s="10">
        <v>0</v>
      </c>
      <c r="M1048" s="10">
        <f>E1048+K1048-I1048-J1048-L1048</f>
        <v>0.0</v>
      </c>
    </row>
    <row r="1049" spans="1:13" ht="25" customHeight="1">
      <c r="A1049" s="6" t="s">
        <v>79</v>
      </c>
      <c r="B1049" s="7" t="s">
        <v>408</v>
      </c>
      <c r="C1049" s="7" t="s">
        <v>395</v>
      </c>
      <c r="D1049" s="23">
        <v>4</v>
      </c>
      <c r="E1049" s="9">
        <v>0</v>
      </c>
      <c r="F1049" s="25">
        <v>0.0575</v>
      </c>
      <c r="G1049" s="9">
        <v>0</v>
      </c>
      <c r="H1049" s="9">
        <v>0</v>
      </c>
      <c r="I1049" s="9">
        <v>0</v>
      </c>
      <c r="J1049" s="9">
        <v>0</v>
      </c>
      <c r="K1049" s="9">
        <v>0</v>
      </c>
      <c r="L1049" s="9">
        <v>0</v>
      </c>
      <c r="M1049" s="9">
        <f>E1049+K1049-I1049-J1049-L1049</f>
        <v>0.0</v>
      </c>
    </row>
    <row r="1050" spans="1:13" ht="25" customHeight="1">
      <c r="A1050" s="3" t="s">
        <v>79</v>
      </c>
      <c r="B1050" s="4" t="s">
        <v>408</v>
      </c>
      <c r="C1050" s="4" t="s">
        <v>139</v>
      </c>
      <c r="D1050" s="24">
        <v>5</v>
      </c>
      <c r="E1050" s="10">
        <v>0</v>
      </c>
      <c r="F1050" s="26">
        <v>0.038</v>
      </c>
      <c r="G1050" s="10">
        <v>0</v>
      </c>
      <c r="H1050" s="10">
        <v>0</v>
      </c>
      <c r="I1050" s="10">
        <v>0</v>
      </c>
      <c r="J1050" s="10">
        <v>0</v>
      </c>
      <c r="K1050" s="10">
        <v>0</v>
      </c>
      <c r="L1050" s="10">
        <v>0</v>
      </c>
      <c r="M1050" s="10">
        <f>E1050+K1050-I1050-J1050-L1050</f>
        <v>0.0</v>
      </c>
    </row>
    <row r="1051" spans="1:13" ht="25" customHeight="1">
      <c r="A1051" s="6" t="s">
        <v>79</v>
      </c>
      <c r="B1051" s="7" t="s">
        <v>408</v>
      </c>
      <c r="C1051" s="7" t="s">
        <v>153</v>
      </c>
      <c r="D1051" s="23">
        <v>5</v>
      </c>
      <c r="E1051" s="9">
        <v>0</v>
      </c>
      <c r="F1051" s="25">
        <v>0.05</v>
      </c>
      <c r="G1051" s="9">
        <v>0</v>
      </c>
      <c r="H1051" s="9">
        <v>0</v>
      </c>
      <c r="I1051" s="9">
        <v>0</v>
      </c>
      <c r="J1051" s="9">
        <v>0</v>
      </c>
      <c r="K1051" s="9">
        <v>0</v>
      </c>
      <c r="L1051" s="9">
        <v>0</v>
      </c>
      <c r="M1051" s="9">
        <f>E1051+K1051-I1051-J1051-L1051</f>
        <v>0.0</v>
      </c>
    </row>
    <row r="1052" spans="1:13" ht="25" customHeight="1">
      <c r="A1052" s="3" t="s">
        <v>79</v>
      </c>
      <c r="B1052" s="4" t="s">
        <v>408</v>
      </c>
      <c r="C1052" s="4" t="s">
        <v>198</v>
      </c>
      <c r="D1052" s="24">
        <v>5</v>
      </c>
      <c r="E1052" s="10">
        <v>0</v>
      </c>
      <c r="F1052" s="26">
        <v>0.0475</v>
      </c>
      <c r="G1052" s="10">
        <v>0</v>
      </c>
      <c r="H1052" s="10">
        <v>0</v>
      </c>
      <c r="I1052" s="10">
        <v>0</v>
      </c>
      <c r="J1052" s="10">
        <v>0</v>
      </c>
      <c r="K1052" s="10">
        <v>0</v>
      </c>
      <c r="L1052" s="10">
        <v>0</v>
      </c>
      <c r="M1052" s="10">
        <f>E1052+K1052-I1052-J1052-L1052</f>
        <v>0.0</v>
      </c>
    </row>
    <row r="1053" spans="1:13" ht="25" customHeight="1">
      <c r="A1053" s="6" t="s">
        <v>79</v>
      </c>
      <c r="B1053" s="7" t="s">
        <v>408</v>
      </c>
      <c r="C1053" s="7" t="s">
        <v>394</v>
      </c>
      <c r="D1053" s="23">
        <v>5</v>
      </c>
      <c r="E1053" s="9">
        <v>0</v>
      </c>
      <c r="F1053" s="25">
        <v>0.06</v>
      </c>
      <c r="G1053" s="9">
        <v>0</v>
      </c>
      <c r="H1053" s="9">
        <v>0</v>
      </c>
      <c r="I1053" s="9">
        <v>0</v>
      </c>
      <c r="J1053" s="9">
        <v>0</v>
      </c>
      <c r="K1053" s="9">
        <v>0</v>
      </c>
      <c r="L1053" s="9">
        <v>0</v>
      </c>
      <c r="M1053" s="9">
        <f>E1053+K1053-I1053-J1053-L1053</f>
        <v>0.0</v>
      </c>
    </row>
    <row r="1054" spans="1:13" ht="25" customHeight="1">
      <c r="A1054" s="3" t="s">
        <v>79</v>
      </c>
      <c r="B1054" s="4" t="s">
        <v>408</v>
      </c>
      <c r="C1054" s="4" t="s">
        <v>395</v>
      </c>
      <c r="D1054" s="24">
        <v>5</v>
      </c>
      <c r="E1054" s="10">
        <v>0</v>
      </c>
      <c r="F1054" s="26">
        <v>0.0575</v>
      </c>
      <c r="G1054" s="10">
        <v>0</v>
      </c>
      <c r="H1054" s="10">
        <v>0</v>
      </c>
      <c r="I1054" s="10">
        <v>0</v>
      </c>
      <c r="J1054" s="10">
        <v>0</v>
      </c>
      <c r="K1054" s="10">
        <v>0</v>
      </c>
      <c r="L1054" s="10">
        <v>0</v>
      </c>
      <c r="M1054" s="10">
        <f>E1054+K1054-I1054-J1054-L1054</f>
        <v>0.0</v>
      </c>
    </row>
    <row r="1055" spans="1:13" ht="25" customHeight="1">
      <c r="A1055" s="6" t="s">
        <v>68</v>
      </c>
      <c r="B1055" s="7" t="s">
        <v>409</v>
      </c>
      <c r="C1055" s="7" t="s">
        <v>139</v>
      </c>
      <c r="D1055" s="23">
        <v>1</v>
      </c>
      <c r="E1055" s="9">
        <v>900</v>
      </c>
      <c r="F1055" s="25">
        <v>0.038</v>
      </c>
      <c r="G1055" s="9">
        <v>34.2</v>
      </c>
      <c r="H1055" s="9">
        <v>0</v>
      </c>
      <c r="I1055" s="9">
        <v>0</v>
      </c>
      <c r="J1055" s="9">
        <v>0</v>
      </c>
      <c r="K1055" s="9">
        <v>0</v>
      </c>
      <c r="L1055" s="9">
        <v>0</v>
      </c>
      <c r="M1055" s="9">
        <f>E1055+K1055-I1055-J1055-L1055</f>
        <v>900.0</v>
      </c>
    </row>
    <row r="1056" spans="1:13" ht="25" customHeight="1">
      <c r="A1056" s="3" t="s">
        <v>68</v>
      </c>
      <c r="B1056" s="4" t="s">
        <v>409</v>
      </c>
      <c r="C1056" s="4" t="s">
        <v>153</v>
      </c>
      <c r="D1056" s="24">
        <v>1</v>
      </c>
      <c r="E1056" s="10">
        <v>80</v>
      </c>
      <c r="F1056" s="26">
        <v>0.05</v>
      </c>
      <c r="G1056" s="10">
        <v>4</v>
      </c>
      <c r="H1056" s="10">
        <v>16</v>
      </c>
      <c r="I1056" s="10">
        <v>16</v>
      </c>
      <c r="J1056" s="10">
        <v>0</v>
      </c>
      <c r="K1056" s="10">
        <v>0</v>
      </c>
      <c r="L1056" s="10">
        <v>0</v>
      </c>
      <c r="M1056" s="10">
        <f>E1056+K1056-I1056-J1056-L1056</f>
        <v>64.0</v>
      </c>
    </row>
    <row r="1057" spans="1:13" ht="25" customHeight="1">
      <c r="A1057" s="6" t="s">
        <v>68</v>
      </c>
      <c r="B1057" s="7" t="s">
        <v>409</v>
      </c>
      <c r="C1057" s="7" t="s">
        <v>198</v>
      </c>
      <c r="D1057" s="23">
        <v>1</v>
      </c>
      <c r="E1057" s="9">
        <v>350</v>
      </c>
      <c r="F1057" s="25">
        <v>0.0475</v>
      </c>
      <c r="G1057" s="9">
        <v>16.625</v>
      </c>
      <c r="H1057" s="9">
        <v>0</v>
      </c>
      <c r="I1057" s="9">
        <v>0</v>
      </c>
      <c r="J1057" s="9">
        <v>0</v>
      </c>
      <c r="K1057" s="9">
        <v>0</v>
      </c>
      <c r="L1057" s="9">
        <v>0</v>
      </c>
      <c r="M1057" s="9">
        <f>E1057+K1057-I1057-J1057-L1057</f>
        <v>350.0</v>
      </c>
    </row>
    <row r="1058" spans="1:13" ht="25" customHeight="1">
      <c r="A1058" s="3" t="s">
        <v>68</v>
      </c>
      <c r="B1058" s="4" t="s">
        <v>409</v>
      </c>
      <c r="C1058" s="4" t="s">
        <v>394</v>
      </c>
      <c r="D1058" s="24">
        <v>1</v>
      </c>
      <c r="E1058" s="10">
        <v>1340.10152284264</v>
      </c>
      <c r="F1058" s="26">
        <v>0.105</v>
      </c>
      <c r="G1058" s="10">
        <v>140.7106598984772</v>
      </c>
      <c r="H1058" s="10">
        <v>26.80203045685279</v>
      </c>
      <c r="I1058" s="10">
        <v>26.80203045685279</v>
      </c>
      <c r="J1058" s="10">
        <v>0</v>
      </c>
      <c r="K1058" s="10">
        <v>0</v>
      </c>
      <c r="L1058" s="10">
        <v>0</v>
      </c>
      <c r="M1058" s="10">
        <f>E1058+K1058-I1058-J1058-L1058</f>
        <v>1313.2994923857868</v>
      </c>
    </row>
    <row r="1059" spans="1:13" ht="25" customHeight="1">
      <c r="A1059" s="6" t="s">
        <v>68</v>
      </c>
      <c r="B1059" s="7" t="s">
        <v>409</v>
      </c>
      <c r="C1059" s="7" t="s">
        <v>395</v>
      </c>
      <c r="D1059" s="23">
        <v>1</v>
      </c>
      <c r="E1059" s="9">
        <v>0</v>
      </c>
      <c r="F1059" s="25">
        <v>0.08249999999999999</v>
      </c>
      <c r="G1059" s="9">
        <v>0</v>
      </c>
      <c r="H1059" s="9">
        <v>0</v>
      </c>
      <c r="I1059" s="9">
        <v>0</v>
      </c>
      <c r="J1059" s="9">
        <v>0</v>
      </c>
      <c r="K1059" s="9">
        <v>630</v>
      </c>
      <c r="L1059" s="9">
        <v>0</v>
      </c>
      <c r="M1059" s="9">
        <f>E1059+K1059-I1059-J1059-L1059</f>
        <v>630.0</v>
      </c>
    </row>
    <row r="1060" spans="1:13" ht="25" customHeight="1">
      <c r="A1060" s="3" t="s">
        <v>68</v>
      </c>
      <c r="B1060" s="4" t="s">
        <v>409</v>
      </c>
      <c r="C1060" s="4" t="s">
        <v>139</v>
      </c>
      <c r="D1060" s="24">
        <v>2</v>
      </c>
      <c r="E1060" s="10">
        <v>900</v>
      </c>
      <c r="F1060" s="26">
        <v>0.038</v>
      </c>
      <c r="G1060" s="10">
        <v>34.2</v>
      </c>
      <c r="H1060" s="10">
        <v>0</v>
      </c>
      <c r="I1060" s="10">
        <v>0</v>
      </c>
      <c r="J1060" s="10">
        <v>0</v>
      </c>
      <c r="K1060" s="10">
        <v>0</v>
      </c>
      <c r="L1060" s="10">
        <v>0</v>
      </c>
      <c r="M1060" s="10">
        <f>E1060+K1060-I1060-J1060-L1060</f>
        <v>900.0</v>
      </c>
    </row>
    <row r="1061" spans="1:13" ht="25" customHeight="1">
      <c r="A1061" s="6" t="s">
        <v>68</v>
      </c>
      <c r="B1061" s="7" t="s">
        <v>409</v>
      </c>
      <c r="C1061" s="7" t="s">
        <v>153</v>
      </c>
      <c r="D1061" s="23">
        <v>2</v>
      </c>
      <c r="E1061" s="9">
        <v>64</v>
      </c>
      <c r="F1061" s="25">
        <v>0.05</v>
      </c>
      <c r="G1061" s="9">
        <v>3.2</v>
      </c>
      <c r="H1061" s="9">
        <v>16</v>
      </c>
      <c r="I1061" s="9">
        <v>16</v>
      </c>
      <c r="J1061" s="9">
        <v>0</v>
      </c>
      <c r="K1061" s="9">
        <v>0</v>
      </c>
      <c r="L1061" s="9">
        <v>0</v>
      </c>
      <c r="M1061" s="9">
        <f>E1061+K1061-I1061-J1061-L1061</f>
        <v>48.0</v>
      </c>
    </row>
    <row r="1062" spans="1:13" ht="25" customHeight="1">
      <c r="A1062" s="3" t="s">
        <v>68</v>
      </c>
      <c r="B1062" s="4" t="s">
        <v>409</v>
      </c>
      <c r="C1062" s="4" t="s">
        <v>198</v>
      </c>
      <c r="D1062" s="24">
        <v>2</v>
      </c>
      <c r="E1062" s="10">
        <v>350</v>
      </c>
      <c r="F1062" s="26">
        <v>0.0475</v>
      </c>
      <c r="G1062" s="10">
        <v>16.625</v>
      </c>
      <c r="H1062" s="10">
        <v>0</v>
      </c>
      <c r="I1062" s="10">
        <v>0</v>
      </c>
      <c r="J1062" s="10">
        <v>0</v>
      </c>
      <c r="K1062" s="10">
        <v>0</v>
      </c>
      <c r="L1062" s="10">
        <v>0</v>
      </c>
      <c r="M1062" s="10">
        <f>E1062+K1062-I1062-J1062-L1062</f>
        <v>350.0</v>
      </c>
    </row>
    <row r="1063" spans="1:13" ht="25" customHeight="1">
      <c r="A1063" s="6" t="s">
        <v>68</v>
      </c>
      <c r="B1063" s="7" t="s">
        <v>409</v>
      </c>
      <c r="C1063" s="7" t="s">
        <v>394</v>
      </c>
      <c r="D1063" s="23">
        <v>2</v>
      </c>
      <c r="E1063" s="9">
        <v>1313.299492385787</v>
      </c>
      <c r="F1063" s="25">
        <v>0.1025</v>
      </c>
      <c r="G1063" s="9">
        <v>134.6131979695431</v>
      </c>
      <c r="H1063" s="9">
        <v>26.80203045685279</v>
      </c>
      <c r="I1063" s="9">
        <v>26.80203045685279</v>
      </c>
      <c r="J1063" s="9">
        <v>0</v>
      </c>
      <c r="K1063" s="9">
        <v>0</v>
      </c>
      <c r="L1063" s="9">
        <v>0</v>
      </c>
      <c r="M1063" s="9">
        <f>E1063+K1063-I1063-J1063-L1063</f>
        <v>1286.497461928934</v>
      </c>
    </row>
    <row r="1064" spans="1:13" ht="25" customHeight="1">
      <c r="A1064" s="3" t="s">
        <v>68</v>
      </c>
      <c r="B1064" s="4" t="s">
        <v>409</v>
      </c>
      <c r="C1064" s="4" t="s">
        <v>395</v>
      </c>
      <c r="D1064" s="24">
        <v>2</v>
      </c>
      <c r="E1064" s="10">
        <v>630</v>
      </c>
      <c r="F1064" s="26">
        <v>0.07999999999999999</v>
      </c>
      <c r="G1064" s="10">
        <v>50.39999999999999</v>
      </c>
      <c r="H1064" s="10">
        <v>0</v>
      </c>
      <c r="I1064" s="10">
        <v>0</v>
      </c>
      <c r="J1064" s="10">
        <v>0</v>
      </c>
      <c r="K1064" s="10">
        <v>0</v>
      </c>
      <c r="L1064" s="10">
        <v>0</v>
      </c>
      <c r="M1064" s="10">
        <f>E1064+K1064-I1064-J1064-L1064</f>
        <v>630.0</v>
      </c>
    </row>
    <row r="1065" spans="1:13" ht="25" customHeight="1">
      <c r="A1065" s="6" t="s">
        <v>68</v>
      </c>
      <c r="B1065" s="7" t="s">
        <v>409</v>
      </c>
      <c r="C1065" s="7" t="s">
        <v>139</v>
      </c>
      <c r="D1065" s="23">
        <v>3</v>
      </c>
      <c r="E1065" s="9">
        <v>900</v>
      </c>
      <c r="F1065" s="25">
        <v>0.038</v>
      </c>
      <c r="G1065" s="9">
        <v>34.2</v>
      </c>
      <c r="H1065" s="9">
        <v>0</v>
      </c>
      <c r="I1065" s="9">
        <v>0</v>
      </c>
      <c r="J1065" s="9">
        <v>0</v>
      </c>
      <c r="K1065" s="9">
        <v>0</v>
      </c>
      <c r="L1065" s="9">
        <v>0</v>
      </c>
      <c r="M1065" s="9">
        <f>E1065+K1065-I1065-J1065-L1065</f>
        <v>900.0</v>
      </c>
    </row>
    <row r="1066" spans="1:13" ht="25" customHeight="1">
      <c r="A1066" s="3" t="s">
        <v>68</v>
      </c>
      <c r="B1066" s="4" t="s">
        <v>409</v>
      </c>
      <c r="C1066" s="4" t="s">
        <v>153</v>
      </c>
      <c r="D1066" s="24">
        <v>3</v>
      </c>
      <c r="E1066" s="10">
        <v>48</v>
      </c>
      <c r="F1066" s="26">
        <v>0.05</v>
      </c>
      <c r="G1066" s="10">
        <v>2.4</v>
      </c>
      <c r="H1066" s="10">
        <v>16</v>
      </c>
      <c r="I1066" s="10">
        <v>16</v>
      </c>
      <c r="J1066" s="10">
        <v>0</v>
      </c>
      <c r="K1066" s="10">
        <v>0</v>
      </c>
      <c r="L1066" s="10">
        <v>0</v>
      </c>
      <c r="M1066" s="10">
        <f>E1066+K1066-I1066-J1066-L1066</f>
        <v>32.0</v>
      </c>
    </row>
    <row r="1067" spans="1:13" ht="25" customHeight="1">
      <c r="A1067" s="6" t="s">
        <v>68</v>
      </c>
      <c r="B1067" s="7" t="s">
        <v>409</v>
      </c>
      <c r="C1067" s="7" t="s">
        <v>198</v>
      </c>
      <c r="D1067" s="23">
        <v>3</v>
      </c>
      <c r="E1067" s="9">
        <v>350</v>
      </c>
      <c r="F1067" s="25">
        <v>0.0475</v>
      </c>
      <c r="G1067" s="9">
        <v>16.625</v>
      </c>
      <c r="H1067" s="9">
        <v>350</v>
      </c>
      <c r="I1067" s="9">
        <v>168.6278081103854</v>
      </c>
      <c r="J1067" s="9">
        <v>0</v>
      </c>
      <c r="K1067" s="9">
        <v>0</v>
      </c>
      <c r="L1067" s="9">
        <v>0</v>
      </c>
      <c r="M1067" s="9">
        <f>E1067+K1067-I1067-J1067-L1067</f>
        <v>181.3721918896146</v>
      </c>
    </row>
    <row r="1068" spans="1:13" ht="25" customHeight="1">
      <c r="A1068" s="3" t="s">
        <v>68</v>
      </c>
      <c r="B1068" s="4" t="s">
        <v>409</v>
      </c>
      <c r="C1068" s="4" t="s">
        <v>394</v>
      </c>
      <c r="D1068" s="24">
        <v>3</v>
      </c>
      <c r="E1068" s="10">
        <v>1286.497461928934</v>
      </c>
      <c r="F1068" s="26">
        <v>0.1</v>
      </c>
      <c r="G1068" s="10">
        <v>128.6497461928934</v>
      </c>
      <c r="H1068" s="10">
        <v>26.80203045685279</v>
      </c>
      <c r="I1068" s="10">
        <v>0</v>
      </c>
      <c r="J1068" s="10">
        <v>0</v>
      </c>
      <c r="K1068" s="10">
        <v>0</v>
      </c>
      <c r="L1068" s="10">
        <v>0</v>
      </c>
      <c r="M1068" s="10">
        <f>E1068+K1068-I1068-J1068-L1068</f>
        <v>1286.497461928934</v>
      </c>
    </row>
    <row r="1069" spans="1:13" ht="25" customHeight="1">
      <c r="A1069" s="6" t="s">
        <v>68</v>
      </c>
      <c r="B1069" s="7" t="s">
        <v>409</v>
      </c>
      <c r="C1069" s="7" t="s">
        <v>395</v>
      </c>
      <c r="D1069" s="23">
        <v>3</v>
      </c>
      <c r="E1069" s="9">
        <v>630</v>
      </c>
      <c r="F1069" s="25">
        <v>0.07750000000000001</v>
      </c>
      <c r="G1069" s="9">
        <v>48.82500000000001</v>
      </c>
      <c r="H1069" s="9">
        <v>0</v>
      </c>
      <c r="I1069" s="9">
        <v>0</v>
      </c>
      <c r="J1069" s="9">
        <v>0</v>
      </c>
      <c r="K1069" s="9">
        <v>0</v>
      </c>
      <c r="L1069" s="9">
        <v>0</v>
      </c>
      <c r="M1069" s="9">
        <f>E1069+K1069-I1069-J1069-L1069</f>
        <v>630.0</v>
      </c>
    </row>
    <row r="1070" spans="1:13" ht="25" customHeight="1">
      <c r="A1070" s="3" t="s">
        <v>68</v>
      </c>
      <c r="B1070" s="4" t="s">
        <v>409</v>
      </c>
      <c r="C1070" s="4" t="s">
        <v>139</v>
      </c>
      <c r="D1070" s="24">
        <v>4</v>
      </c>
      <c r="E1070" s="10">
        <v>900</v>
      </c>
      <c r="F1070" s="26">
        <v>0.038</v>
      </c>
      <c r="G1070" s="10">
        <v>34.2</v>
      </c>
      <c r="H1070" s="10">
        <v>900</v>
      </c>
      <c r="I1070" s="10">
        <v>0</v>
      </c>
      <c r="J1070" s="10">
        <v>0</v>
      </c>
      <c r="K1070" s="10">
        <v>0</v>
      </c>
      <c r="L1070" s="10">
        <v>0</v>
      </c>
      <c r="M1070" s="10">
        <f>E1070+K1070-I1070-J1070-L1070</f>
        <v>900.0</v>
      </c>
    </row>
    <row r="1071" spans="1:13" ht="25" customHeight="1">
      <c r="A1071" s="6" t="s">
        <v>68</v>
      </c>
      <c r="B1071" s="7" t="s">
        <v>409</v>
      </c>
      <c r="C1071" s="7" t="s">
        <v>153</v>
      </c>
      <c r="D1071" s="23">
        <v>4</v>
      </c>
      <c r="E1071" s="9">
        <v>32</v>
      </c>
      <c r="F1071" s="25">
        <v>0.05</v>
      </c>
      <c r="G1071" s="9">
        <v>1.6</v>
      </c>
      <c r="H1071" s="9">
        <v>16</v>
      </c>
      <c r="I1071" s="9">
        <v>0</v>
      </c>
      <c r="J1071" s="9">
        <v>0</v>
      </c>
      <c r="K1071" s="9">
        <v>0</v>
      </c>
      <c r="L1071" s="9">
        <v>0</v>
      </c>
      <c r="M1071" s="9">
        <f>E1071+K1071-I1071-J1071-L1071</f>
        <v>32.0</v>
      </c>
    </row>
    <row r="1072" spans="1:13" ht="25" customHeight="1">
      <c r="A1072" s="3" t="s">
        <v>68</v>
      </c>
      <c r="B1072" s="4" t="s">
        <v>409</v>
      </c>
      <c r="C1072" s="4" t="s">
        <v>198</v>
      </c>
      <c r="D1072" s="24">
        <v>4</v>
      </c>
      <c r="E1072" s="10">
        <v>181.3721918896146</v>
      </c>
      <c r="F1072" s="26">
        <v>0.0475</v>
      </c>
      <c r="G1072" s="10">
        <v>8.615179114756694</v>
      </c>
      <c r="H1072" s="10">
        <v>181.3721918896146</v>
      </c>
      <c r="I1072" s="10">
        <v>0</v>
      </c>
      <c r="J1072" s="10">
        <v>0</v>
      </c>
      <c r="K1072" s="10">
        <v>0</v>
      </c>
      <c r="L1072" s="10">
        <v>0</v>
      </c>
      <c r="M1072" s="10">
        <f>E1072+K1072-I1072-J1072-L1072</f>
        <v>181.3721918896146</v>
      </c>
    </row>
    <row r="1073" spans="1:13" ht="25" customHeight="1">
      <c r="A1073" s="6" t="s">
        <v>68</v>
      </c>
      <c r="B1073" s="7" t="s">
        <v>409</v>
      </c>
      <c r="C1073" s="7" t="s">
        <v>394</v>
      </c>
      <c r="D1073" s="23">
        <v>4</v>
      </c>
      <c r="E1073" s="9">
        <v>1286.497461928934</v>
      </c>
      <c r="F1073" s="25">
        <v>0.1</v>
      </c>
      <c r="G1073" s="9">
        <v>128.6497461928934</v>
      </c>
      <c r="H1073" s="9">
        <v>26.80203045685279</v>
      </c>
      <c r="I1073" s="9">
        <v>0</v>
      </c>
      <c r="J1073" s="9">
        <v>0</v>
      </c>
      <c r="K1073" s="9">
        <v>0</v>
      </c>
      <c r="L1073" s="9">
        <v>0</v>
      </c>
      <c r="M1073" s="9">
        <f>E1073+K1073-I1073-J1073-L1073</f>
        <v>1286.497461928934</v>
      </c>
    </row>
    <row r="1074" spans="1:13" ht="25" customHeight="1">
      <c r="A1074" s="3" t="s">
        <v>68</v>
      </c>
      <c r="B1074" s="4" t="s">
        <v>409</v>
      </c>
      <c r="C1074" s="4" t="s">
        <v>395</v>
      </c>
      <c r="D1074" s="24">
        <v>4</v>
      </c>
      <c r="E1074" s="10">
        <v>630</v>
      </c>
      <c r="F1074" s="26">
        <v>0.07750000000000001</v>
      </c>
      <c r="G1074" s="10">
        <v>48.82500000000001</v>
      </c>
      <c r="H1074" s="10">
        <v>0</v>
      </c>
      <c r="I1074" s="10">
        <v>0</v>
      </c>
      <c r="J1074" s="10">
        <v>0</v>
      </c>
      <c r="K1074" s="10">
        <v>0</v>
      </c>
      <c r="L1074" s="10">
        <v>0</v>
      </c>
      <c r="M1074" s="10">
        <f>E1074+K1074-I1074-J1074-L1074</f>
        <v>630.0</v>
      </c>
    </row>
    <row r="1075" spans="1:13" ht="25" customHeight="1">
      <c r="A1075" s="6" t="s">
        <v>68</v>
      </c>
      <c r="B1075" s="7" t="s">
        <v>409</v>
      </c>
      <c r="C1075" s="7" t="s">
        <v>139</v>
      </c>
      <c r="D1075" s="23">
        <v>5</v>
      </c>
      <c r="E1075" s="9">
        <v>900</v>
      </c>
      <c r="F1075" s="25">
        <v>0.038</v>
      </c>
      <c r="G1075" s="9">
        <v>34.2</v>
      </c>
      <c r="H1075" s="9">
        <v>900</v>
      </c>
      <c r="I1075" s="9">
        <v>0</v>
      </c>
      <c r="J1075" s="9">
        <v>0</v>
      </c>
      <c r="K1075" s="9">
        <v>0</v>
      </c>
      <c r="L1075" s="9">
        <v>0</v>
      </c>
      <c r="M1075" s="9">
        <f>E1075+K1075-I1075-J1075-L1075</f>
        <v>900.0</v>
      </c>
    </row>
    <row r="1076" spans="1:13" ht="25" customHeight="1">
      <c r="A1076" s="3" t="s">
        <v>68</v>
      </c>
      <c r="B1076" s="4" t="s">
        <v>409</v>
      </c>
      <c r="C1076" s="4" t="s">
        <v>153</v>
      </c>
      <c r="D1076" s="24">
        <v>5</v>
      </c>
      <c r="E1076" s="10">
        <v>32</v>
      </c>
      <c r="F1076" s="26">
        <v>0.05</v>
      </c>
      <c r="G1076" s="10">
        <v>1.6</v>
      </c>
      <c r="H1076" s="10">
        <v>32</v>
      </c>
      <c r="I1076" s="10">
        <v>0</v>
      </c>
      <c r="J1076" s="10">
        <v>0</v>
      </c>
      <c r="K1076" s="10">
        <v>0</v>
      </c>
      <c r="L1076" s="10">
        <v>0</v>
      </c>
      <c r="M1076" s="10">
        <f>E1076+K1076-I1076-J1076-L1076</f>
        <v>32.0</v>
      </c>
    </row>
    <row r="1077" spans="1:13" ht="25" customHeight="1">
      <c r="A1077" s="6" t="s">
        <v>68</v>
      </c>
      <c r="B1077" s="7" t="s">
        <v>409</v>
      </c>
      <c r="C1077" s="7" t="s">
        <v>198</v>
      </c>
      <c r="D1077" s="23">
        <v>5</v>
      </c>
      <c r="E1077" s="9">
        <v>181.3721918896146</v>
      </c>
      <c r="F1077" s="25">
        <v>0.0475</v>
      </c>
      <c r="G1077" s="9">
        <v>8.615179114756694</v>
      </c>
      <c r="H1077" s="9">
        <v>181.3721918896146</v>
      </c>
      <c r="I1077" s="9">
        <v>0</v>
      </c>
      <c r="J1077" s="9">
        <v>0</v>
      </c>
      <c r="K1077" s="9">
        <v>0</v>
      </c>
      <c r="L1077" s="9">
        <v>0</v>
      </c>
      <c r="M1077" s="9">
        <f>E1077+K1077-I1077-J1077-L1077</f>
        <v>181.3721918896146</v>
      </c>
    </row>
    <row r="1078" spans="1:13" ht="25" customHeight="1">
      <c r="A1078" s="3" t="s">
        <v>68</v>
      </c>
      <c r="B1078" s="4" t="s">
        <v>409</v>
      </c>
      <c r="C1078" s="4" t="s">
        <v>394</v>
      </c>
      <c r="D1078" s="24">
        <v>5</v>
      </c>
      <c r="E1078" s="10">
        <v>1286.497461928934</v>
      </c>
      <c r="F1078" s="26">
        <v>0.1</v>
      </c>
      <c r="G1078" s="10">
        <v>128.6497461928934</v>
      </c>
      <c r="H1078" s="10">
        <v>1286.497461928934</v>
      </c>
      <c r="I1078" s="10">
        <v>0</v>
      </c>
      <c r="J1078" s="10">
        <v>0</v>
      </c>
      <c r="K1078" s="10">
        <v>0</v>
      </c>
      <c r="L1078" s="10">
        <v>0</v>
      </c>
      <c r="M1078" s="10">
        <f>E1078+K1078-I1078-J1078-L1078</f>
        <v>1286.497461928934</v>
      </c>
    </row>
    <row r="1079" spans="1:13" ht="25" customHeight="1">
      <c r="A1079" s="6" t="s">
        <v>68</v>
      </c>
      <c r="B1079" s="7" t="s">
        <v>409</v>
      </c>
      <c r="C1079" s="7" t="s">
        <v>395</v>
      </c>
      <c r="D1079" s="23">
        <v>5</v>
      </c>
      <c r="E1079" s="9">
        <v>630</v>
      </c>
      <c r="F1079" s="25">
        <v>0.07750000000000001</v>
      </c>
      <c r="G1079" s="9">
        <v>48.82500000000001</v>
      </c>
      <c r="H1079" s="9">
        <v>630</v>
      </c>
      <c r="I1079" s="9">
        <v>0</v>
      </c>
      <c r="J1079" s="9">
        <v>0</v>
      </c>
      <c r="K1079" s="9">
        <v>0</v>
      </c>
      <c r="L1079" s="9">
        <v>0</v>
      </c>
      <c r="M1079" s="9">
        <f>E1079+K1079-I1079-J1079-L1079</f>
        <v>630.0</v>
      </c>
    </row>
    <row r="1080" spans="1:13" ht="25" customHeight="1">
      <c r="A1080" s="3" t="s">
        <v>78</v>
      </c>
      <c r="B1080" s="4" t="s">
        <v>409</v>
      </c>
      <c r="C1080" s="4" t="s">
        <v>139</v>
      </c>
      <c r="D1080" s="24">
        <v>1</v>
      </c>
      <c r="E1080" s="10">
        <v>900</v>
      </c>
      <c r="F1080" s="26">
        <v>0.038</v>
      </c>
      <c r="G1080" s="10">
        <v>34.2</v>
      </c>
      <c r="H1080" s="10">
        <v>0</v>
      </c>
      <c r="I1080" s="10">
        <v>0</v>
      </c>
      <c r="J1080" s="10">
        <v>0</v>
      </c>
      <c r="K1080" s="10">
        <v>0</v>
      </c>
      <c r="L1080" s="10">
        <v>0</v>
      </c>
      <c r="M1080" s="10">
        <f>E1080+K1080-I1080-J1080-L1080</f>
        <v>900.0</v>
      </c>
    </row>
    <row r="1081" spans="1:13" ht="25" customHeight="1">
      <c r="A1081" s="6" t="s">
        <v>78</v>
      </c>
      <c r="B1081" s="7" t="s">
        <v>409</v>
      </c>
      <c r="C1081" s="7" t="s">
        <v>153</v>
      </c>
      <c r="D1081" s="23">
        <v>1</v>
      </c>
      <c r="E1081" s="9">
        <v>80</v>
      </c>
      <c r="F1081" s="25">
        <v>0.05</v>
      </c>
      <c r="G1081" s="9">
        <v>4</v>
      </c>
      <c r="H1081" s="9">
        <v>16</v>
      </c>
      <c r="I1081" s="9">
        <v>16</v>
      </c>
      <c r="J1081" s="9">
        <v>0</v>
      </c>
      <c r="K1081" s="9">
        <v>0</v>
      </c>
      <c r="L1081" s="9">
        <v>0</v>
      </c>
      <c r="M1081" s="9">
        <f>E1081+K1081-I1081-J1081-L1081</f>
        <v>64.0</v>
      </c>
    </row>
    <row r="1082" spans="1:13" ht="25" customHeight="1">
      <c r="A1082" s="3" t="s">
        <v>78</v>
      </c>
      <c r="B1082" s="4" t="s">
        <v>409</v>
      </c>
      <c r="C1082" s="4" t="s">
        <v>198</v>
      </c>
      <c r="D1082" s="24">
        <v>1</v>
      </c>
      <c r="E1082" s="10">
        <v>350</v>
      </c>
      <c r="F1082" s="26">
        <v>0.0475</v>
      </c>
      <c r="G1082" s="10">
        <v>16.625</v>
      </c>
      <c r="H1082" s="10">
        <v>0</v>
      </c>
      <c r="I1082" s="10">
        <v>0</v>
      </c>
      <c r="J1082" s="10">
        <v>0</v>
      </c>
      <c r="K1082" s="10">
        <v>0</v>
      </c>
      <c r="L1082" s="10">
        <v>0</v>
      </c>
      <c r="M1082" s="10">
        <f>E1082+K1082-I1082-J1082-L1082</f>
        <v>350.0</v>
      </c>
    </row>
    <row r="1083" spans="1:13" ht="25" customHeight="1">
      <c r="A1083" s="6" t="s">
        <v>78</v>
      </c>
      <c r="B1083" s="7" t="s">
        <v>409</v>
      </c>
      <c r="C1083" s="7" t="s">
        <v>394</v>
      </c>
      <c r="D1083" s="23">
        <v>1</v>
      </c>
      <c r="E1083" s="9">
        <v>2223.350253807107</v>
      </c>
      <c r="F1083" s="25">
        <v>0.105</v>
      </c>
      <c r="G1083" s="9">
        <v>233.4517766497462</v>
      </c>
      <c r="H1083" s="9">
        <v>44.46700507614213</v>
      </c>
      <c r="I1083" s="9">
        <v>44.46700507614213</v>
      </c>
      <c r="J1083" s="9">
        <v>45.59697065572482</v>
      </c>
      <c r="K1083" s="9">
        <v>0</v>
      </c>
      <c r="L1083" s="9">
        <v>0</v>
      </c>
      <c r="M1083" s="9">
        <f>E1083+K1083-I1083-J1083-L1083</f>
        <v>2133.28627807524</v>
      </c>
    </row>
    <row r="1084" spans="1:13" ht="25" customHeight="1">
      <c r="A1084" s="3" t="s">
        <v>78</v>
      </c>
      <c r="B1084" s="4" t="s">
        <v>409</v>
      </c>
      <c r="C1084" s="4" t="s">
        <v>395</v>
      </c>
      <c r="D1084" s="24">
        <v>1</v>
      </c>
      <c r="E1084" s="10">
        <v>0</v>
      </c>
      <c r="F1084" s="26">
        <v>0.08249999999999999</v>
      </c>
      <c r="G1084" s="10">
        <v>0</v>
      </c>
      <c r="H1084" s="10">
        <v>0</v>
      </c>
      <c r="I1084" s="10">
        <v>0</v>
      </c>
      <c r="J1084" s="10">
        <v>0</v>
      </c>
      <c r="K1084" s="10">
        <v>0</v>
      </c>
      <c r="L1084" s="10">
        <v>0</v>
      </c>
      <c r="M1084" s="10">
        <f>E1084+K1084-I1084-J1084-L1084</f>
        <v>0.0</v>
      </c>
    </row>
    <row r="1085" spans="1:13" ht="25" customHeight="1">
      <c r="A1085" s="6" t="s">
        <v>78</v>
      </c>
      <c r="B1085" s="7" t="s">
        <v>409</v>
      </c>
      <c r="C1085" s="7" t="s">
        <v>139</v>
      </c>
      <c r="D1085" s="23">
        <v>2</v>
      </c>
      <c r="E1085" s="9">
        <v>900</v>
      </c>
      <c r="F1085" s="25">
        <v>0.038</v>
      </c>
      <c r="G1085" s="9">
        <v>34.2</v>
      </c>
      <c r="H1085" s="9">
        <v>0</v>
      </c>
      <c r="I1085" s="9">
        <v>0</v>
      </c>
      <c r="J1085" s="9">
        <v>0</v>
      </c>
      <c r="K1085" s="9">
        <v>0</v>
      </c>
      <c r="L1085" s="9">
        <v>0</v>
      </c>
      <c r="M1085" s="9">
        <f>E1085+K1085-I1085-J1085-L1085</f>
        <v>900.0</v>
      </c>
    </row>
    <row r="1086" spans="1:13" ht="25" customHeight="1">
      <c r="A1086" s="3" t="s">
        <v>78</v>
      </c>
      <c r="B1086" s="4" t="s">
        <v>409</v>
      </c>
      <c r="C1086" s="4" t="s">
        <v>153</v>
      </c>
      <c r="D1086" s="24">
        <v>2</v>
      </c>
      <c r="E1086" s="10">
        <v>64</v>
      </c>
      <c r="F1086" s="26">
        <v>0.05</v>
      </c>
      <c r="G1086" s="10">
        <v>3.2</v>
      </c>
      <c r="H1086" s="10">
        <v>16</v>
      </c>
      <c r="I1086" s="10">
        <v>16</v>
      </c>
      <c r="J1086" s="10">
        <v>0</v>
      </c>
      <c r="K1086" s="10">
        <v>0</v>
      </c>
      <c r="L1086" s="10">
        <v>0</v>
      </c>
      <c r="M1086" s="10">
        <f>E1086+K1086-I1086-J1086-L1086</f>
        <v>48.0</v>
      </c>
    </row>
    <row r="1087" spans="1:13" ht="25" customHeight="1">
      <c r="A1087" s="6" t="s">
        <v>78</v>
      </c>
      <c r="B1087" s="7" t="s">
        <v>409</v>
      </c>
      <c r="C1087" s="7" t="s">
        <v>198</v>
      </c>
      <c r="D1087" s="23">
        <v>2</v>
      </c>
      <c r="E1087" s="9">
        <v>350</v>
      </c>
      <c r="F1087" s="25">
        <v>0.0475</v>
      </c>
      <c r="G1087" s="9">
        <v>16.625</v>
      </c>
      <c r="H1087" s="9">
        <v>0</v>
      </c>
      <c r="I1087" s="9">
        <v>0</v>
      </c>
      <c r="J1087" s="9">
        <v>0</v>
      </c>
      <c r="K1087" s="9">
        <v>0</v>
      </c>
      <c r="L1087" s="9">
        <v>0</v>
      </c>
      <c r="M1087" s="9">
        <f>E1087+K1087-I1087-J1087-L1087</f>
        <v>350.0</v>
      </c>
    </row>
    <row r="1088" spans="1:13" ht="25" customHeight="1">
      <c r="A1088" s="3" t="s">
        <v>78</v>
      </c>
      <c r="B1088" s="4" t="s">
        <v>409</v>
      </c>
      <c r="C1088" s="4" t="s">
        <v>394</v>
      </c>
      <c r="D1088" s="24">
        <v>2</v>
      </c>
      <c r="E1088" s="10">
        <v>2133.28627807524</v>
      </c>
      <c r="F1088" s="26">
        <v>0.1025</v>
      </c>
      <c r="G1088" s="10">
        <v>218.6618435027121</v>
      </c>
      <c r="H1088" s="10">
        <v>44.46700507614213</v>
      </c>
      <c r="I1088" s="10">
        <v>44.46700507614213</v>
      </c>
      <c r="J1088" s="10">
        <v>0</v>
      </c>
      <c r="K1088" s="10">
        <v>0</v>
      </c>
      <c r="L1088" s="10">
        <v>0</v>
      </c>
      <c r="M1088" s="10">
        <f>E1088+K1088-I1088-J1088-L1088</f>
        <v>2088.819272999098</v>
      </c>
    </row>
    <row r="1089" spans="1:13" ht="25" customHeight="1">
      <c r="A1089" s="6" t="s">
        <v>78</v>
      </c>
      <c r="B1089" s="7" t="s">
        <v>409</v>
      </c>
      <c r="C1089" s="7" t="s">
        <v>395</v>
      </c>
      <c r="D1089" s="23">
        <v>2</v>
      </c>
      <c r="E1089" s="9">
        <v>0</v>
      </c>
      <c r="F1089" s="25">
        <v>0.07999999999999999</v>
      </c>
      <c r="G1089" s="9">
        <v>0</v>
      </c>
      <c r="H1089" s="9">
        <v>0</v>
      </c>
      <c r="I1089" s="9">
        <v>0</v>
      </c>
      <c r="J1089" s="9">
        <v>0</v>
      </c>
      <c r="K1089" s="9">
        <v>323.3208864189291</v>
      </c>
      <c r="L1089" s="9">
        <v>0</v>
      </c>
      <c r="M1089" s="9">
        <f>E1089+K1089-I1089-J1089-L1089</f>
        <v>323.3208864189291</v>
      </c>
    </row>
    <row r="1090" spans="1:13" ht="25" customHeight="1">
      <c r="A1090" s="3" t="s">
        <v>78</v>
      </c>
      <c r="B1090" s="4" t="s">
        <v>409</v>
      </c>
      <c r="C1090" s="4" t="s">
        <v>139</v>
      </c>
      <c r="D1090" s="24">
        <v>3</v>
      </c>
      <c r="E1090" s="10">
        <v>900</v>
      </c>
      <c r="F1090" s="26">
        <v>0.038</v>
      </c>
      <c r="G1090" s="10">
        <v>34.2</v>
      </c>
      <c r="H1090" s="10">
        <v>0</v>
      </c>
      <c r="I1090" s="10">
        <v>0</v>
      </c>
      <c r="J1090" s="10">
        <v>0</v>
      </c>
      <c r="K1090" s="10">
        <v>0</v>
      </c>
      <c r="L1090" s="10">
        <v>0</v>
      </c>
      <c r="M1090" s="10">
        <f>E1090+K1090-I1090-J1090-L1090</f>
        <v>900.0</v>
      </c>
    </row>
    <row r="1091" spans="1:13" ht="25" customHeight="1">
      <c r="A1091" s="6" t="s">
        <v>78</v>
      </c>
      <c r="B1091" s="7" t="s">
        <v>409</v>
      </c>
      <c r="C1091" s="7" t="s">
        <v>153</v>
      </c>
      <c r="D1091" s="23">
        <v>3</v>
      </c>
      <c r="E1091" s="9">
        <v>48</v>
      </c>
      <c r="F1091" s="25">
        <v>0.05</v>
      </c>
      <c r="G1091" s="9">
        <v>2.4</v>
      </c>
      <c r="H1091" s="9">
        <v>16</v>
      </c>
      <c r="I1091" s="9">
        <v>16</v>
      </c>
      <c r="J1091" s="9">
        <v>0</v>
      </c>
      <c r="K1091" s="9">
        <v>0</v>
      </c>
      <c r="L1091" s="9">
        <v>0</v>
      </c>
      <c r="M1091" s="9">
        <f>E1091+K1091-I1091-J1091-L1091</f>
        <v>32.0</v>
      </c>
    </row>
    <row r="1092" spans="1:13" ht="25" customHeight="1">
      <c r="A1092" s="3" t="s">
        <v>78</v>
      </c>
      <c r="B1092" s="4" t="s">
        <v>409</v>
      </c>
      <c r="C1092" s="4" t="s">
        <v>198</v>
      </c>
      <c r="D1092" s="24">
        <v>3</v>
      </c>
      <c r="E1092" s="10">
        <v>350</v>
      </c>
      <c r="F1092" s="26">
        <v>0.0475</v>
      </c>
      <c r="G1092" s="10">
        <v>16.625</v>
      </c>
      <c r="H1092" s="10">
        <v>350</v>
      </c>
      <c r="I1092" s="10">
        <v>350</v>
      </c>
      <c r="J1092" s="10">
        <v>0</v>
      </c>
      <c r="K1092" s="10">
        <v>0</v>
      </c>
      <c r="L1092" s="10">
        <v>0</v>
      </c>
      <c r="M1092" s="10">
        <f>E1092+K1092-I1092-J1092-L1092</f>
        <v>0.0</v>
      </c>
    </row>
    <row r="1093" spans="1:13" ht="25" customHeight="1">
      <c r="A1093" s="6" t="s">
        <v>78</v>
      </c>
      <c r="B1093" s="7" t="s">
        <v>409</v>
      </c>
      <c r="C1093" s="7" t="s">
        <v>394</v>
      </c>
      <c r="D1093" s="23">
        <v>3</v>
      </c>
      <c r="E1093" s="9">
        <v>2088.819272999098</v>
      </c>
      <c r="F1093" s="25">
        <v>0.1</v>
      </c>
      <c r="G1093" s="9">
        <v>208.8819272999098</v>
      </c>
      <c r="H1093" s="9">
        <v>44.46700507614213</v>
      </c>
      <c r="I1093" s="9">
        <v>44.46700507614213</v>
      </c>
      <c r="J1093" s="9">
        <v>0</v>
      </c>
      <c r="K1093" s="9">
        <v>0</v>
      </c>
      <c r="L1093" s="9">
        <v>0</v>
      </c>
      <c r="M1093" s="9">
        <f>E1093+K1093-I1093-J1093-L1093</f>
        <v>2044.3522679229557</v>
      </c>
    </row>
    <row r="1094" spans="1:13" ht="25" customHeight="1">
      <c r="A1094" s="3" t="s">
        <v>78</v>
      </c>
      <c r="B1094" s="4" t="s">
        <v>409</v>
      </c>
      <c r="C1094" s="4" t="s">
        <v>395</v>
      </c>
      <c r="D1094" s="24">
        <v>3</v>
      </c>
      <c r="E1094" s="10">
        <v>323.3208864189291</v>
      </c>
      <c r="F1094" s="26">
        <v>0.07750000000000001</v>
      </c>
      <c r="G1094" s="10">
        <v>25.05736869746701</v>
      </c>
      <c r="H1094" s="10">
        <v>0</v>
      </c>
      <c r="I1094" s="10">
        <v>0</v>
      </c>
      <c r="J1094" s="10">
        <v>0</v>
      </c>
      <c r="K1094" s="10">
        <v>306.6791135810709</v>
      </c>
      <c r="L1094" s="10">
        <v>0</v>
      </c>
      <c r="M1094" s="10">
        <f>E1094+K1094-I1094-J1094-L1094</f>
        <v>630.0</v>
      </c>
    </row>
    <row r="1095" spans="1:13" ht="25" customHeight="1">
      <c r="A1095" s="6" t="s">
        <v>78</v>
      </c>
      <c r="B1095" s="7" t="s">
        <v>409</v>
      </c>
      <c r="C1095" s="7" t="s">
        <v>139</v>
      </c>
      <c r="D1095" s="23">
        <v>4</v>
      </c>
      <c r="E1095" s="9">
        <v>900</v>
      </c>
      <c r="F1095" s="25">
        <v>0.038</v>
      </c>
      <c r="G1095" s="9">
        <v>34.2</v>
      </c>
      <c r="H1095" s="9">
        <v>900</v>
      </c>
      <c r="I1095" s="9">
        <v>238.666107709538</v>
      </c>
      <c r="J1095" s="9">
        <v>0</v>
      </c>
      <c r="K1095" s="9">
        <v>0</v>
      </c>
      <c r="L1095" s="9">
        <v>0</v>
      </c>
      <c r="M1095" s="9">
        <f>E1095+K1095-I1095-J1095-L1095</f>
        <v>661.333892290462</v>
      </c>
    </row>
    <row r="1096" spans="1:13" ht="25" customHeight="1">
      <c r="A1096" s="3" t="s">
        <v>78</v>
      </c>
      <c r="B1096" s="4" t="s">
        <v>409</v>
      </c>
      <c r="C1096" s="4" t="s">
        <v>153</v>
      </c>
      <c r="D1096" s="24">
        <v>4</v>
      </c>
      <c r="E1096" s="10">
        <v>32</v>
      </c>
      <c r="F1096" s="26">
        <v>0.05</v>
      </c>
      <c r="G1096" s="10">
        <v>1.6</v>
      </c>
      <c r="H1096" s="10">
        <v>16</v>
      </c>
      <c r="I1096" s="10">
        <v>0</v>
      </c>
      <c r="J1096" s="10">
        <v>0</v>
      </c>
      <c r="K1096" s="10">
        <v>0</v>
      </c>
      <c r="L1096" s="10">
        <v>0</v>
      </c>
      <c r="M1096" s="10">
        <f>E1096+K1096-I1096-J1096-L1096</f>
        <v>32.0</v>
      </c>
    </row>
    <row r="1097" spans="1:13" ht="25" customHeight="1">
      <c r="A1097" s="6" t="s">
        <v>78</v>
      </c>
      <c r="B1097" s="7" t="s">
        <v>409</v>
      </c>
      <c r="C1097" s="7" t="s">
        <v>198</v>
      </c>
      <c r="D1097" s="23">
        <v>4</v>
      </c>
      <c r="E1097" s="9">
        <v>0</v>
      </c>
      <c r="F1097" s="25">
        <v>0.0475</v>
      </c>
      <c r="G1097" s="9">
        <v>0</v>
      </c>
      <c r="H1097" s="9">
        <v>0</v>
      </c>
      <c r="I1097" s="9">
        <v>0</v>
      </c>
      <c r="J1097" s="9">
        <v>0</v>
      </c>
      <c r="K1097" s="9">
        <v>0</v>
      </c>
      <c r="L1097" s="9">
        <v>0</v>
      </c>
      <c r="M1097" s="9">
        <f>E1097+K1097-I1097-J1097-L1097</f>
        <v>0.0</v>
      </c>
    </row>
    <row r="1098" spans="1:13" ht="25" customHeight="1">
      <c r="A1098" s="3" t="s">
        <v>78</v>
      </c>
      <c r="B1098" s="4" t="s">
        <v>409</v>
      </c>
      <c r="C1098" s="4" t="s">
        <v>394</v>
      </c>
      <c r="D1098" s="24">
        <v>4</v>
      </c>
      <c r="E1098" s="10">
        <v>2044.352267922956</v>
      </c>
      <c r="F1098" s="26">
        <v>0.1</v>
      </c>
      <c r="G1098" s="10">
        <v>204.4352267922956</v>
      </c>
      <c r="H1098" s="10">
        <v>44.46700507614213</v>
      </c>
      <c r="I1098" s="10">
        <v>0</v>
      </c>
      <c r="J1098" s="10">
        <v>0</v>
      </c>
      <c r="K1098" s="10">
        <v>0</v>
      </c>
      <c r="L1098" s="10">
        <v>0</v>
      </c>
      <c r="M1098" s="10">
        <f>E1098+K1098-I1098-J1098-L1098</f>
        <v>2044.3522679229557</v>
      </c>
    </row>
    <row r="1099" spans="1:13" ht="25" customHeight="1">
      <c r="A1099" s="6" t="s">
        <v>78</v>
      </c>
      <c r="B1099" s="7" t="s">
        <v>409</v>
      </c>
      <c r="C1099" s="7" t="s">
        <v>395</v>
      </c>
      <c r="D1099" s="23">
        <v>4</v>
      </c>
      <c r="E1099" s="9">
        <v>630</v>
      </c>
      <c r="F1099" s="25">
        <v>0.07750000000000001</v>
      </c>
      <c r="G1099" s="9">
        <v>48.82500000000001</v>
      </c>
      <c r="H1099" s="9">
        <v>0</v>
      </c>
      <c r="I1099" s="9">
        <v>0</v>
      </c>
      <c r="J1099" s="9">
        <v>0</v>
      </c>
      <c r="K1099" s="9">
        <v>0</v>
      </c>
      <c r="L1099" s="9">
        <v>0</v>
      </c>
      <c r="M1099" s="9">
        <f>E1099+K1099-I1099-J1099-L1099</f>
        <v>630.0</v>
      </c>
    </row>
    <row r="1100" spans="1:13" ht="25" customHeight="1">
      <c r="A1100" s="3" t="s">
        <v>78</v>
      </c>
      <c r="B1100" s="4" t="s">
        <v>409</v>
      </c>
      <c r="C1100" s="4" t="s">
        <v>139</v>
      </c>
      <c r="D1100" s="24">
        <v>5</v>
      </c>
      <c r="E1100" s="10">
        <v>661.333892290462</v>
      </c>
      <c r="F1100" s="26">
        <v>0.038</v>
      </c>
      <c r="G1100" s="10">
        <v>25.13068790703755</v>
      </c>
      <c r="H1100" s="10">
        <v>661.333892290462</v>
      </c>
      <c r="I1100" s="10">
        <v>0</v>
      </c>
      <c r="J1100" s="10">
        <v>0</v>
      </c>
      <c r="K1100" s="10">
        <v>0</v>
      </c>
      <c r="L1100" s="10">
        <v>0</v>
      </c>
      <c r="M1100" s="10">
        <f>E1100+K1100-I1100-J1100-L1100</f>
        <v>661.333892290462</v>
      </c>
    </row>
    <row r="1101" spans="1:13" ht="25" customHeight="1">
      <c r="A1101" s="6" t="s">
        <v>78</v>
      </c>
      <c r="B1101" s="7" t="s">
        <v>409</v>
      </c>
      <c r="C1101" s="7" t="s">
        <v>153</v>
      </c>
      <c r="D1101" s="23">
        <v>5</v>
      </c>
      <c r="E1101" s="9">
        <v>32</v>
      </c>
      <c r="F1101" s="25">
        <v>0.05</v>
      </c>
      <c r="G1101" s="9">
        <v>1.6</v>
      </c>
      <c r="H1101" s="9">
        <v>32</v>
      </c>
      <c r="I1101" s="9">
        <v>0</v>
      </c>
      <c r="J1101" s="9">
        <v>0</v>
      </c>
      <c r="K1101" s="9">
        <v>0</v>
      </c>
      <c r="L1101" s="9">
        <v>0</v>
      </c>
      <c r="M1101" s="9">
        <f>E1101+K1101-I1101-J1101-L1101</f>
        <v>32.0</v>
      </c>
    </row>
    <row r="1102" spans="1:13" ht="25" customHeight="1">
      <c r="A1102" s="3" t="s">
        <v>78</v>
      </c>
      <c r="B1102" s="4" t="s">
        <v>409</v>
      </c>
      <c r="C1102" s="4" t="s">
        <v>198</v>
      </c>
      <c r="D1102" s="24">
        <v>5</v>
      </c>
      <c r="E1102" s="10">
        <v>0</v>
      </c>
      <c r="F1102" s="26">
        <v>0.0475</v>
      </c>
      <c r="G1102" s="10">
        <v>0</v>
      </c>
      <c r="H1102" s="10">
        <v>0</v>
      </c>
      <c r="I1102" s="10">
        <v>0</v>
      </c>
      <c r="J1102" s="10">
        <v>0</v>
      </c>
      <c r="K1102" s="10">
        <v>0</v>
      </c>
      <c r="L1102" s="10">
        <v>0</v>
      </c>
      <c r="M1102" s="10">
        <f>E1102+K1102-I1102-J1102-L1102</f>
        <v>0.0</v>
      </c>
    </row>
    <row r="1103" spans="1:13" ht="25" customHeight="1">
      <c r="A1103" s="6" t="s">
        <v>78</v>
      </c>
      <c r="B1103" s="7" t="s">
        <v>409</v>
      </c>
      <c r="C1103" s="7" t="s">
        <v>394</v>
      </c>
      <c r="D1103" s="23">
        <v>5</v>
      </c>
      <c r="E1103" s="9">
        <v>2044.352267922956</v>
      </c>
      <c r="F1103" s="25">
        <v>0.1</v>
      </c>
      <c r="G1103" s="9">
        <v>204.4352267922956</v>
      </c>
      <c r="H1103" s="9">
        <v>2044.352267922956</v>
      </c>
      <c r="I1103" s="9">
        <v>0</v>
      </c>
      <c r="J1103" s="9">
        <v>0</v>
      </c>
      <c r="K1103" s="9">
        <v>0</v>
      </c>
      <c r="L1103" s="9">
        <v>0</v>
      </c>
      <c r="M1103" s="9">
        <f>E1103+K1103-I1103-J1103-L1103</f>
        <v>2044.3522679229557</v>
      </c>
    </row>
    <row r="1104" spans="1:13" ht="25" customHeight="1">
      <c r="A1104" s="3" t="s">
        <v>78</v>
      </c>
      <c r="B1104" s="4" t="s">
        <v>409</v>
      </c>
      <c r="C1104" s="4" t="s">
        <v>395</v>
      </c>
      <c r="D1104" s="24">
        <v>5</v>
      </c>
      <c r="E1104" s="10">
        <v>630</v>
      </c>
      <c r="F1104" s="26">
        <v>0.07750000000000001</v>
      </c>
      <c r="G1104" s="10">
        <v>48.82500000000001</v>
      </c>
      <c r="H1104" s="10">
        <v>630</v>
      </c>
      <c r="I1104" s="10">
        <v>0</v>
      </c>
      <c r="J1104" s="10">
        <v>0</v>
      </c>
      <c r="K1104" s="10">
        <v>0</v>
      </c>
      <c r="L1104" s="10">
        <v>0</v>
      </c>
      <c r="M1104" s="10">
        <f>E1104+K1104-I1104-J1104-L1104</f>
        <v>630.0</v>
      </c>
    </row>
    <row r="1105" spans="1:13" ht="25" customHeight="1">
      <c r="A1105" s="6" t="s">
        <v>79</v>
      </c>
      <c r="B1105" s="7" t="s">
        <v>409</v>
      </c>
      <c r="C1105" s="7" t="s">
        <v>139</v>
      </c>
      <c r="D1105" s="23">
        <v>1</v>
      </c>
      <c r="E1105" s="9">
        <v>900</v>
      </c>
      <c r="F1105" s="25">
        <v>0.038</v>
      </c>
      <c r="G1105" s="9">
        <v>34.2</v>
      </c>
      <c r="H1105" s="9">
        <v>0</v>
      </c>
      <c r="I1105" s="9">
        <v>0</v>
      </c>
      <c r="J1105" s="9">
        <v>0</v>
      </c>
      <c r="K1105" s="9">
        <v>0</v>
      </c>
      <c r="L1105" s="9">
        <v>0</v>
      </c>
      <c r="M1105" s="9">
        <f>E1105+K1105-I1105-J1105-L1105</f>
        <v>900.0</v>
      </c>
    </row>
    <row r="1106" spans="1:13" ht="25" customHeight="1">
      <c r="A1106" s="3" t="s">
        <v>79</v>
      </c>
      <c r="B1106" s="4" t="s">
        <v>409</v>
      </c>
      <c r="C1106" s="4" t="s">
        <v>153</v>
      </c>
      <c r="D1106" s="24">
        <v>1</v>
      </c>
      <c r="E1106" s="10">
        <v>80</v>
      </c>
      <c r="F1106" s="26">
        <v>0.05</v>
      </c>
      <c r="G1106" s="10">
        <v>4</v>
      </c>
      <c r="H1106" s="10">
        <v>16</v>
      </c>
      <c r="I1106" s="10">
        <v>16</v>
      </c>
      <c r="J1106" s="10">
        <v>0</v>
      </c>
      <c r="K1106" s="10">
        <v>0</v>
      </c>
      <c r="L1106" s="10">
        <v>0</v>
      </c>
      <c r="M1106" s="10">
        <f>E1106+K1106-I1106-J1106-L1106</f>
        <v>64.0</v>
      </c>
    </row>
    <row r="1107" spans="1:13" ht="25" customHeight="1">
      <c r="A1107" s="6" t="s">
        <v>79</v>
      </c>
      <c r="B1107" s="7" t="s">
        <v>409</v>
      </c>
      <c r="C1107" s="7" t="s">
        <v>198</v>
      </c>
      <c r="D1107" s="23">
        <v>1</v>
      </c>
      <c r="E1107" s="9">
        <v>350</v>
      </c>
      <c r="F1107" s="25">
        <v>0.0475</v>
      </c>
      <c r="G1107" s="9">
        <v>16.625</v>
      </c>
      <c r="H1107" s="9">
        <v>0</v>
      </c>
      <c r="I1107" s="9">
        <v>0</v>
      </c>
      <c r="J1107" s="9">
        <v>0</v>
      </c>
      <c r="K1107" s="9">
        <v>0</v>
      </c>
      <c r="L1107" s="9">
        <v>0</v>
      </c>
      <c r="M1107" s="9">
        <f>E1107+K1107-I1107-J1107-L1107</f>
        <v>350.0</v>
      </c>
    </row>
    <row r="1108" spans="1:13" ht="25" customHeight="1">
      <c r="A1108" s="3" t="s">
        <v>79</v>
      </c>
      <c r="B1108" s="4" t="s">
        <v>409</v>
      </c>
      <c r="C1108" s="4" t="s">
        <v>394</v>
      </c>
      <c r="D1108" s="24">
        <v>1</v>
      </c>
      <c r="E1108" s="10">
        <v>304.5685279187817</v>
      </c>
      <c r="F1108" s="26">
        <v>0.105</v>
      </c>
      <c r="G1108" s="10">
        <v>31.97969543147208</v>
      </c>
      <c r="H1108" s="10">
        <v>6.091370558375635</v>
      </c>
      <c r="I1108" s="10">
        <v>6.091370558375635</v>
      </c>
      <c r="J1108" s="10">
        <v>0</v>
      </c>
      <c r="K1108" s="10">
        <v>0</v>
      </c>
      <c r="L1108" s="10">
        <v>0</v>
      </c>
      <c r="M1108" s="10">
        <f>E1108+K1108-I1108-J1108-L1108</f>
        <v>298.4771573604061</v>
      </c>
    </row>
    <row r="1109" spans="1:13" ht="25" customHeight="1">
      <c r="A1109" s="6" t="s">
        <v>79</v>
      </c>
      <c r="B1109" s="7" t="s">
        <v>409</v>
      </c>
      <c r="C1109" s="7" t="s">
        <v>395</v>
      </c>
      <c r="D1109" s="23">
        <v>1</v>
      </c>
      <c r="E1109" s="9">
        <v>0</v>
      </c>
      <c r="F1109" s="25">
        <v>0.08249999999999999</v>
      </c>
      <c r="G1109" s="9">
        <v>0</v>
      </c>
      <c r="H1109" s="9">
        <v>0</v>
      </c>
      <c r="I1109" s="9">
        <v>0</v>
      </c>
      <c r="J1109" s="9">
        <v>0</v>
      </c>
      <c r="K1109" s="9">
        <v>630</v>
      </c>
      <c r="L1109" s="9">
        <v>0</v>
      </c>
      <c r="M1109" s="9">
        <f>E1109+K1109-I1109-J1109-L1109</f>
        <v>630.0</v>
      </c>
    </row>
    <row r="1110" spans="1:13" ht="25" customHeight="1">
      <c r="A1110" s="3" t="s">
        <v>79</v>
      </c>
      <c r="B1110" s="4" t="s">
        <v>409</v>
      </c>
      <c r="C1110" s="4" t="s">
        <v>139</v>
      </c>
      <c r="D1110" s="24">
        <v>2</v>
      </c>
      <c r="E1110" s="10">
        <v>900</v>
      </c>
      <c r="F1110" s="26">
        <v>0.038</v>
      </c>
      <c r="G1110" s="10">
        <v>34.2</v>
      </c>
      <c r="H1110" s="10">
        <v>0</v>
      </c>
      <c r="I1110" s="10">
        <v>0</v>
      </c>
      <c r="J1110" s="10">
        <v>0</v>
      </c>
      <c r="K1110" s="10">
        <v>0</v>
      </c>
      <c r="L1110" s="10">
        <v>0</v>
      </c>
      <c r="M1110" s="10">
        <f>E1110+K1110-I1110-J1110-L1110</f>
        <v>900.0</v>
      </c>
    </row>
    <row r="1111" spans="1:13" ht="25" customHeight="1">
      <c r="A1111" s="6" t="s">
        <v>79</v>
      </c>
      <c r="B1111" s="7" t="s">
        <v>409</v>
      </c>
      <c r="C1111" s="7" t="s">
        <v>153</v>
      </c>
      <c r="D1111" s="23">
        <v>2</v>
      </c>
      <c r="E1111" s="9">
        <v>64</v>
      </c>
      <c r="F1111" s="25">
        <v>0.05</v>
      </c>
      <c r="G1111" s="9">
        <v>3.2</v>
      </c>
      <c r="H1111" s="9">
        <v>16</v>
      </c>
      <c r="I1111" s="9">
        <v>16</v>
      </c>
      <c r="J1111" s="9">
        <v>0</v>
      </c>
      <c r="K1111" s="9">
        <v>0</v>
      </c>
      <c r="L1111" s="9">
        <v>0</v>
      </c>
      <c r="M1111" s="9">
        <f>E1111+K1111-I1111-J1111-L1111</f>
        <v>48.0</v>
      </c>
    </row>
    <row r="1112" spans="1:13" ht="25" customHeight="1">
      <c r="A1112" s="3" t="s">
        <v>79</v>
      </c>
      <c r="B1112" s="4" t="s">
        <v>409</v>
      </c>
      <c r="C1112" s="4" t="s">
        <v>198</v>
      </c>
      <c r="D1112" s="24">
        <v>2</v>
      </c>
      <c r="E1112" s="10">
        <v>350</v>
      </c>
      <c r="F1112" s="26">
        <v>0.0475</v>
      </c>
      <c r="G1112" s="10">
        <v>16.625</v>
      </c>
      <c r="H1112" s="10">
        <v>0</v>
      </c>
      <c r="I1112" s="10">
        <v>0</v>
      </c>
      <c r="J1112" s="10">
        <v>0</v>
      </c>
      <c r="K1112" s="10">
        <v>0</v>
      </c>
      <c r="L1112" s="10">
        <v>0</v>
      </c>
      <c r="M1112" s="10">
        <f>E1112+K1112-I1112-J1112-L1112</f>
        <v>350.0</v>
      </c>
    </row>
    <row r="1113" spans="1:13" ht="25" customHeight="1">
      <c r="A1113" s="6" t="s">
        <v>79</v>
      </c>
      <c r="B1113" s="7" t="s">
        <v>409</v>
      </c>
      <c r="C1113" s="7" t="s">
        <v>394</v>
      </c>
      <c r="D1113" s="23">
        <v>2</v>
      </c>
      <c r="E1113" s="9">
        <v>298.4771573604061</v>
      </c>
      <c r="F1113" s="25">
        <v>0.1025</v>
      </c>
      <c r="G1113" s="9">
        <v>30.59390862944162</v>
      </c>
      <c r="H1113" s="9">
        <v>6.091370558375635</v>
      </c>
      <c r="I1113" s="9">
        <v>6.091370558375635</v>
      </c>
      <c r="J1113" s="9">
        <v>0</v>
      </c>
      <c r="K1113" s="9">
        <v>0</v>
      </c>
      <c r="L1113" s="9">
        <v>0</v>
      </c>
      <c r="M1113" s="9">
        <f>E1113+K1113-I1113-J1113-L1113</f>
        <v>292.3857868020305</v>
      </c>
    </row>
    <row r="1114" spans="1:13" ht="25" customHeight="1">
      <c r="A1114" s="3" t="s">
        <v>79</v>
      </c>
      <c r="B1114" s="4" t="s">
        <v>409</v>
      </c>
      <c r="C1114" s="4" t="s">
        <v>395</v>
      </c>
      <c r="D1114" s="24">
        <v>2</v>
      </c>
      <c r="E1114" s="10">
        <v>630</v>
      </c>
      <c r="F1114" s="26">
        <v>0.07999999999999999</v>
      </c>
      <c r="G1114" s="10">
        <v>50.39999999999999</v>
      </c>
      <c r="H1114" s="10">
        <v>0</v>
      </c>
      <c r="I1114" s="10">
        <v>0</v>
      </c>
      <c r="J1114" s="10">
        <v>0</v>
      </c>
      <c r="K1114" s="10">
        <v>0</v>
      </c>
      <c r="L1114" s="10">
        <v>0</v>
      </c>
      <c r="M1114" s="10">
        <f>E1114+K1114-I1114-J1114-L1114</f>
        <v>630.0</v>
      </c>
    </row>
    <row r="1115" spans="1:13" ht="25" customHeight="1">
      <c r="A1115" s="6" t="s">
        <v>79</v>
      </c>
      <c r="B1115" s="7" t="s">
        <v>409</v>
      </c>
      <c r="C1115" s="7" t="s">
        <v>139</v>
      </c>
      <c r="D1115" s="23">
        <v>3</v>
      </c>
      <c r="E1115" s="9">
        <v>900</v>
      </c>
      <c r="F1115" s="25">
        <v>0.038</v>
      </c>
      <c r="G1115" s="9">
        <v>34.2</v>
      </c>
      <c r="H1115" s="9">
        <v>0</v>
      </c>
      <c r="I1115" s="9">
        <v>0</v>
      </c>
      <c r="J1115" s="9">
        <v>0</v>
      </c>
      <c r="K1115" s="9">
        <v>0</v>
      </c>
      <c r="L1115" s="9">
        <v>0</v>
      </c>
      <c r="M1115" s="9">
        <f>E1115+K1115-I1115-J1115-L1115</f>
        <v>900.0</v>
      </c>
    </row>
    <row r="1116" spans="1:13" ht="25" customHeight="1">
      <c r="A1116" s="3" t="s">
        <v>79</v>
      </c>
      <c r="B1116" s="4" t="s">
        <v>409</v>
      </c>
      <c r="C1116" s="4" t="s">
        <v>153</v>
      </c>
      <c r="D1116" s="24">
        <v>3</v>
      </c>
      <c r="E1116" s="10">
        <v>48</v>
      </c>
      <c r="F1116" s="26">
        <v>0.05</v>
      </c>
      <c r="G1116" s="10">
        <v>2.4</v>
      </c>
      <c r="H1116" s="10">
        <v>16</v>
      </c>
      <c r="I1116" s="10">
        <v>16</v>
      </c>
      <c r="J1116" s="10">
        <v>0</v>
      </c>
      <c r="K1116" s="10">
        <v>0</v>
      </c>
      <c r="L1116" s="10">
        <v>0</v>
      </c>
      <c r="M1116" s="10">
        <f>E1116+K1116-I1116-J1116-L1116</f>
        <v>32.0</v>
      </c>
    </row>
    <row r="1117" spans="1:13" ht="25" customHeight="1">
      <c r="A1117" s="6" t="s">
        <v>79</v>
      </c>
      <c r="B1117" s="7" t="s">
        <v>409</v>
      </c>
      <c r="C1117" s="7" t="s">
        <v>198</v>
      </c>
      <c r="D1117" s="23">
        <v>3</v>
      </c>
      <c r="E1117" s="9">
        <v>350</v>
      </c>
      <c r="F1117" s="25">
        <v>0.0475</v>
      </c>
      <c r="G1117" s="9">
        <v>16.625</v>
      </c>
      <c r="H1117" s="9">
        <v>350</v>
      </c>
      <c r="I1117" s="9">
        <v>350</v>
      </c>
      <c r="J1117" s="9">
        <v>0</v>
      </c>
      <c r="K1117" s="9">
        <v>0</v>
      </c>
      <c r="L1117" s="9">
        <v>0</v>
      </c>
      <c r="M1117" s="9">
        <f>E1117+K1117-I1117-J1117-L1117</f>
        <v>0.0</v>
      </c>
    </row>
    <row r="1118" spans="1:13" ht="25" customHeight="1">
      <c r="A1118" s="3" t="s">
        <v>79</v>
      </c>
      <c r="B1118" s="4" t="s">
        <v>409</v>
      </c>
      <c r="C1118" s="4" t="s">
        <v>394</v>
      </c>
      <c r="D1118" s="24">
        <v>3</v>
      </c>
      <c r="E1118" s="10">
        <v>292.3857868020305</v>
      </c>
      <c r="F1118" s="26">
        <v>0.1</v>
      </c>
      <c r="G1118" s="10">
        <v>29.23857868020306</v>
      </c>
      <c r="H1118" s="10">
        <v>6.091370558375635</v>
      </c>
      <c r="I1118" s="10">
        <v>6.091370558375635</v>
      </c>
      <c r="J1118" s="10">
        <v>0</v>
      </c>
      <c r="K1118" s="10">
        <v>0</v>
      </c>
      <c r="L1118" s="10">
        <v>0</v>
      </c>
      <c r="M1118" s="10">
        <f>E1118+K1118-I1118-J1118-L1118</f>
        <v>286.2944162436549</v>
      </c>
    </row>
    <row r="1119" spans="1:13" ht="25" customHeight="1">
      <c r="A1119" s="6" t="s">
        <v>79</v>
      </c>
      <c r="B1119" s="7" t="s">
        <v>409</v>
      </c>
      <c r="C1119" s="7" t="s">
        <v>395</v>
      </c>
      <c r="D1119" s="23">
        <v>3</v>
      </c>
      <c r="E1119" s="9">
        <v>630</v>
      </c>
      <c r="F1119" s="25">
        <v>0.07750000000000001</v>
      </c>
      <c r="G1119" s="9">
        <v>48.82500000000001</v>
      </c>
      <c r="H1119" s="9">
        <v>0</v>
      </c>
      <c r="I1119" s="9">
        <v>0</v>
      </c>
      <c r="J1119" s="9">
        <v>0</v>
      </c>
      <c r="K1119" s="9">
        <v>0</v>
      </c>
      <c r="L1119" s="9">
        <v>0</v>
      </c>
      <c r="M1119" s="9">
        <f>E1119+K1119-I1119-J1119-L1119</f>
        <v>630.0</v>
      </c>
    </row>
    <row r="1120" spans="1:13" ht="25" customHeight="1">
      <c r="A1120" s="3" t="s">
        <v>79</v>
      </c>
      <c r="B1120" s="4" t="s">
        <v>409</v>
      </c>
      <c r="C1120" s="4" t="s">
        <v>139</v>
      </c>
      <c r="D1120" s="24">
        <v>4</v>
      </c>
      <c r="E1120" s="10">
        <v>900</v>
      </c>
      <c r="F1120" s="26">
        <v>0.038</v>
      </c>
      <c r="G1120" s="10">
        <v>34.2</v>
      </c>
      <c r="H1120" s="10">
        <v>900</v>
      </c>
      <c r="I1120" s="10">
        <v>32.506120851049</v>
      </c>
      <c r="J1120" s="10">
        <v>0</v>
      </c>
      <c r="K1120" s="10">
        <v>0</v>
      </c>
      <c r="L1120" s="10">
        <v>0</v>
      </c>
      <c r="M1120" s="10">
        <f>E1120+K1120-I1120-J1120-L1120</f>
        <v>867.493879148951</v>
      </c>
    </row>
    <row r="1121" spans="1:13" ht="25" customHeight="1">
      <c r="A1121" s="6" t="s">
        <v>79</v>
      </c>
      <c r="B1121" s="7" t="s">
        <v>409</v>
      </c>
      <c r="C1121" s="7" t="s">
        <v>153</v>
      </c>
      <c r="D1121" s="23">
        <v>4</v>
      </c>
      <c r="E1121" s="9">
        <v>32</v>
      </c>
      <c r="F1121" s="25">
        <v>0.05</v>
      </c>
      <c r="G1121" s="9">
        <v>1.6</v>
      </c>
      <c r="H1121" s="9">
        <v>16</v>
      </c>
      <c r="I1121" s="9">
        <v>0</v>
      </c>
      <c r="J1121" s="9">
        <v>0</v>
      </c>
      <c r="K1121" s="9">
        <v>0</v>
      </c>
      <c r="L1121" s="9">
        <v>0</v>
      </c>
      <c r="M1121" s="9">
        <f>E1121+K1121-I1121-J1121-L1121</f>
        <v>32.0</v>
      </c>
    </row>
    <row r="1122" spans="1:13" ht="25" customHeight="1">
      <c r="A1122" s="3" t="s">
        <v>79</v>
      </c>
      <c r="B1122" s="4" t="s">
        <v>409</v>
      </c>
      <c r="C1122" s="4" t="s">
        <v>198</v>
      </c>
      <c r="D1122" s="24">
        <v>4</v>
      </c>
      <c r="E1122" s="10">
        <v>0</v>
      </c>
      <c r="F1122" s="26">
        <v>0.0475</v>
      </c>
      <c r="G1122" s="10">
        <v>0</v>
      </c>
      <c r="H1122" s="10">
        <v>0</v>
      </c>
      <c r="I1122" s="10">
        <v>0</v>
      </c>
      <c r="J1122" s="10">
        <v>0</v>
      </c>
      <c r="K1122" s="10">
        <v>0</v>
      </c>
      <c r="L1122" s="10">
        <v>0</v>
      </c>
      <c r="M1122" s="10">
        <f>E1122+K1122-I1122-J1122-L1122</f>
        <v>0.0</v>
      </c>
    </row>
    <row r="1123" spans="1:13" ht="25" customHeight="1">
      <c r="A1123" s="6" t="s">
        <v>79</v>
      </c>
      <c r="B1123" s="7" t="s">
        <v>409</v>
      </c>
      <c r="C1123" s="7" t="s">
        <v>394</v>
      </c>
      <c r="D1123" s="23">
        <v>4</v>
      </c>
      <c r="E1123" s="9">
        <v>286.2944162436549</v>
      </c>
      <c r="F1123" s="25">
        <v>0.1</v>
      </c>
      <c r="G1123" s="9">
        <v>28.62944162436549</v>
      </c>
      <c r="H1123" s="9">
        <v>6.091370558375635</v>
      </c>
      <c r="I1123" s="9">
        <v>0</v>
      </c>
      <c r="J1123" s="9">
        <v>0</v>
      </c>
      <c r="K1123" s="9">
        <v>0</v>
      </c>
      <c r="L1123" s="9">
        <v>0</v>
      </c>
      <c r="M1123" s="9">
        <f>E1123+K1123-I1123-J1123-L1123</f>
        <v>286.2944162436549</v>
      </c>
    </row>
    <row r="1124" spans="1:13" ht="25" customHeight="1">
      <c r="A1124" s="3" t="s">
        <v>79</v>
      </c>
      <c r="B1124" s="4" t="s">
        <v>409</v>
      </c>
      <c r="C1124" s="4" t="s">
        <v>395</v>
      </c>
      <c r="D1124" s="24">
        <v>4</v>
      </c>
      <c r="E1124" s="10">
        <v>630</v>
      </c>
      <c r="F1124" s="26">
        <v>0.07750000000000001</v>
      </c>
      <c r="G1124" s="10">
        <v>48.82500000000001</v>
      </c>
      <c r="H1124" s="10">
        <v>0</v>
      </c>
      <c r="I1124" s="10">
        <v>0</v>
      </c>
      <c r="J1124" s="10">
        <v>0</v>
      </c>
      <c r="K1124" s="10">
        <v>0</v>
      </c>
      <c r="L1124" s="10">
        <v>0</v>
      </c>
      <c r="M1124" s="10">
        <f>E1124+K1124-I1124-J1124-L1124</f>
        <v>630.0</v>
      </c>
    </row>
    <row r="1125" spans="1:13" ht="25" customHeight="1">
      <c r="A1125" s="6" t="s">
        <v>79</v>
      </c>
      <c r="B1125" s="7" t="s">
        <v>409</v>
      </c>
      <c r="C1125" s="7" t="s">
        <v>139</v>
      </c>
      <c r="D1125" s="23">
        <v>5</v>
      </c>
      <c r="E1125" s="9">
        <v>867.493879148951</v>
      </c>
      <c r="F1125" s="25">
        <v>0.038</v>
      </c>
      <c r="G1125" s="9">
        <v>32.96476740766014</v>
      </c>
      <c r="H1125" s="9">
        <v>867.493879148951</v>
      </c>
      <c r="I1125" s="9">
        <v>0</v>
      </c>
      <c r="J1125" s="9">
        <v>0</v>
      </c>
      <c r="K1125" s="9">
        <v>0</v>
      </c>
      <c r="L1125" s="9">
        <v>0</v>
      </c>
      <c r="M1125" s="9">
        <f>E1125+K1125-I1125-J1125-L1125</f>
        <v>867.493879148951</v>
      </c>
    </row>
    <row r="1126" spans="1:13" ht="25" customHeight="1">
      <c r="A1126" s="3" t="s">
        <v>79</v>
      </c>
      <c r="B1126" s="4" t="s">
        <v>409</v>
      </c>
      <c r="C1126" s="4" t="s">
        <v>153</v>
      </c>
      <c r="D1126" s="24">
        <v>5</v>
      </c>
      <c r="E1126" s="10">
        <v>32</v>
      </c>
      <c r="F1126" s="26">
        <v>0.05</v>
      </c>
      <c r="G1126" s="10">
        <v>1.6</v>
      </c>
      <c r="H1126" s="10">
        <v>32</v>
      </c>
      <c r="I1126" s="10">
        <v>0</v>
      </c>
      <c r="J1126" s="10">
        <v>0</v>
      </c>
      <c r="K1126" s="10">
        <v>0</v>
      </c>
      <c r="L1126" s="10">
        <v>0</v>
      </c>
      <c r="M1126" s="10">
        <f>E1126+K1126-I1126-J1126-L1126</f>
        <v>32.0</v>
      </c>
    </row>
    <row r="1127" spans="1:13" ht="25" customHeight="1">
      <c r="A1127" s="6" t="s">
        <v>79</v>
      </c>
      <c r="B1127" s="7" t="s">
        <v>409</v>
      </c>
      <c r="C1127" s="7" t="s">
        <v>198</v>
      </c>
      <c r="D1127" s="23">
        <v>5</v>
      </c>
      <c r="E1127" s="9">
        <v>0</v>
      </c>
      <c r="F1127" s="25">
        <v>0.0475</v>
      </c>
      <c r="G1127" s="9">
        <v>0</v>
      </c>
      <c r="H1127" s="9">
        <v>0</v>
      </c>
      <c r="I1127" s="9">
        <v>0</v>
      </c>
      <c r="J1127" s="9">
        <v>0</v>
      </c>
      <c r="K1127" s="9">
        <v>0</v>
      </c>
      <c r="L1127" s="9">
        <v>0</v>
      </c>
      <c r="M1127" s="9">
        <f>E1127+K1127-I1127-J1127-L1127</f>
        <v>0.0</v>
      </c>
    </row>
    <row r="1128" spans="1:13" ht="25" customHeight="1">
      <c r="A1128" s="3" t="s">
        <v>79</v>
      </c>
      <c r="B1128" s="4" t="s">
        <v>409</v>
      </c>
      <c r="C1128" s="4" t="s">
        <v>394</v>
      </c>
      <c r="D1128" s="24">
        <v>5</v>
      </c>
      <c r="E1128" s="10">
        <v>286.2944162436549</v>
      </c>
      <c r="F1128" s="26">
        <v>0.1</v>
      </c>
      <c r="G1128" s="10">
        <v>28.62944162436549</v>
      </c>
      <c r="H1128" s="10">
        <v>286.2944162436549</v>
      </c>
      <c r="I1128" s="10">
        <v>0</v>
      </c>
      <c r="J1128" s="10">
        <v>0</v>
      </c>
      <c r="K1128" s="10">
        <v>0</v>
      </c>
      <c r="L1128" s="10">
        <v>0</v>
      </c>
      <c r="M1128" s="10">
        <f>E1128+K1128-I1128-J1128-L1128</f>
        <v>286.2944162436549</v>
      </c>
    </row>
    <row r="1129" spans="1:13" ht="25" customHeight="1">
      <c r="A1129" s="6" t="s">
        <v>79</v>
      </c>
      <c r="B1129" s="7" t="s">
        <v>409</v>
      </c>
      <c r="C1129" s="7" t="s">
        <v>395</v>
      </c>
      <c r="D1129" s="23">
        <v>5</v>
      </c>
      <c r="E1129" s="9">
        <v>630</v>
      </c>
      <c r="F1129" s="25">
        <v>0.07750000000000001</v>
      </c>
      <c r="G1129" s="9">
        <v>48.82500000000001</v>
      </c>
      <c r="H1129" s="9">
        <v>630</v>
      </c>
      <c r="I1129" s="9">
        <v>0</v>
      </c>
      <c r="J1129" s="9">
        <v>0</v>
      </c>
      <c r="K1129" s="9">
        <v>0</v>
      </c>
      <c r="L1129" s="9">
        <v>0</v>
      </c>
      <c r="M1129" s="9">
        <f>E1129+K1129-I1129-J1129-L1129</f>
        <v>630.0</v>
      </c>
    </row>
    <row r="1130" spans="1:13" ht="25" customHeight="1">
      <c r="A1130" s="3" t="s">
        <v>68</v>
      </c>
      <c r="B1130" s="4" t="s">
        <v>410</v>
      </c>
      <c r="C1130" s="4" t="s">
        <v>139</v>
      </c>
      <c r="D1130" s="24">
        <v>1</v>
      </c>
      <c r="E1130" s="10">
        <v>900</v>
      </c>
      <c r="F1130" s="26">
        <v>0.038</v>
      </c>
      <c r="G1130" s="10">
        <v>34.2</v>
      </c>
      <c r="H1130" s="10">
        <v>0</v>
      </c>
      <c r="I1130" s="10">
        <v>0</v>
      </c>
      <c r="J1130" s="10">
        <v>0</v>
      </c>
      <c r="K1130" s="10">
        <v>0</v>
      </c>
      <c r="L1130" s="10">
        <v>0</v>
      </c>
      <c r="M1130" s="10">
        <f>E1130+K1130-I1130-J1130-L1130</f>
        <v>900.0</v>
      </c>
    </row>
    <row r="1131" spans="1:13" ht="25" customHeight="1">
      <c r="A1131" s="6" t="s">
        <v>68</v>
      </c>
      <c r="B1131" s="7" t="s">
        <v>410</v>
      </c>
      <c r="C1131" s="7" t="s">
        <v>153</v>
      </c>
      <c r="D1131" s="23">
        <v>1</v>
      </c>
      <c r="E1131" s="9">
        <v>80</v>
      </c>
      <c r="F1131" s="25">
        <v>0.05</v>
      </c>
      <c r="G1131" s="9">
        <v>4</v>
      </c>
      <c r="H1131" s="9">
        <v>16</v>
      </c>
      <c r="I1131" s="9">
        <v>16</v>
      </c>
      <c r="J1131" s="9">
        <v>0</v>
      </c>
      <c r="K1131" s="9">
        <v>0</v>
      </c>
      <c r="L1131" s="9">
        <v>0</v>
      </c>
      <c r="M1131" s="9">
        <f>E1131+K1131-I1131-J1131-L1131</f>
        <v>64.0</v>
      </c>
    </row>
    <row r="1132" spans="1:13" ht="25" customHeight="1">
      <c r="A1132" s="3" t="s">
        <v>68</v>
      </c>
      <c r="B1132" s="4" t="s">
        <v>410</v>
      </c>
      <c r="C1132" s="4" t="s">
        <v>198</v>
      </c>
      <c r="D1132" s="24">
        <v>1</v>
      </c>
      <c r="E1132" s="10">
        <v>350</v>
      </c>
      <c r="F1132" s="26">
        <v>0.0475</v>
      </c>
      <c r="G1132" s="10">
        <v>16.625</v>
      </c>
      <c r="H1132" s="10">
        <v>0</v>
      </c>
      <c r="I1132" s="10">
        <v>0</v>
      </c>
      <c r="J1132" s="10">
        <v>0</v>
      </c>
      <c r="K1132" s="10">
        <v>0</v>
      </c>
      <c r="L1132" s="10">
        <v>0</v>
      </c>
      <c r="M1132" s="10">
        <f>E1132+K1132-I1132-J1132-L1132</f>
        <v>350.0</v>
      </c>
    </row>
    <row r="1133" spans="1:13" ht="25" customHeight="1">
      <c r="A1133" s="6" t="s">
        <v>68</v>
      </c>
      <c r="B1133" s="7" t="s">
        <v>410</v>
      </c>
      <c r="C1133" s="7" t="s">
        <v>394</v>
      </c>
      <c r="D1133" s="23">
        <v>1</v>
      </c>
      <c r="E1133" s="9">
        <v>1340.10152284264</v>
      </c>
      <c r="F1133" s="25">
        <v>0.065</v>
      </c>
      <c r="G1133" s="9">
        <v>87.10659898477158</v>
      </c>
      <c r="H1133" s="9">
        <v>26.80203045685279</v>
      </c>
      <c r="I1133" s="9">
        <v>26.80203045685279</v>
      </c>
      <c r="J1133" s="9">
        <v>258.6134826333354</v>
      </c>
      <c r="K1133" s="9">
        <v>0</v>
      </c>
      <c r="L1133" s="9">
        <v>0</v>
      </c>
      <c r="M1133" s="9">
        <f>E1133+K1133-I1133-J1133-L1133</f>
        <v>1054.6860097524514</v>
      </c>
    </row>
    <row r="1134" spans="1:13" ht="25" customHeight="1">
      <c r="A1134" s="3" t="s">
        <v>68</v>
      </c>
      <c r="B1134" s="4" t="s">
        <v>410</v>
      </c>
      <c r="C1134" s="4" t="s">
        <v>395</v>
      </c>
      <c r="D1134" s="24">
        <v>1</v>
      </c>
      <c r="E1134" s="10">
        <v>0</v>
      </c>
      <c r="F1134" s="26">
        <v>0.0625</v>
      </c>
      <c r="G1134" s="10">
        <v>0</v>
      </c>
      <c r="H1134" s="10">
        <v>0</v>
      </c>
      <c r="I1134" s="10">
        <v>0</v>
      </c>
      <c r="J1134" s="10">
        <v>0</v>
      </c>
      <c r="K1134" s="10">
        <v>0</v>
      </c>
      <c r="L1134" s="10">
        <v>0</v>
      </c>
      <c r="M1134" s="10">
        <f>E1134+K1134-I1134-J1134-L1134</f>
        <v>0.0</v>
      </c>
    </row>
    <row r="1135" spans="1:13" ht="25" customHeight="1">
      <c r="A1135" s="6" t="s">
        <v>68</v>
      </c>
      <c r="B1135" s="7" t="s">
        <v>410</v>
      </c>
      <c r="C1135" s="7" t="s">
        <v>139</v>
      </c>
      <c r="D1135" s="23">
        <v>2</v>
      </c>
      <c r="E1135" s="9">
        <v>900</v>
      </c>
      <c r="F1135" s="25">
        <v>0.038</v>
      </c>
      <c r="G1135" s="9">
        <v>34.2</v>
      </c>
      <c r="H1135" s="9">
        <v>0</v>
      </c>
      <c r="I1135" s="9">
        <v>0</v>
      </c>
      <c r="J1135" s="9">
        <v>0</v>
      </c>
      <c r="K1135" s="9">
        <v>0</v>
      </c>
      <c r="L1135" s="9">
        <v>0</v>
      </c>
      <c r="M1135" s="9">
        <f>E1135+K1135-I1135-J1135-L1135</f>
        <v>900.0</v>
      </c>
    </row>
    <row r="1136" spans="1:13" ht="25" customHeight="1">
      <c r="A1136" s="3" t="s">
        <v>68</v>
      </c>
      <c r="B1136" s="4" t="s">
        <v>410</v>
      </c>
      <c r="C1136" s="4" t="s">
        <v>153</v>
      </c>
      <c r="D1136" s="24">
        <v>2</v>
      </c>
      <c r="E1136" s="10">
        <v>64</v>
      </c>
      <c r="F1136" s="26">
        <v>0.05</v>
      </c>
      <c r="G1136" s="10">
        <v>3.2</v>
      </c>
      <c r="H1136" s="10">
        <v>16</v>
      </c>
      <c r="I1136" s="10">
        <v>16</v>
      </c>
      <c r="J1136" s="10">
        <v>0</v>
      </c>
      <c r="K1136" s="10">
        <v>0</v>
      </c>
      <c r="L1136" s="10">
        <v>0</v>
      </c>
      <c r="M1136" s="10">
        <f>E1136+K1136-I1136-J1136-L1136</f>
        <v>48.0</v>
      </c>
    </row>
    <row r="1137" spans="1:13" ht="25" customHeight="1">
      <c r="A1137" s="6" t="s">
        <v>68</v>
      </c>
      <c r="B1137" s="7" t="s">
        <v>410</v>
      </c>
      <c r="C1137" s="7" t="s">
        <v>198</v>
      </c>
      <c r="D1137" s="23">
        <v>2</v>
      </c>
      <c r="E1137" s="9">
        <v>350</v>
      </c>
      <c r="F1137" s="25">
        <v>0.0475</v>
      </c>
      <c r="G1137" s="9">
        <v>16.625</v>
      </c>
      <c r="H1137" s="9">
        <v>0</v>
      </c>
      <c r="I1137" s="9">
        <v>0</v>
      </c>
      <c r="J1137" s="9">
        <v>0</v>
      </c>
      <c r="K1137" s="9">
        <v>0</v>
      </c>
      <c r="L1137" s="9">
        <v>0</v>
      </c>
      <c r="M1137" s="9">
        <f>E1137+K1137-I1137-J1137-L1137</f>
        <v>350.0</v>
      </c>
    </row>
    <row r="1138" spans="1:13" ht="25" customHeight="1">
      <c r="A1138" s="3" t="s">
        <v>68</v>
      </c>
      <c r="B1138" s="4" t="s">
        <v>410</v>
      </c>
      <c r="C1138" s="4" t="s">
        <v>394</v>
      </c>
      <c r="D1138" s="24">
        <v>2</v>
      </c>
      <c r="E1138" s="10">
        <v>1054.686009752451</v>
      </c>
      <c r="F1138" s="26">
        <v>0.0625</v>
      </c>
      <c r="G1138" s="10">
        <v>65.91787560952821</v>
      </c>
      <c r="H1138" s="10">
        <v>26.80203045685279</v>
      </c>
      <c r="I1138" s="10">
        <v>26.80203045685279</v>
      </c>
      <c r="J1138" s="10">
        <v>350.3006304729854</v>
      </c>
      <c r="K1138" s="10">
        <v>0</v>
      </c>
      <c r="L1138" s="10">
        <v>0</v>
      </c>
      <c r="M1138" s="10">
        <f>E1138+K1138-I1138-J1138-L1138</f>
        <v>677.5833488226131</v>
      </c>
    </row>
    <row r="1139" spans="1:13" ht="25" customHeight="1">
      <c r="A1139" s="6" t="s">
        <v>68</v>
      </c>
      <c r="B1139" s="7" t="s">
        <v>410</v>
      </c>
      <c r="C1139" s="7" t="s">
        <v>395</v>
      </c>
      <c r="D1139" s="23">
        <v>2</v>
      </c>
      <c r="E1139" s="9">
        <v>0</v>
      </c>
      <c r="F1139" s="25">
        <v>0.06</v>
      </c>
      <c r="G1139" s="9">
        <v>0</v>
      </c>
      <c r="H1139" s="9">
        <v>0</v>
      </c>
      <c r="I1139" s="9">
        <v>0</v>
      </c>
      <c r="J1139" s="9">
        <v>0</v>
      </c>
      <c r="K1139" s="9">
        <v>0</v>
      </c>
      <c r="L1139" s="9">
        <v>0</v>
      </c>
      <c r="M1139" s="9">
        <f>E1139+K1139-I1139-J1139-L1139</f>
        <v>0.0</v>
      </c>
    </row>
    <row r="1140" spans="1:13" ht="25" customHeight="1">
      <c r="A1140" s="3" t="s">
        <v>68</v>
      </c>
      <c r="B1140" s="4" t="s">
        <v>410</v>
      </c>
      <c r="C1140" s="4" t="s">
        <v>139</v>
      </c>
      <c r="D1140" s="24">
        <v>3</v>
      </c>
      <c r="E1140" s="10">
        <v>900</v>
      </c>
      <c r="F1140" s="26">
        <v>0.038</v>
      </c>
      <c r="G1140" s="10">
        <v>34.2</v>
      </c>
      <c r="H1140" s="10">
        <v>0</v>
      </c>
      <c r="I1140" s="10">
        <v>0</v>
      </c>
      <c r="J1140" s="10">
        <v>0</v>
      </c>
      <c r="K1140" s="10">
        <v>0</v>
      </c>
      <c r="L1140" s="10">
        <v>0</v>
      </c>
      <c r="M1140" s="10">
        <f>E1140+K1140-I1140-J1140-L1140</f>
        <v>900.0</v>
      </c>
    </row>
    <row r="1141" spans="1:13" ht="25" customHeight="1">
      <c r="A1141" s="6" t="s">
        <v>68</v>
      </c>
      <c r="B1141" s="7" t="s">
        <v>410</v>
      </c>
      <c r="C1141" s="7" t="s">
        <v>153</v>
      </c>
      <c r="D1141" s="23">
        <v>3</v>
      </c>
      <c r="E1141" s="9">
        <v>48</v>
      </c>
      <c r="F1141" s="25">
        <v>0.05</v>
      </c>
      <c r="G1141" s="9">
        <v>2.4</v>
      </c>
      <c r="H1141" s="9">
        <v>16</v>
      </c>
      <c r="I1141" s="9">
        <v>16</v>
      </c>
      <c r="J1141" s="9">
        <v>0</v>
      </c>
      <c r="K1141" s="9">
        <v>0</v>
      </c>
      <c r="L1141" s="9">
        <v>0</v>
      </c>
      <c r="M1141" s="9">
        <f>E1141+K1141-I1141-J1141-L1141</f>
        <v>32.0</v>
      </c>
    </row>
    <row r="1142" spans="1:13" ht="25" customHeight="1">
      <c r="A1142" s="3" t="s">
        <v>68</v>
      </c>
      <c r="B1142" s="4" t="s">
        <v>410</v>
      </c>
      <c r="C1142" s="4" t="s">
        <v>198</v>
      </c>
      <c r="D1142" s="24">
        <v>3</v>
      </c>
      <c r="E1142" s="10">
        <v>350</v>
      </c>
      <c r="F1142" s="26">
        <v>0.0475</v>
      </c>
      <c r="G1142" s="10">
        <v>16.625</v>
      </c>
      <c r="H1142" s="10">
        <v>350</v>
      </c>
      <c r="I1142" s="10">
        <v>0</v>
      </c>
      <c r="J1142" s="10">
        <v>0</v>
      </c>
      <c r="K1142" s="10">
        <v>0</v>
      </c>
      <c r="L1142" s="10">
        <v>350</v>
      </c>
      <c r="M1142" s="10">
        <f>E1142+K1142-I1142-J1142-L1142</f>
        <v>0.0</v>
      </c>
    </row>
    <row r="1143" spans="1:13" ht="25" customHeight="1">
      <c r="A1143" s="6" t="s">
        <v>68</v>
      </c>
      <c r="B1143" s="7" t="s">
        <v>410</v>
      </c>
      <c r="C1143" s="7" t="s">
        <v>394</v>
      </c>
      <c r="D1143" s="23">
        <v>3</v>
      </c>
      <c r="E1143" s="9">
        <v>677.5833488226131</v>
      </c>
      <c r="F1143" s="25">
        <v>0.06</v>
      </c>
      <c r="G1143" s="9">
        <v>40.65500092935679</v>
      </c>
      <c r="H1143" s="9">
        <v>26.80203045685279</v>
      </c>
      <c r="I1143" s="9">
        <v>26.80203045685279</v>
      </c>
      <c r="J1143" s="9">
        <v>460.6007619240397</v>
      </c>
      <c r="K1143" s="9">
        <v>0</v>
      </c>
      <c r="L1143" s="9">
        <v>0</v>
      </c>
      <c r="M1143" s="9">
        <f>E1143+K1143-I1143-J1143-L1143</f>
        <v>190.18055644172057</v>
      </c>
    </row>
    <row r="1144" spans="1:13" ht="25" customHeight="1">
      <c r="A1144" s="3" t="s">
        <v>68</v>
      </c>
      <c r="B1144" s="4" t="s">
        <v>410</v>
      </c>
      <c r="C1144" s="4" t="s">
        <v>395</v>
      </c>
      <c r="D1144" s="24">
        <v>3</v>
      </c>
      <c r="E1144" s="10">
        <v>0</v>
      </c>
      <c r="F1144" s="26">
        <v>0.0575</v>
      </c>
      <c r="G1144" s="10">
        <v>0</v>
      </c>
      <c r="H1144" s="10">
        <v>0</v>
      </c>
      <c r="I1144" s="10">
        <v>0</v>
      </c>
      <c r="J1144" s="10">
        <v>0</v>
      </c>
      <c r="K1144" s="10">
        <v>0</v>
      </c>
      <c r="L1144" s="10">
        <v>0</v>
      </c>
      <c r="M1144" s="10">
        <f>E1144+K1144-I1144-J1144-L1144</f>
        <v>0.0</v>
      </c>
    </row>
    <row r="1145" spans="1:13" ht="25" customHeight="1">
      <c r="A1145" s="6" t="s">
        <v>68</v>
      </c>
      <c r="B1145" s="7" t="s">
        <v>410</v>
      </c>
      <c r="C1145" s="7" t="s">
        <v>411</v>
      </c>
      <c r="D1145" s="23">
        <v>3</v>
      </c>
      <c r="E1145" s="9">
        <v>0</v>
      </c>
      <c r="F1145" s="25">
        <v>0.06</v>
      </c>
      <c r="G1145" s="9">
        <v>0</v>
      </c>
      <c r="H1145" s="9">
        <v>0</v>
      </c>
      <c r="I1145" s="9">
        <v>0</v>
      </c>
      <c r="J1145" s="9">
        <v>0</v>
      </c>
      <c r="K1145" s="9">
        <v>350</v>
      </c>
      <c r="L1145" s="9">
        <v>0</v>
      </c>
      <c r="M1145" s="9">
        <f>E1145+K1145-I1145-J1145-L1145</f>
        <v>350.0</v>
      </c>
    </row>
    <row r="1146" spans="1:13" ht="25" customHeight="1">
      <c r="A1146" s="3" t="s">
        <v>68</v>
      </c>
      <c r="B1146" s="4" t="s">
        <v>410</v>
      </c>
      <c r="C1146" s="4" t="s">
        <v>139</v>
      </c>
      <c r="D1146" s="24">
        <v>4</v>
      </c>
      <c r="E1146" s="10">
        <v>900</v>
      </c>
      <c r="F1146" s="26">
        <v>0.038</v>
      </c>
      <c r="G1146" s="10">
        <v>34.2</v>
      </c>
      <c r="H1146" s="10">
        <v>900</v>
      </c>
      <c r="I1146" s="10">
        <v>0</v>
      </c>
      <c r="J1146" s="10">
        <v>0</v>
      </c>
      <c r="K1146" s="10">
        <v>0</v>
      </c>
      <c r="L1146" s="10">
        <v>900</v>
      </c>
      <c r="M1146" s="10">
        <f>E1146+K1146-I1146-J1146-L1146</f>
        <v>0.0</v>
      </c>
    </row>
    <row r="1147" spans="1:13" ht="25" customHeight="1">
      <c r="A1147" s="6" t="s">
        <v>68</v>
      </c>
      <c r="B1147" s="7" t="s">
        <v>410</v>
      </c>
      <c r="C1147" s="7" t="s">
        <v>153</v>
      </c>
      <c r="D1147" s="23">
        <v>4</v>
      </c>
      <c r="E1147" s="9">
        <v>32</v>
      </c>
      <c r="F1147" s="25">
        <v>0.05</v>
      </c>
      <c r="G1147" s="9">
        <v>1.6</v>
      </c>
      <c r="H1147" s="9">
        <v>16</v>
      </c>
      <c r="I1147" s="9">
        <v>16</v>
      </c>
      <c r="J1147" s="9">
        <v>0</v>
      </c>
      <c r="K1147" s="9">
        <v>0</v>
      </c>
      <c r="L1147" s="9">
        <v>0</v>
      </c>
      <c r="M1147" s="9">
        <f>E1147+K1147-I1147-J1147-L1147</f>
        <v>16.0</v>
      </c>
    </row>
    <row r="1148" spans="1:13" ht="25" customHeight="1">
      <c r="A1148" s="3" t="s">
        <v>68</v>
      </c>
      <c r="B1148" s="4" t="s">
        <v>410</v>
      </c>
      <c r="C1148" s="4" t="s">
        <v>198</v>
      </c>
      <c r="D1148" s="24">
        <v>4</v>
      </c>
      <c r="E1148" s="10">
        <v>0</v>
      </c>
      <c r="F1148" s="26">
        <v>0.0475</v>
      </c>
      <c r="G1148" s="10">
        <v>0</v>
      </c>
      <c r="H1148" s="10">
        <v>0</v>
      </c>
      <c r="I1148" s="10">
        <v>0</v>
      </c>
      <c r="J1148" s="10">
        <v>0</v>
      </c>
      <c r="K1148" s="10">
        <v>0</v>
      </c>
      <c r="L1148" s="10">
        <v>0</v>
      </c>
      <c r="M1148" s="10">
        <f>E1148+K1148-I1148-J1148-L1148</f>
        <v>0.0</v>
      </c>
    </row>
    <row r="1149" spans="1:13" ht="25" customHeight="1">
      <c r="A1149" s="6" t="s">
        <v>68</v>
      </c>
      <c r="B1149" s="7" t="s">
        <v>410</v>
      </c>
      <c r="C1149" s="7" t="s">
        <v>394</v>
      </c>
      <c r="D1149" s="23">
        <v>4</v>
      </c>
      <c r="E1149" s="9">
        <v>190.1805564417206</v>
      </c>
      <c r="F1149" s="25">
        <v>0.06</v>
      </c>
      <c r="G1149" s="9">
        <v>11.41083338650323</v>
      </c>
      <c r="H1149" s="9">
        <v>26.80203045685279</v>
      </c>
      <c r="I1149" s="9">
        <v>26.80203045685279</v>
      </c>
      <c r="J1149" s="9">
        <v>163.3785259848678</v>
      </c>
      <c r="K1149" s="9">
        <v>0</v>
      </c>
      <c r="L1149" s="9">
        <v>0</v>
      </c>
      <c r="M1149" s="9">
        <f>E1149+K1149-I1149-J1149-L1149</f>
        <v>0.0</v>
      </c>
    </row>
    <row r="1150" spans="1:13" ht="25" customHeight="1">
      <c r="A1150" s="3" t="s">
        <v>68</v>
      </c>
      <c r="B1150" s="4" t="s">
        <v>410</v>
      </c>
      <c r="C1150" s="4" t="s">
        <v>395</v>
      </c>
      <c r="D1150" s="24">
        <v>4</v>
      </c>
      <c r="E1150" s="10">
        <v>0</v>
      </c>
      <c r="F1150" s="26">
        <v>0.0575</v>
      </c>
      <c r="G1150" s="10">
        <v>0</v>
      </c>
      <c r="H1150" s="10">
        <v>0</v>
      </c>
      <c r="I1150" s="10">
        <v>0</v>
      </c>
      <c r="J1150" s="10">
        <v>0</v>
      </c>
      <c r="K1150" s="10">
        <v>0</v>
      </c>
      <c r="L1150" s="10">
        <v>0</v>
      </c>
      <c r="M1150" s="10">
        <f>E1150+K1150-I1150-J1150-L1150</f>
        <v>0.0</v>
      </c>
    </row>
    <row r="1151" spans="1:13" ht="25" customHeight="1">
      <c r="A1151" s="6" t="s">
        <v>68</v>
      </c>
      <c r="B1151" s="7" t="s">
        <v>410</v>
      </c>
      <c r="C1151" s="7" t="s">
        <v>411</v>
      </c>
      <c r="D1151" s="23">
        <v>4</v>
      </c>
      <c r="E1151" s="9">
        <v>350</v>
      </c>
      <c r="F1151" s="25">
        <v>0.06</v>
      </c>
      <c r="G1151" s="9">
        <v>21</v>
      </c>
      <c r="H1151" s="9">
        <v>7</v>
      </c>
      <c r="I1151" s="9">
        <v>7</v>
      </c>
      <c r="J1151" s="9">
        <v>343</v>
      </c>
      <c r="K1151" s="9">
        <v>0</v>
      </c>
      <c r="L1151" s="9">
        <v>0</v>
      </c>
      <c r="M1151" s="9">
        <f>E1151+K1151-I1151-J1151-L1151</f>
        <v>0.0</v>
      </c>
    </row>
    <row r="1152" spans="1:13" ht="25" customHeight="1">
      <c r="A1152" s="3" t="s">
        <v>68</v>
      </c>
      <c r="B1152" s="4" t="s">
        <v>410</v>
      </c>
      <c r="C1152" s="4" t="s">
        <v>412</v>
      </c>
      <c r="D1152" s="24">
        <v>4</v>
      </c>
      <c r="E1152" s="10">
        <v>0</v>
      </c>
      <c r="F1152" s="26">
        <v>0.06</v>
      </c>
      <c r="G1152" s="10">
        <v>0</v>
      </c>
      <c r="H1152" s="10">
        <v>0</v>
      </c>
      <c r="I1152" s="10">
        <v>0</v>
      </c>
      <c r="J1152" s="10">
        <v>5.058191023258814</v>
      </c>
      <c r="K1152" s="10">
        <v>900</v>
      </c>
      <c r="L1152" s="10">
        <v>0</v>
      </c>
      <c r="M1152" s="10">
        <f>E1152+K1152-I1152-J1152-L1152</f>
        <v>894.9418089767412</v>
      </c>
    </row>
    <row r="1153" spans="1:13" ht="25" customHeight="1">
      <c r="A1153" s="6" t="s">
        <v>68</v>
      </c>
      <c r="B1153" s="7" t="s">
        <v>410</v>
      </c>
      <c r="C1153" s="7" t="s">
        <v>139</v>
      </c>
      <c r="D1153" s="23">
        <v>5</v>
      </c>
      <c r="E1153" s="9">
        <v>0</v>
      </c>
      <c r="F1153" s="25">
        <v>0.038</v>
      </c>
      <c r="G1153" s="9">
        <v>0</v>
      </c>
      <c r="H1153" s="9">
        <v>0</v>
      </c>
      <c r="I1153" s="9">
        <v>0</v>
      </c>
      <c r="J1153" s="9">
        <v>0</v>
      </c>
      <c r="K1153" s="9">
        <v>0</v>
      </c>
      <c r="L1153" s="9">
        <v>0</v>
      </c>
      <c r="M1153" s="9">
        <f>E1153+K1153-I1153-J1153-L1153</f>
        <v>0.0</v>
      </c>
    </row>
    <row r="1154" spans="1:13" ht="25" customHeight="1">
      <c r="A1154" s="3" t="s">
        <v>68</v>
      </c>
      <c r="B1154" s="4" t="s">
        <v>410</v>
      </c>
      <c r="C1154" s="4" t="s">
        <v>153</v>
      </c>
      <c r="D1154" s="24">
        <v>5</v>
      </c>
      <c r="E1154" s="10">
        <v>16</v>
      </c>
      <c r="F1154" s="26">
        <v>0.05</v>
      </c>
      <c r="G1154" s="10">
        <v>0.8</v>
      </c>
      <c r="H1154" s="10">
        <v>16</v>
      </c>
      <c r="I1154" s="10">
        <v>16</v>
      </c>
      <c r="J1154" s="10">
        <v>0</v>
      </c>
      <c r="K1154" s="10">
        <v>0</v>
      </c>
      <c r="L1154" s="10">
        <v>0</v>
      </c>
      <c r="M1154" s="10">
        <f>E1154+K1154-I1154-J1154-L1154</f>
        <v>0.0</v>
      </c>
    </row>
    <row r="1155" spans="1:13" ht="25" customHeight="1">
      <c r="A1155" s="6" t="s">
        <v>68</v>
      </c>
      <c r="B1155" s="7" t="s">
        <v>410</v>
      </c>
      <c r="C1155" s="7" t="s">
        <v>198</v>
      </c>
      <c r="D1155" s="23">
        <v>5</v>
      </c>
      <c r="E1155" s="9">
        <v>0</v>
      </c>
      <c r="F1155" s="25">
        <v>0.0475</v>
      </c>
      <c r="G1155" s="9">
        <v>0</v>
      </c>
      <c r="H1155" s="9">
        <v>0</v>
      </c>
      <c r="I1155" s="9">
        <v>0</v>
      </c>
      <c r="J1155" s="9">
        <v>0</v>
      </c>
      <c r="K1155" s="9">
        <v>0</v>
      </c>
      <c r="L1155" s="9">
        <v>0</v>
      </c>
      <c r="M1155" s="9">
        <f>E1155+K1155-I1155-J1155-L1155</f>
        <v>0.0</v>
      </c>
    </row>
    <row r="1156" spans="1:13" ht="25" customHeight="1">
      <c r="A1156" s="3" t="s">
        <v>68</v>
      </c>
      <c r="B1156" s="4" t="s">
        <v>410</v>
      </c>
      <c r="C1156" s="4" t="s">
        <v>394</v>
      </c>
      <c r="D1156" s="24">
        <v>5</v>
      </c>
      <c r="E1156" s="10">
        <v>0</v>
      </c>
      <c r="F1156" s="26">
        <v>0.06</v>
      </c>
      <c r="G1156" s="10">
        <v>0</v>
      </c>
      <c r="H1156" s="10">
        <v>0</v>
      </c>
      <c r="I1156" s="10">
        <v>0</v>
      </c>
      <c r="J1156" s="10">
        <v>0</v>
      </c>
      <c r="K1156" s="10">
        <v>0</v>
      </c>
      <c r="L1156" s="10">
        <v>0</v>
      </c>
      <c r="M1156" s="10">
        <f>E1156+K1156-I1156-J1156-L1156</f>
        <v>0.0</v>
      </c>
    </row>
    <row r="1157" spans="1:13" ht="25" customHeight="1">
      <c r="A1157" s="6" t="s">
        <v>68</v>
      </c>
      <c r="B1157" s="7" t="s">
        <v>410</v>
      </c>
      <c r="C1157" s="7" t="s">
        <v>395</v>
      </c>
      <c r="D1157" s="23">
        <v>5</v>
      </c>
      <c r="E1157" s="9">
        <v>0</v>
      </c>
      <c r="F1157" s="25">
        <v>0.0575</v>
      </c>
      <c r="G1157" s="9">
        <v>0</v>
      </c>
      <c r="H1157" s="9">
        <v>0</v>
      </c>
      <c r="I1157" s="9">
        <v>0</v>
      </c>
      <c r="J1157" s="9">
        <v>0</v>
      </c>
      <c r="K1157" s="9">
        <v>0</v>
      </c>
      <c r="L1157" s="9">
        <v>0</v>
      </c>
      <c r="M1157" s="9">
        <f>E1157+K1157-I1157-J1157-L1157</f>
        <v>0.0</v>
      </c>
    </row>
    <row r="1158" spans="1:13" ht="25" customHeight="1">
      <c r="A1158" s="3" t="s">
        <v>68</v>
      </c>
      <c r="B1158" s="4" t="s">
        <v>410</v>
      </c>
      <c r="C1158" s="4" t="s">
        <v>411</v>
      </c>
      <c r="D1158" s="24">
        <v>5</v>
      </c>
      <c r="E1158" s="10">
        <v>0</v>
      </c>
      <c r="F1158" s="26">
        <v>0.06</v>
      </c>
      <c r="G1158" s="10">
        <v>0</v>
      </c>
      <c r="H1158" s="10">
        <v>0</v>
      </c>
      <c r="I1158" s="10">
        <v>0</v>
      </c>
      <c r="J1158" s="10">
        <v>0</v>
      </c>
      <c r="K1158" s="10">
        <v>0</v>
      </c>
      <c r="L1158" s="10">
        <v>0</v>
      </c>
      <c r="M1158" s="10">
        <f>E1158+K1158-I1158-J1158-L1158</f>
        <v>0.0</v>
      </c>
    </row>
    <row r="1159" spans="1:13" ht="25" customHeight="1">
      <c r="A1159" s="6" t="s">
        <v>68</v>
      </c>
      <c r="B1159" s="7" t="s">
        <v>410</v>
      </c>
      <c r="C1159" s="7" t="s">
        <v>412</v>
      </c>
      <c r="D1159" s="23">
        <v>5</v>
      </c>
      <c r="E1159" s="9">
        <v>894.9418089767412</v>
      </c>
      <c r="F1159" s="25">
        <v>0.06</v>
      </c>
      <c r="G1159" s="9">
        <v>53.69650853860448</v>
      </c>
      <c r="H1159" s="9">
        <v>18</v>
      </c>
      <c r="I1159" s="9">
        <v>18</v>
      </c>
      <c r="J1159" s="9">
        <v>578.7140727055257</v>
      </c>
      <c r="K1159" s="9">
        <v>0</v>
      </c>
      <c r="L1159" s="9">
        <v>0</v>
      </c>
      <c r="M1159" s="9">
        <f>E1159+K1159-I1159-J1159-L1159</f>
        <v>298.22773627121546</v>
      </c>
    </row>
    <row r="1160" spans="1:13" ht="25" customHeight="1">
      <c r="A1160" s="3" t="s">
        <v>78</v>
      </c>
      <c r="B1160" s="4" t="s">
        <v>410</v>
      </c>
      <c r="C1160" s="4" t="s">
        <v>139</v>
      </c>
      <c r="D1160" s="24">
        <v>1</v>
      </c>
      <c r="E1160" s="10">
        <v>900</v>
      </c>
      <c r="F1160" s="26">
        <v>0.038</v>
      </c>
      <c r="G1160" s="10">
        <v>34.2</v>
      </c>
      <c r="H1160" s="10">
        <v>0</v>
      </c>
      <c r="I1160" s="10">
        <v>0</v>
      </c>
      <c r="J1160" s="10">
        <v>0</v>
      </c>
      <c r="K1160" s="10">
        <v>0</v>
      </c>
      <c r="L1160" s="10">
        <v>0</v>
      </c>
      <c r="M1160" s="10">
        <f>E1160+K1160-I1160-J1160-L1160</f>
        <v>900.0</v>
      </c>
    </row>
    <row r="1161" spans="1:13" ht="25" customHeight="1">
      <c r="A1161" s="6" t="s">
        <v>78</v>
      </c>
      <c r="B1161" s="7" t="s">
        <v>410</v>
      </c>
      <c r="C1161" s="7" t="s">
        <v>153</v>
      </c>
      <c r="D1161" s="23">
        <v>1</v>
      </c>
      <c r="E1161" s="9">
        <v>80</v>
      </c>
      <c r="F1161" s="25">
        <v>0.05</v>
      </c>
      <c r="G1161" s="9">
        <v>4</v>
      </c>
      <c r="H1161" s="9">
        <v>16</v>
      </c>
      <c r="I1161" s="9">
        <v>16</v>
      </c>
      <c r="J1161" s="9">
        <v>0</v>
      </c>
      <c r="K1161" s="9">
        <v>0</v>
      </c>
      <c r="L1161" s="9">
        <v>0</v>
      </c>
      <c r="M1161" s="9">
        <f>E1161+K1161-I1161-J1161-L1161</f>
        <v>64.0</v>
      </c>
    </row>
    <row r="1162" spans="1:13" ht="25" customHeight="1">
      <c r="A1162" s="3" t="s">
        <v>78</v>
      </c>
      <c r="B1162" s="4" t="s">
        <v>410</v>
      </c>
      <c r="C1162" s="4" t="s">
        <v>198</v>
      </c>
      <c r="D1162" s="24">
        <v>1</v>
      </c>
      <c r="E1162" s="10">
        <v>350</v>
      </c>
      <c r="F1162" s="26">
        <v>0.0475</v>
      </c>
      <c r="G1162" s="10">
        <v>16.625</v>
      </c>
      <c r="H1162" s="10">
        <v>0</v>
      </c>
      <c r="I1162" s="10">
        <v>0</v>
      </c>
      <c r="J1162" s="10">
        <v>0</v>
      </c>
      <c r="K1162" s="10">
        <v>0</v>
      </c>
      <c r="L1162" s="10">
        <v>0</v>
      </c>
      <c r="M1162" s="10">
        <f>E1162+K1162-I1162-J1162-L1162</f>
        <v>350.0</v>
      </c>
    </row>
    <row r="1163" spans="1:13" ht="25" customHeight="1">
      <c r="A1163" s="6" t="s">
        <v>78</v>
      </c>
      <c r="B1163" s="7" t="s">
        <v>410</v>
      </c>
      <c r="C1163" s="7" t="s">
        <v>394</v>
      </c>
      <c r="D1163" s="23">
        <v>1</v>
      </c>
      <c r="E1163" s="9">
        <v>2223.350253807107</v>
      </c>
      <c r="F1163" s="25">
        <v>0.065</v>
      </c>
      <c r="G1163" s="9">
        <v>144.5177664974619</v>
      </c>
      <c r="H1163" s="9">
        <v>44.46700507614213</v>
      </c>
      <c r="I1163" s="9">
        <v>44.46700507614213</v>
      </c>
      <c r="J1163" s="9">
        <v>1067.890132379528</v>
      </c>
      <c r="K1163" s="9">
        <v>0</v>
      </c>
      <c r="L1163" s="9">
        <v>0</v>
      </c>
      <c r="M1163" s="9">
        <f>E1163+K1163-I1163-J1163-L1163</f>
        <v>1110.9931163514364</v>
      </c>
    </row>
    <row r="1164" spans="1:13" ht="25" customHeight="1">
      <c r="A1164" s="3" t="s">
        <v>78</v>
      </c>
      <c r="B1164" s="4" t="s">
        <v>410</v>
      </c>
      <c r="C1164" s="4" t="s">
        <v>395</v>
      </c>
      <c r="D1164" s="24">
        <v>1</v>
      </c>
      <c r="E1164" s="10">
        <v>0</v>
      </c>
      <c r="F1164" s="26">
        <v>0.0625</v>
      </c>
      <c r="G1164" s="10">
        <v>0</v>
      </c>
      <c r="H1164" s="10">
        <v>0</v>
      </c>
      <c r="I1164" s="10">
        <v>0</v>
      </c>
      <c r="J1164" s="10">
        <v>0</v>
      </c>
      <c r="K1164" s="10">
        <v>0</v>
      </c>
      <c r="L1164" s="10">
        <v>0</v>
      </c>
      <c r="M1164" s="10">
        <f>E1164+K1164-I1164-J1164-L1164</f>
        <v>0.0</v>
      </c>
    </row>
    <row r="1165" spans="1:13" ht="25" customHeight="1">
      <c r="A1165" s="6" t="s">
        <v>78</v>
      </c>
      <c r="B1165" s="7" t="s">
        <v>410</v>
      </c>
      <c r="C1165" s="7" t="s">
        <v>139</v>
      </c>
      <c r="D1165" s="23">
        <v>2</v>
      </c>
      <c r="E1165" s="9">
        <v>900</v>
      </c>
      <c r="F1165" s="25">
        <v>0.038</v>
      </c>
      <c r="G1165" s="9">
        <v>34.2</v>
      </c>
      <c r="H1165" s="9">
        <v>0</v>
      </c>
      <c r="I1165" s="9">
        <v>0</v>
      </c>
      <c r="J1165" s="9">
        <v>0</v>
      </c>
      <c r="K1165" s="9">
        <v>0</v>
      </c>
      <c r="L1165" s="9">
        <v>0</v>
      </c>
      <c r="M1165" s="9">
        <f>E1165+K1165-I1165-J1165-L1165</f>
        <v>900.0</v>
      </c>
    </row>
    <row r="1166" spans="1:13" ht="25" customHeight="1">
      <c r="A1166" s="3" t="s">
        <v>78</v>
      </c>
      <c r="B1166" s="4" t="s">
        <v>410</v>
      </c>
      <c r="C1166" s="4" t="s">
        <v>153</v>
      </c>
      <c r="D1166" s="24">
        <v>2</v>
      </c>
      <c r="E1166" s="10">
        <v>64</v>
      </c>
      <c r="F1166" s="26">
        <v>0.05</v>
      </c>
      <c r="G1166" s="10">
        <v>3.2</v>
      </c>
      <c r="H1166" s="10">
        <v>16</v>
      </c>
      <c r="I1166" s="10">
        <v>16</v>
      </c>
      <c r="J1166" s="10">
        <v>0</v>
      </c>
      <c r="K1166" s="10">
        <v>0</v>
      </c>
      <c r="L1166" s="10">
        <v>0</v>
      </c>
      <c r="M1166" s="10">
        <f>E1166+K1166-I1166-J1166-L1166</f>
        <v>48.0</v>
      </c>
    </row>
    <row r="1167" spans="1:13" ht="25" customHeight="1">
      <c r="A1167" s="6" t="s">
        <v>78</v>
      </c>
      <c r="B1167" s="7" t="s">
        <v>410</v>
      </c>
      <c r="C1167" s="7" t="s">
        <v>198</v>
      </c>
      <c r="D1167" s="23">
        <v>2</v>
      </c>
      <c r="E1167" s="9">
        <v>350</v>
      </c>
      <c r="F1167" s="25">
        <v>0.0475</v>
      </c>
      <c r="G1167" s="9">
        <v>16.625</v>
      </c>
      <c r="H1167" s="9">
        <v>0</v>
      </c>
      <c r="I1167" s="9">
        <v>0</v>
      </c>
      <c r="J1167" s="9">
        <v>0</v>
      </c>
      <c r="K1167" s="9">
        <v>0</v>
      </c>
      <c r="L1167" s="9">
        <v>0</v>
      </c>
      <c r="M1167" s="9">
        <f>E1167+K1167-I1167-J1167-L1167</f>
        <v>350.0</v>
      </c>
    </row>
    <row r="1168" spans="1:13" ht="25" customHeight="1">
      <c r="A1168" s="3" t="s">
        <v>78</v>
      </c>
      <c r="B1168" s="4" t="s">
        <v>410</v>
      </c>
      <c r="C1168" s="4" t="s">
        <v>394</v>
      </c>
      <c r="D1168" s="24">
        <v>2</v>
      </c>
      <c r="E1168" s="10">
        <v>1110.993116351436</v>
      </c>
      <c r="F1168" s="26">
        <v>0.0625</v>
      </c>
      <c r="G1168" s="10">
        <v>69.43706977196477</v>
      </c>
      <c r="H1168" s="10">
        <v>44.46700507614213</v>
      </c>
      <c r="I1168" s="10">
        <v>44.46700507614213</v>
      </c>
      <c r="J1168" s="10">
        <v>329.9962602318687</v>
      </c>
      <c r="K1168" s="10">
        <v>0</v>
      </c>
      <c r="L1168" s="10">
        <v>0</v>
      </c>
      <c r="M1168" s="10">
        <f>E1168+K1168-I1168-J1168-L1168</f>
        <v>736.5298510434254</v>
      </c>
    </row>
    <row r="1169" spans="1:13" ht="25" customHeight="1">
      <c r="A1169" s="6" t="s">
        <v>78</v>
      </c>
      <c r="B1169" s="7" t="s">
        <v>410</v>
      </c>
      <c r="C1169" s="7" t="s">
        <v>395</v>
      </c>
      <c r="D1169" s="23">
        <v>2</v>
      </c>
      <c r="E1169" s="9">
        <v>0</v>
      </c>
      <c r="F1169" s="25">
        <v>0.06</v>
      </c>
      <c r="G1169" s="9">
        <v>0</v>
      </c>
      <c r="H1169" s="9">
        <v>0</v>
      </c>
      <c r="I1169" s="9">
        <v>0</v>
      </c>
      <c r="J1169" s="9">
        <v>0</v>
      </c>
      <c r="K1169" s="9">
        <v>0</v>
      </c>
      <c r="L1169" s="9">
        <v>0</v>
      </c>
      <c r="M1169" s="9">
        <f>E1169+K1169-I1169-J1169-L1169</f>
        <v>0.0</v>
      </c>
    </row>
    <row r="1170" spans="1:13" ht="25" customHeight="1">
      <c r="A1170" s="3" t="s">
        <v>78</v>
      </c>
      <c r="B1170" s="4" t="s">
        <v>410</v>
      </c>
      <c r="C1170" s="4" t="s">
        <v>139</v>
      </c>
      <c r="D1170" s="24">
        <v>3</v>
      </c>
      <c r="E1170" s="10">
        <v>900</v>
      </c>
      <c r="F1170" s="26">
        <v>0.038</v>
      </c>
      <c r="G1170" s="10">
        <v>34.2</v>
      </c>
      <c r="H1170" s="10">
        <v>0</v>
      </c>
      <c r="I1170" s="10">
        <v>0</v>
      </c>
      <c r="J1170" s="10">
        <v>0</v>
      </c>
      <c r="K1170" s="10">
        <v>0</v>
      </c>
      <c r="L1170" s="10">
        <v>0</v>
      </c>
      <c r="M1170" s="10">
        <f>E1170+K1170-I1170-J1170-L1170</f>
        <v>900.0</v>
      </c>
    </row>
    <row r="1171" spans="1:13" ht="25" customHeight="1">
      <c r="A1171" s="6" t="s">
        <v>78</v>
      </c>
      <c r="B1171" s="7" t="s">
        <v>410</v>
      </c>
      <c r="C1171" s="7" t="s">
        <v>153</v>
      </c>
      <c r="D1171" s="23">
        <v>3</v>
      </c>
      <c r="E1171" s="9">
        <v>48</v>
      </c>
      <c r="F1171" s="25">
        <v>0.05</v>
      </c>
      <c r="G1171" s="9">
        <v>2.4</v>
      </c>
      <c r="H1171" s="9">
        <v>16</v>
      </c>
      <c r="I1171" s="9">
        <v>16</v>
      </c>
      <c r="J1171" s="9">
        <v>0</v>
      </c>
      <c r="K1171" s="9">
        <v>0</v>
      </c>
      <c r="L1171" s="9">
        <v>0</v>
      </c>
      <c r="M1171" s="9">
        <f>E1171+K1171-I1171-J1171-L1171</f>
        <v>32.0</v>
      </c>
    </row>
    <row r="1172" spans="1:13" ht="25" customHeight="1">
      <c r="A1172" s="3" t="s">
        <v>78</v>
      </c>
      <c r="B1172" s="4" t="s">
        <v>410</v>
      </c>
      <c r="C1172" s="4" t="s">
        <v>198</v>
      </c>
      <c r="D1172" s="24">
        <v>3</v>
      </c>
      <c r="E1172" s="10">
        <v>350</v>
      </c>
      <c r="F1172" s="26">
        <v>0.0475</v>
      </c>
      <c r="G1172" s="10">
        <v>16.625</v>
      </c>
      <c r="H1172" s="10">
        <v>350</v>
      </c>
      <c r="I1172" s="10">
        <v>0</v>
      </c>
      <c r="J1172" s="10">
        <v>0</v>
      </c>
      <c r="K1172" s="10">
        <v>0</v>
      </c>
      <c r="L1172" s="10">
        <v>350</v>
      </c>
      <c r="M1172" s="10">
        <f>E1172+K1172-I1172-J1172-L1172</f>
        <v>0.0</v>
      </c>
    </row>
    <row r="1173" spans="1:13" ht="25" customHeight="1">
      <c r="A1173" s="6" t="s">
        <v>78</v>
      </c>
      <c r="B1173" s="7" t="s">
        <v>410</v>
      </c>
      <c r="C1173" s="7" t="s">
        <v>394</v>
      </c>
      <c r="D1173" s="23">
        <v>3</v>
      </c>
      <c r="E1173" s="9">
        <v>736.5298510434254</v>
      </c>
      <c r="F1173" s="25">
        <v>0.06</v>
      </c>
      <c r="G1173" s="9">
        <v>44.19179106260553</v>
      </c>
      <c r="H1173" s="9">
        <v>44.46700507614213</v>
      </c>
      <c r="I1173" s="9">
        <v>44.46700507614213</v>
      </c>
      <c r="J1173" s="9">
        <v>440.2831947048139</v>
      </c>
      <c r="K1173" s="9">
        <v>0</v>
      </c>
      <c r="L1173" s="9">
        <v>0</v>
      </c>
      <c r="M1173" s="9">
        <f>E1173+K1173-I1173-J1173-L1173</f>
        <v>251.77965126246932</v>
      </c>
    </row>
    <row r="1174" spans="1:13" ht="25" customHeight="1">
      <c r="A1174" s="3" t="s">
        <v>78</v>
      </c>
      <c r="B1174" s="4" t="s">
        <v>410</v>
      </c>
      <c r="C1174" s="4" t="s">
        <v>395</v>
      </c>
      <c r="D1174" s="24">
        <v>3</v>
      </c>
      <c r="E1174" s="10">
        <v>0</v>
      </c>
      <c r="F1174" s="26">
        <v>0.0575</v>
      </c>
      <c r="G1174" s="10">
        <v>0</v>
      </c>
      <c r="H1174" s="10">
        <v>0</v>
      </c>
      <c r="I1174" s="10">
        <v>0</v>
      </c>
      <c r="J1174" s="10">
        <v>0</v>
      </c>
      <c r="K1174" s="10">
        <v>0</v>
      </c>
      <c r="L1174" s="10">
        <v>0</v>
      </c>
      <c r="M1174" s="10">
        <f>E1174+K1174-I1174-J1174-L1174</f>
        <v>0.0</v>
      </c>
    </row>
    <row r="1175" spans="1:13" ht="25" customHeight="1">
      <c r="A1175" s="6" t="s">
        <v>78</v>
      </c>
      <c r="B1175" s="7" t="s">
        <v>410</v>
      </c>
      <c r="C1175" s="7" t="s">
        <v>411</v>
      </c>
      <c r="D1175" s="23">
        <v>3</v>
      </c>
      <c r="E1175" s="9">
        <v>0</v>
      </c>
      <c r="F1175" s="25">
        <v>0.06</v>
      </c>
      <c r="G1175" s="9">
        <v>0</v>
      </c>
      <c r="H1175" s="9">
        <v>0</v>
      </c>
      <c r="I1175" s="9">
        <v>0</v>
      </c>
      <c r="J1175" s="9">
        <v>0</v>
      </c>
      <c r="K1175" s="9">
        <v>350</v>
      </c>
      <c r="L1175" s="9">
        <v>0</v>
      </c>
      <c r="M1175" s="9">
        <f>E1175+K1175-I1175-J1175-L1175</f>
        <v>350.0</v>
      </c>
    </row>
    <row r="1176" spans="1:13" ht="25" customHeight="1">
      <c r="A1176" s="3" t="s">
        <v>78</v>
      </c>
      <c r="B1176" s="4" t="s">
        <v>410</v>
      </c>
      <c r="C1176" s="4" t="s">
        <v>139</v>
      </c>
      <c r="D1176" s="24">
        <v>4</v>
      </c>
      <c r="E1176" s="10">
        <v>900</v>
      </c>
      <c r="F1176" s="26">
        <v>0.038</v>
      </c>
      <c r="G1176" s="10">
        <v>34.2</v>
      </c>
      <c r="H1176" s="10">
        <v>900</v>
      </c>
      <c r="I1176" s="10">
        <v>0</v>
      </c>
      <c r="J1176" s="10">
        <v>0</v>
      </c>
      <c r="K1176" s="10">
        <v>0</v>
      </c>
      <c r="L1176" s="10">
        <v>900</v>
      </c>
      <c r="M1176" s="10">
        <f>E1176+K1176-I1176-J1176-L1176</f>
        <v>0.0</v>
      </c>
    </row>
    <row r="1177" spans="1:13" ht="25" customHeight="1">
      <c r="A1177" s="6" t="s">
        <v>78</v>
      </c>
      <c r="B1177" s="7" t="s">
        <v>410</v>
      </c>
      <c r="C1177" s="7" t="s">
        <v>153</v>
      </c>
      <c r="D1177" s="23">
        <v>4</v>
      </c>
      <c r="E1177" s="9">
        <v>32</v>
      </c>
      <c r="F1177" s="25">
        <v>0.05</v>
      </c>
      <c r="G1177" s="9">
        <v>1.6</v>
      </c>
      <c r="H1177" s="9">
        <v>16</v>
      </c>
      <c r="I1177" s="9">
        <v>16</v>
      </c>
      <c r="J1177" s="9">
        <v>0</v>
      </c>
      <c r="K1177" s="9">
        <v>0</v>
      </c>
      <c r="L1177" s="9">
        <v>0</v>
      </c>
      <c r="M1177" s="9">
        <f>E1177+K1177-I1177-J1177-L1177</f>
        <v>16.0</v>
      </c>
    </row>
    <row r="1178" spans="1:13" ht="25" customHeight="1">
      <c r="A1178" s="3" t="s">
        <v>78</v>
      </c>
      <c r="B1178" s="4" t="s">
        <v>410</v>
      </c>
      <c r="C1178" s="4" t="s">
        <v>198</v>
      </c>
      <c r="D1178" s="24">
        <v>4</v>
      </c>
      <c r="E1178" s="10">
        <v>0</v>
      </c>
      <c r="F1178" s="26">
        <v>0.0475</v>
      </c>
      <c r="G1178" s="10">
        <v>0</v>
      </c>
      <c r="H1178" s="10">
        <v>0</v>
      </c>
      <c r="I1178" s="10">
        <v>0</v>
      </c>
      <c r="J1178" s="10">
        <v>0</v>
      </c>
      <c r="K1178" s="10">
        <v>0</v>
      </c>
      <c r="L1178" s="10">
        <v>0</v>
      </c>
      <c r="M1178" s="10">
        <f>E1178+K1178-I1178-J1178-L1178</f>
        <v>0.0</v>
      </c>
    </row>
    <row r="1179" spans="1:13" ht="25" customHeight="1">
      <c r="A1179" s="6" t="s">
        <v>78</v>
      </c>
      <c r="B1179" s="7" t="s">
        <v>410</v>
      </c>
      <c r="C1179" s="7" t="s">
        <v>394</v>
      </c>
      <c r="D1179" s="23">
        <v>4</v>
      </c>
      <c r="E1179" s="9">
        <v>251.7796512624693</v>
      </c>
      <c r="F1179" s="25">
        <v>0.06</v>
      </c>
      <c r="G1179" s="9">
        <v>15.10677907574816</v>
      </c>
      <c r="H1179" s="9">
        <v>44.46700507614213</v>
      </c>
      <c r="I1179" s="9">
        <v>44.46700507614213</v>
      </c>
      <c r="J1179" s="9">
        <v>207.3126461863272</v>
      </c>
      <c r="K1179" s="9">
        <v>0</v>
      </c>
      <c r="L1179" s="9">
        <v>0</v>
      </c>
      <c r="M1179" s="9">
        <f>E1179+K1179-I1179-J1179-L1179</f>
        <v>0.0</v>
      </c>
    </row>
    <row r="1180" spans="1:13" ht="25" customHeight="1">
      <c r="A1180" s="3" t="s">
        <v>78</v>
      </c>
      <c r="B1180" s="4" t="s">
        <v>410</v>
      </c>
      <c r="C1180" s="4" t="s">
        <v>395</v>
      </c>
      <c r="D1180" s="24">
        <v>4</v>
      </c>
      <c r="E1180" s="10">
        <v>0</v>
      </c>
      <c r="F1180" s="26">
        <v>0.0575</v>
      </c>
      <c r="G1180" s="10">
        <v>0</v>
      </c>
      <c r="H1180" s="10">
        <v>0</v>
      </c>
      <c r="I1180" s="10">
        <v>0</v>
      </c>
      <c r="J1180" s="10">
        <v>0</v>
      </c>
      <c r="K1180" s="10">
        <v>0</v>
      </c>
      <c r="L1180" s="10">
        <v>0</v>
      </c>
      <c r="M1180" s="10">
        <f>E1180+K1180-I1180-J1180-L1180</f>
        <v>0.0</v>
      </c>
    </row>
    <row r="1181" spans="1:13" ht="25" customHeight="1">
      <c r="A1181" s="6" t="s">
        <v>78</v>
      </c>
      <c r="B1181" s="7" t="s">
        <v>410</v>
      </c>
      <c r="C1181" s="7" t="s">
        <v>411</v>
      </c>
      <c r="D1181" s="23">
        <v>4</v>
      </c>
      <c r="E1181" s="9">
        <v>350</v>
      </c>
      <c r="F1181" s="25">
        <v>0.06</v>
      </c>
      <c r="G1181" s="9">
        <v>21</v>
      </c>
      <c r="H1181" s="9">
        <v>7</v>
      </c>
      <c r="I1181" s="9">
        <v>7</v>
      </c>
      <c r="J1181" s="9">
        <v>283.6871369355762</v>
      </c>
      <c r="K1181" s="9">
        <v>0</v>
      </c>
      <c r="L1181" s="9">
        <v>0</v>
      </c>
      <c r="M1181" s="9">
        <f>E1181+K1181-I1181-J1181-L1181</f>
        <v>59.312863064423766</v>
      </c>
    </row>
    <row r="1182" spans="1:13" ht="25" customHeight="1">
      <c r="A1182" s="3" t="s">
        <v>78</v>
      </c>
      <c r="B1182" s="4" t="s">
        <v>410</v>
      </c>
      <c r="C1182" s="4" t="s">
        <v>412</v>
      </c>
      <c r="D1182" s="24">
        <v>4</v>
      </c>
      <c r="E1182" s="10">
        <v>0</v>
      </c>
      <c r="F1182" s="26">
        <v>0.06</v>
      </c>
      <c r="G1182" s="10">
        <v>0</v>
      </c>
      <c r="H1182" s="10">
        <v>0</v>
      </c>
      <c r="I1182" s="10">
        <v>0</v>
      </c>
      <c r="J1182" s="10">
        <v>0</v>
      </c>
      <c r="K1182" s="10">
        <v>900</v>
      </c>
      <c r="L1182" s="10">
        <v>0</v>
      </c>
      <c r="M1182" s="10">
        <f>E1182+K1182-I1182-J1182-L1182</f>
        <v>900.0</v>
      </c>
    </row>
    <row r="1183" spans="1:13" ht="25" customHeight="1">
      <c r="A1183" s="6" t="s">
        <v>78</v>
      </c>
      <c r="B1183" s="7" t="s">
        <v>410</v>
      </c>
      <c r="C1183" s="7" t="s">
        <v>139</v>
      </c>
      <c r="D1183" s="23">
        <v>5</v>
      </c>
      <c r="E1183" s="9">
        <v>0</v>
      </c>
      <c r="F1183" s="25">
        <v>0.038</v>
      </c>
      <c r="G1183" s="9">
        <v>0</v>
      </c>
      <c r="H1183" s="9">
        <v>0</v>
      </c>
      <c r="I1183" s="9">
        <v>0</v>
      </c>
      <c r="J1183" s="9">
        <v>0</v>
      </c>
      <c r="K1183" s="9">
        <v>0</v>
      </c>
      <c r="L1183" s="9">
        <v>0</v>
      </c>
      <c r="M1183" s="9">
        <f>E1183+K1183-I1183-J1183-L1183</f>
        <v>0.0</v>
      </c>
    </row>
    <row r="1184" spans="1:13" ht="25" customHeight="1">
      <c r="A1184" s="3" t="s">
        <v>78</v>
      </c>
      <c r="B1184" s="4" t="s">
        <v>410</v>
      </c>
      <c r="C1184" s="4" t="s">
        <v>153</v>
      </c>
      <c r="D1184" s="24">
        <v>5</v>
      </c>
      <c r="E1184" s="10">
        <v>16</v>
      </c>
      <c r="F1184" s="26">
        <v>0.05</v>
      </c>
      <c r="G1184" s="10">
        <v>0.8</v>
      </c>
      <c r="H1184" s="10">
        <v>16</v>
      </c>
      <c r="I1184" s="10">
        <v>16</v>
      </c>
      <c r="J1184" s="10">
        <v>0</v>
      </c>
      <c r="K1184" s="10">
        <v>0</v>
      </c>
      <c r="L1184" s="10">
        <v>0</v>
      </c>
      <c r="M1184" s="10">
        <f>E1184+K1184-I1184-J1184-L1184</f>
        <v>0.0</v>
      </c>
    </row>
    <row r="1185" spans="1:13" ht="25" customHeight="1">
      <c r="A1185" s="6" t="s">
        <v>78</v>
      </c>
      <c r="B1185" s="7" t="s">
        <v>410</v>
      </c>
      <c r="C1185" s="7" t="s">
        <v>198</v>
      </c>
      <c r="D1185" s="23">
        <v>5</v>
      </c>
      <c r="E1185" s="9">
        <v>0</v>
      </c>
      <c r="F1185" s="25">
        <v>0.0475</v>
      </c>
      <c r="G1185" s="9">
        <v>0</v>
      </c>
      <c r="H1185" s="9">
        <v>0</v>
      </c>
      <c r="I1185" s="9">
        <v>0</v>
      </c>
      <c r="J1185" s="9">
        <v>0</v>
      </c>
      <c r="K1185" s="9">
        <v>0</v>
      </c>
      <c r="L1185" s="9">
        <v>0</v>
      </c>
      <c r="M1185" s="9">
        <f>E1185+K1185-I1185-J1185-L1185</f>
        <v>0.0</v>
      </c>
    </row>
    <row r="1186" spans="1:13" ht="25" customHeight="1">
      <c r="A1186" s="3" t="s">
        <v>78</v>
      </c>
      <c r="B1186" s="4" t="s">
        <v>410</v>
      </c>
      <c r="C1186" s="4" t="s">
        <v>394</v>
      </c>
      <c r="D1186" s="24">
        <v>5</v>
      </c>
      <c r="E1186" s="10">
        <v>0</v>
      </c>
      <c r="F1186" s="26">
        <v>0.06</v>
      </c>
      <c r="G1186" s="10">
        <v>0</v>
      </c>
      <c r="H1186" s="10">
        <v>0</v>
      </c>
      <c r="I1186" s="10">
        <v>0</v>
      </c>
      <c r="J1186" s="10">
        <v>0</v>
      </c>
      <c r="K1186" s="10">
        <v>0</v>
      </c>
      <c r="L1186" s="10">
        <v>0</v>
      </c>
      <c r="M1186" s="10">
        <f>E1186+K1186-I1186-J1186-L1186</f>
        <v>0.0</v>
      </c>
    </row>
    <row r="1187" spans="1:13" ht="25" customHeight="1">
      <c r="A1187" s="6" t="s">
        <v>78</v>
      </c>
      <c r="B1187" s="7" t="s">
        <v>410</v>
      </c>
      <c r="C1187" s="7" t="s">
        <v>395</v>
      </c>
      <c r="D1187" s="23">
        <v>5</v>
      </c>
      <c r="E1187" s="9">
        <v>0</v>
      </c>
      <c r="F1187" s="25">
        <v>0.0575</v>
      </c>
      <c r="G1187" s="9">
        <v>0</v>
      </c>
      <c r="H1187" s="9">
        <v>0</v>
      </c>
      <c r="I1187" s="9">
        <v>0</v>
      </c>
      <c r="J1187" s="9">
        <v>0</v>
      </c>
      <c r="K1187" s="9">
        <v>0</v>
      </c>
      <c r="L1187" s="9">
        <v>0</v>
      </c>
      <c r="M1187" s="9">
        <f>E1187+K1187-I1187-J1187-L1187</f>
        <v>0.0</v>
      </c>
    </row>
    <row r="1188" spans="1:13" ht="25" customHeight="1">
      <c r="A1188" s="3" t="s">
        <v>78</v>
      </c>
      <c r="B1188" s="4" t="s">
        <v>410</v>
      </c>
      <c r="C1188" s="4" t="s">
        <v>411</v>
      </c>
      <c r="D1188" s="24">
        <v>5</v>
      </c>
      <c r="E1188" s="10">
        <v>59.31286306442377</v>
      </c>
      <c r="F1188" s="26">
        <v>0.06</v>
      </c>
      <c r="G1188" s="10">
        <v>3.558771783865426</v>
      </c>
      <c r="H1188" s="10">
        <v>7</v>
      </c>
      <c r="I1188" s="10">
        <v>7</v>
      </c>
      <c r="J1188" s="10">
        <v>52.31286306442377</v>
      </c>
      <c r="K1188" s="10">
        <v>0</v>
      </c>
      <c r="L1188" s="10">
        <v>0</v>
      </c>
      <c r="M1188" s="10">
        <f>E1188+K1188-I1188-J1188-L1188</f>
        <v>0.0</v>
      </c>
    </row>
    <row r="1189" spans="1:13" ht="25" customHeight="1">
      <c r="A1189" s="6" t="s">
        <v>78</v>
      </c>
      <c r="B1189" s="7" t="s">
        <v>410</v>
      </c>
      <c r="C1189" s="7" t="s">
        <v>412</v>
      </c>
      <c r="D1189" s="23">
        <v>5</v>
      </c>
      <c r="E1189" s="9">
        <v>900</v>
      </c>
      <c r="F1189" s="25">
        <v>0.06</v>
      </c>
      <c r="G1189" s="9">
        <v>54.00000000000001</v>
      </c>
      <c r="H1189" s="9">
        <v>18</v>
      </c>
      <c r="I1189" s="9">
        <v>18</v>
      </c>
      <c r="J1189" s="9">
        <v>516.5045122071563</v>
      </c>
      <c r="K1189" s="9">
        <v>0</v>
      </c>
      <c r="L1189" s="9">
        <v>0</v>
      </c>
      <c r="M1189" s="9">
        <f>E1189+K1189-I1189-J1189-L1189</f>
        <v>365.49548779284373</v>
      </c>
    </row>
    <row r="1190" spans="1:13" ht="25" customHeight="1">
      <c r="A1190" s="3" t="s">
        <v>79</v>
      </c>
      <c r="B1190" s="4" t="s">
        <v>410</v>
      </c>
      <c r="C1190" s="4" t="s">
        <v>139</v>
      </c>
      <c r="D1190" s="24">
        <v>1</v>
      </c>
      <c r="E1190" s="10">
        <v>900</v>
      </c>
      <c r="F1190" s="26">
        <v>0.038</v>
      </c>
      <c r="G1190" s="10">
        <v>34.2</v>
      </c>
      <c r="H1190" s="10">
        <v>0</v>
      </c>
      <c r="I1190" s="10">
        <v>0</v>
      </c>
      <c r="J1190" s="10">
        <v>0</v>
      </c>
      <c r="K1190" s="10">
        <v>0</v>
      </c>
      <c r="L1190" s="10">
        <v>0</v>
      </c>
      <c r="M1190" s="10">
        <f>E1190+K1190-I1190-J1190-L1190</f>
        <v>900.0</v>
      </c>
    </row>
    <row r="1191" spans="1:13" ht="25" customHeight="1">
      <c r="A1191" s="6" t="s">
        <v>79</v>
      </c>
      <c r="B1191" s="7" t="s">
        <v>410</v>
      </c>
      <c r="C1191" s="7" t="s">
        <v>153</v>
      </c>
      <c r="D1191" s="23">
        <v>1</v>
      </c>
      <c r="E1191" s="9">
        <v>80</v>
      </c>
      <c r="F1191" s="25">
        <v>0.05</v>
      </c>
      <c r="G1191" s="9">
        <v>4</v>
      </c>
      <c r="H1191" s="9">
        <v>16</v>
      </c>
      <c r="I1191" s="9">
        <v>16</v>
      </c>
      <c r="J1191" s="9">
        <v>31.32921867394413</v>
      </c>
      <c r="K1191" s="9">
        <v>0</v>
      </c>
      <c r="L1191" s="9">
        <v>0</v>
      </c>
      <c r="M1191" s="9">
        <f>E1191+K1191-I1191-J1191-L1191</f>
        <v>32.670781326055874</v>
      </c>
    </row>
    <row r="1192" spans="1:13" ht="25" customHeight="1">
      <c r="A1192" s="3" t="s">
        <v>79</v>
      </c>
      <c r="B1192" s="4" t="s">
        <v>410</v>
      </c>
      <c r="C1192" s="4" t="s">
        <v>198</v>
      </c>
      <c r="D1192" s="24">
        <v>1</v>
      </c>
      <c r="E1192" s="10">
        <v>350</v>
      </c>
      <c r="F1192" s="26">
        <v>0.0475</v>
      </c>
      <c r="G1192" s="10">
        <v>16.625</v>
      </c>
      <c r="H1192" s="10">
        <v>0</v>
      </c>
      <c r="I1192" s="10">
        <v>0</v>
      </c>
      <c r="J1192" s="10">
        <v>0</v>
      </c>
      <c r="K1192" s="10">
        <v>0</v>
      </c>
      <c r="L1192" s="10">
        <v>0</v>
      </c>
      <c r="M1192" s="10">
        <f>E1192+K1192-I1192-J1192-L1192</f>
        <v>350.0</v>
      </c>
    </row>
    <row r="1193" spans="1:13" ht="25" customHeight="1">
      <c r="A1193" s="6" t="s">
        <v>79</v>
      </c>
      <c r="B1193" s="7" t="s">
        <v>410</v>
      </c>
      <c r="C1193" s="7" t="s">
        <v>394</v>
      </c>
      <c r="D1193" s="23">
        <v>1</v>
      </c>
      <c r="E1193" s="9">
        <v>304.5685279187817</v>
      </c>
      <c r="F1193" s="25">
        <v>0.065</v>
      </c>
      <c r="G1193" s="9">
        <v>19.79695431472081</v>
      </c>
      <c r="H1193" s="9">
        <v>6.091370558375635</v>
      </c>
      <c r="I1193" s="9">
        <v>6.091370558375635</v>
      </c>
      <c r="J1193" s="9">
        <v>298.4771573604061</v>
      </c>
      <c r="K1193" s="9">
        <v>0</v>
      </c>
      <c r="L1193" s="9">
        <v>0</v>
      </c>
      <c r="M1193" s="9">
        <f>E1193+K1193-I1193-J1193-L1193</f>
        <v>0.0</v>
      </c>
    </row>
    <row r="1194" spans="1:13" ht="25" customHeight="1">
      <c r="A1194" s="3" t="s">
        <v>79</v>
      </c>
      <c r="B1194" s="4" t="s">
        <v>410</v>
      </c>
      <c r="C1194" s="4" t="s">
        <v>395</v>
      </c>
      <c r="D1194" s="24">
        <v>1</v>
      </c>
      <c r="E1194" s="10">
        <v>0</v>
      </c>
      <c r="F1194" s="26">
        <v>0.0625</v>
      </c>
      <c r="G1194" s="10">
        <v>0</v>
      </c>
      <c r="H1194" s="10">
        <v>0</v>
      </c>
      <c r="I1194" s="10">
        <v>0</v>
      </c>
      <c r="J1194" s="10">
        <v>0</v>
      </c>
      <c r="K1194" s="10">
        <v>0</v>
      </c>
      <c r="L1194" s="10">
        <v>0</v>
      </c>
      <c r="M1194" s="10">
        <f>E1194+K1194-I1194-J1194-L1194</f>
        <v>0.0</v>
      </c>
    </row>
    <row r="1195" spans="1:13" ht="25" customHeight="1">
      <c r="A1195" s="6" t="s">
        <v>79</v>
      </c>
      <c r="B1195" s="7" t="s">
        <v>410</v>
      </c>
      <c r="C1195" s="7" t="s">
        <v>139</v>
      </c>
      <c r="D1195" s="23">
        <v>2</v>
      </c>
      <c r="E1195" s="9">
        <v>900</v>
      </c>
      <c r="F1195" s="25">
        <v>0.038</v>
      </c>
      <c r="G1195" s="9">
        <v>34.2</v>
      </c>
      <c r="H1195" s="9">
        <v>0</v>
      </c>
      <c r="I1195" s="9">
        <v>0</v>
      </c>
      <c r="J1195" s="9">
        <v>61.04513201120136</v>
      </c>
      <c r="K1195" s="9">
        <v>0</v>
      </c>
      <c r="L1195" s="9">
        <v>0</v>
      </c>
      <c r="M1195" s="9">
        <f>E1195+K1195-I1195-J1195-L1195</f>
        <v>838.9548679887987</v>
      </c>
    </row>
    <row r="1196" spans="1:13" ht="25" customHeight="1">
      <c r="A1196" s="3" t="s">
        <v>79</v>
      </c>
      <c r="B1196" s="4" t="s">
        <v>410</v>
      </c>
      <c r="C1196" s="4" t="s">
        <v>153</v>
      </c>
      <c r="D1196" s="24">
        <v>2</v>
      </c>
      <c r="E1196" s="10">
        <v>32.67078132605587</v>
      </c>
      <c r="F1196" s="26">
        <v>0.05</v>
      </c>
      <c r="G1196" s="10">
        <v>1.633539066302794</v>
      </c>
      <c r="H1196" s="10">
        <v>16</v>
      </c>
      <c r="I1196" s="10">
        <v>16</v>
      </c>
      <c r="J1196" s="10">
        <v>16.67078132605587</v>
      </c>
      <c r="K1196" s="10">
        <v>0</v>
      </c>
      <c r="L1196" s="10">
        <v>0</v>
      </c>
      <c r="M1196" s="10">
        <f>E1196+K1196-I1196-J1196-L1196</f>
        <v>0.0</v>
      </c>
    </row>
    <row r="1197" spans="1:13" ht="25" customHeight="1">
      <c r="A1197" s="6" t="s">
        <v>79</v>
      </c>
      <c r="B1197" s="7" t="s">
        <v>410</v>
      </c>
      <c r="C1197" s="7" t="s">
        <v>198</v>
      </c>
      <c r="D1197" s="23">
        <v>2</v>
      </c>
      <c r="E1197" s="9">
        <v>350</v>
      </c>
      <c r="F1197" s="25">
        <v>0.0475</v>
      </c>
      <c r="G1197" s="9">
        <v>16.625</v>
      </c>
      <c r="H1197" s="9">
        <v>0</v>
      </c>
      <c r="I1197" s="9">
        <v>0</v>
      </c>
      <c r="J1197" s="9">
        <v>350</v>
      </c>
      <c r="K1197" s="9">
        <v>0</v>
      </c>
      <c r="L1197" s="9">
        <v>0</v>
      </c>
      <c r="M1197" s="9">
        <f>E1197+K1197-I1197-J1197-L1197</f>
        <v>0.0</v>
      </c>
    </row>
    <row r="1198" spans="1:13" ht="25" customHeight="1">
      <c r="A1198" s="3" t="s">
        <v>79</v>
      </c>
      <c r="B1198" s="4" t="s">
        <v>410</v>
      </c>
      <c r="C1198" s="4" t="s">
        <v>394</v>
      </c>
      <c r="D1198" s="24">
        <v>2</v>
      </c>
      <c r="E1198" s="10">
        <v>0</v>
      </c>
      <c r="F1198" s="26">
        <v>0.0625</v>
      </c>
      <c r="G1198" s="10">
        <v>0</v>
      </c>
      <c r="H1198" s="10">
        <v>0</v>
      </c>
      <c r="I1198" s="10">
        <v>0</v>
      </c>
      <c r="J1198" s="10">
        <v>0</v>
      </c>
      <c r="K1198" s="10">
        <v>0</v>
      </c>
      <c r="L1198" s="10">
        <v>0</v>
      </c>
      <c r="M1198" s="10">
        <f>E1198+K1198-I1198-J1198-L1198</f>
        <v>0.0</v>
      </c>
    </row>
    <row r="1199" spans="1:13" ht="25" customHeight="1">
      <c r="A1199" s="6" t="s">
        <v>79</v>
      </c>
      <c r="B1199" s="7" t="s">
        <v>410</v>
      </c>
      <c r="C1199" s="7" t="s">
        <v>395</v>
      </c>
      <c r="D1199" s="23">
        <v>2</v>
      </c>
      <c r="E1199" s="9">
        <v>0</v>
      </c>
      <c r="F1199" s="25">
        <v>0.06</v>
      </c>
      <c r="G1199" s="9">
        <v>0</v>
      </c>
      <c r="H1199" s="9">
        <v>0</v>
      </c>
      <c r="I1199" s="9">
        <v>0</v>
      </c>
      <c r="J1199" s="9">
        <v>0</v>
      </c>
      <c r="K1199" s="9">
        <v>0</v>
      </c>
      <c r="L1199" s="9">
        <v>0</v>
      </c>
      <c r="M1199" s="9">
        <f>E1199+K1199-I1199-J1199-L1199</f>
        <v>0.0</v>
      </c>
    </row>
    <row r="1200" spans="1:13" ht="25" customHeight="1">
      <c r="A1200" s="3" t="s">
        <v>79</v>
      </c>
      <c r="B1200" s="4" t="s">
        <v>410</v>
      </c>
      <c r="C1200" s="4" t="s">
        <v>139</v>
      </c>
      <c r="D1200" s="24">
        <v>3</v>
      </c>
      <c r="E1200" s="10">
        <v>838.9548679887987</v>
      </c>
      <c r="F1200" s="26">
        <v>0.038</v>
      </c>
      <c r="G1200" s="10">
        <v>31.88028498357435</v>
      </c>
      <c r="H1200" s="10">
        <v>0</v>
      </c>
      <c r="I1200" s="10">
        <v>0</v>
      </c>
      <c r="J1200" s="10">
        <v>555.1525793402295</v>
      </c>
      <c r="K1200" s="10">
        <v>0</v>
      </c>
      <c r="L1200" s="10">
        <v>0</v>
      </c>
      <c r="M1200" s="10">
        <f>E1200+K1200-I1200-J1200-L1200</f>
        <v>283.8022886485692</v>
      </c>
    </row>
    <row r="1201" spans="1:13" ht="25" customHeight="1">
      <c r="A1201" s="6" t="s">
        <v>79</v>
      </c>
      <c r="B1201" s="7" t="s">
        <v>410</v>
      </c>
      <c r="C1201" s="7" t="s">
        <v>153</v>
      </c>
      <c r="D1201" s="23">
        <v>3</v>
      </c>
      <c r="E1201" s="9">
        <v>0</v>
      </c>
      <c r="F1201" s="25">
        <v>0.05</v>
      </c>
      <c r="G1201" s="9">
        <v>0</v>
      </c>
      <c r="H1201" s="9">
        <v>0</v>
      </c>
      <c r="I1201" s="9">
        <v>0</v>
      </c>
      <c r="J1201" s="9">
        <v>0</v>
      </c>
      <c r="K1201" s="9">
        <v>0</v>
      </c>
      <c r="L1201" s="9">
        <v>0</v>
      </c>
      <c r="M1201" s="9">
        <f>E1201+K1201-I1201-J1201-L1201</f>
        <v>0.0</v>
      </c>
    </row>
    <row r="1202" spans="1:13" ht="25" customHeight="1">
      <c r="A1202" s="3" t="s">
        <v>79</v>
      </c>
      <c r="B1202" s="4" t="s">
        <v>410</v>
      </c>
      <c r="C1202" s="4" t="s">
        <v>198</v>
      </c>
      <c r="D1202" s="24">
        <v>3</v>
      </c>
      <c r="E1202" s="10">
        <v>0</v>
      </c>
      <c r="F1202" s="26">
        <v>0.0475</v>
      </c>
      <c r="G1202" s="10">
        <v>0</v>
      </c>
      <c r="H1202" s="10">
        <v>0</v>
      </c>
      <c r="I1202" s="10">
        <v>0</v>
      </c>
      <c r="J1202" s="10">
        <v>0</v>
      </c>
      <c r="K1202" s="10">
        <v>0</v>
      </c>
      <c r="L1202" s="10">
        <v>0</v>
      </c>
      <c r="M1202" s="10">
        <f>E1202+K1202-I1202-J1202-L1202</f>
        <v>0.0</v>
      </c>
    </row>
    <row r="1203" spans="1:13" ht="25" customHeight="1">
      <c r="A1203" s="6" t="s">
        <v>79</v>
      </c>
      <c r="B1203" s="7" t="s">
        <v>410</v>
      </c>
      <c r="C1203" s="7" t="s">
        <v>394</v>
      </c>
      <c r="D1203" s="23">
        <v>3</v>
      </c>
      <c r="E1203" s="9">
        <v>0</v>
      </c>
      <c r="F1203" s="25">
        <v>0.06</v>
      </c>
      <c r="G1203" s="9">
        <v>0</v>
      </c>
      <c r="H1203" s="9">
        <v>0</v>
      </c>
      <c r="I1203" s="9">
        <v>0</v>
      </c>
      <c r="J1203" s="9">
        <v>0</v>
      </c>
      <c r="K1203" s="9">
        <v>0</v>
      </c>
      <c r="L1203" s="9">
        <v>0</v>
      </c>
      <c r="M1203" s="9">
        <f>E1203+K1203-I1203-J1203-L1203</f>
        <v>0.0</v>
      </c>
    </row>
    <row r="1204" spans="1:13" ht="25" customHeight="1">
      <c r="A1204" s="3" t="s">
        <v>79</v>
      </c>
      <c r="B1204" s="4" t="s">
        <v>410</v>
      </c>
      <c r="C1204" s="4" t="s">
        <v>395</v>
      </c>
      <c r="D1204" s="24">
        <v>3</v>
      </c>
      <c r="E1204" s="10">
        <v>0</v>
      </c>
      <c r="F1204" s="26">
        <v>0.0575</v>
      </c>
      <c r="G1204" s="10">
        <v>0</v>
      </c>
      <c r="H1204" s="10">
        <v>0</v>
      </c>
      <c r="I1204" s="10">
        <v>0</v>
      </c>
      <c r="J1204" s="10">
        <v>0</v>
      </c>
      <c r="K1204" s="10">
        <v>0</v>
      </c>
      <c r="L1204" s="10">
        <v>0</v>
      </c>
      <c r="M1204" s="10">
        <f>E1204+K1204-I1204-J1204-L1204</f>
        <v>0.0</v>
      </c>
    </row>
    <row r="1205" spans="1:13" ht="25" customHeight="1">
      <c r="A1205" s="6" t="s">
        <v>79</v>
      </c>
      <c r="B1205" s="7" t="s">
        <v>410</v>
      </c>
      <c r="C1205" s="7" t="s">
        <v>139</v>
      </c>
      <c r="D1205" s="23">
        <v>4</v>
      </c>
      <c r="E1205" s="9">
        <v>283.8022886485692</v>
      </c>
      <c r="F1205" s="25">
        <v>0.038</v>
      </c>
      <c r="G1205" s="9">
        <v>10.78448696864563</v>
      </c>
      <c r="H1205" s="9">
        <v>283.8022886485692</v>
      </c>
      <c r="I1205" s="9">
        <v>0</v>
      </c>
      <c r="J1205" s="9">
        <v>0</v>
      </c>
      <c r="K1205" s="9">
        <v>0</v>
      </c>
      <c r="L1205" s="9">
        <v>283.8022886485692</v>
      </c>
      <c r="M1205" s="9">
        <f>E1205+K1205-I1205-J1205-L1205</f>
        <v>0.0</v>
      </c>
    </row>
    <row r="1206" spans="1:13" ht="25" customHeight="1">
      <c r="A1206" s="3" t="s">
        <v>79</v>
      </c>
      <c r="B1206" s="4" t="s">
        <v>410</v>
      </c>
      <c r="C1206" s="4" t="s">
        <v>153</v>
      </c>
      <c r="D1206" s="24">
        <v>4</v>
      </c>
      <c r="E1206" s="10">
        <v>0</v>
      </c>
      <c r="F1206" s="26">
        <v>0.05</v>
      </c>
      <c r="G1206" s="10">
        <v>0</v>
      </c>
      <c r="H1206" s="10">
        <v>0</v>
      </c>
      <c r="I1206" s="10">
        <v>0</v>
      </c>
      <c r="J1206" s="10">
        <v>0</v>
      </c>
      <c r="K1206" s="10">
        <v>0</v>
      </c>
      <c r="L1206" s="10">
        <v>0</v>
      </c>
      <c r="M1206" s="10">
        <f>E1206+K1206-I1206-J1206-L1206</f>
        <v>0.0</v>
      </c>
    </row>
    <row r="1207" spans="1:13" ht="25" customHeight="1">
      <c r="A1207" s="6" t="s">
        <v>79</v>
      </c>
      <c r="B1207" s="7" t="s">
        <v>410</v>
      </c>
      <c r="C1207" s="7" t="s">
        <v>198</v>
      </c>
      <c r="D1207" s="23">
        <v>4</v>
      </c>
      <c r="E1207" s="9">
        <v>0</v>
      </c>
      <c r="F1207" s="25">
        <v>0.0475</v>
      </c>
      <c r="G1207" s="9">
        <v>0</v>
      </c>
      <c r="H1207" s="9">
        <v>0</v>
      </c>
      <c r="I1207" s="9">
        <v>0</v>
      </c>
      <c r="J1207" s="9">
        <v>0</v>
      </c>
      <c r="K1207" s="9">
        <v>0</v>
      </c>
      <c r="L1207" s="9">
        <v>0</v>
      </c>
      <c r="M1207" s="9">
        <f>E1207+K1207-I1207-J1207-L1207</f>
        <v>0.0</v>
      </c>
    </row>
    <row r="1208" spans="1:13" ht="25" customHeight="1">
      <c r="A1208" s="3" t="s">
        <v>79</v>
      </c>
      <c r="B1208" s="4" t="s">
        <v>410</v>
      </c>
      <c r="C1208" s="4" t="s">
        <v>394</v>
      </c>
      <c r="D1208" s="24">
        <v>4</v>
      </c>
      <c r="E1208" s="10">
        <v>0</v>
      </c>
      <c r="F1208" s="26">
        <v>0.06</v>
      </c>
      <c r="G1208" s="10">
        <v>0</v>
      </c>
      <c r="H1208" s="10">
        <v>0</v>
      </c>
      <c r="I1208" s="10">
        <v>0</v>
      </c>
      <c r="J1208" s="10">
        <v>0</v>
      </c>
      <c r="K1208" s="10">
        <v>0</v>
      </c>
      <c r="L1208" s="10">
        <v>0</v>
      </c>
      <c r="M1208" s="10">
        <f>E1208+K1208-I1208-J1208-L1208</f>
        <v>0.0</v>
      </c>
    </row>
    <row r="1209" spans="1:13" ht="25" customHeight="1">
      <c r="A1209" s="6" t="s">
        <v>79</v>
      </c>
      <c r="B1209" s="7" t="s">
        <v>410</v>
      </c>
      <c r="C1209" s="7" t="s">
        <v>395</v>
      </c>
      <c r="D1209" s="23">
        <v>4</v>
      </c>
      <c r="E1209" s="9">
        <v>0</v>
      </c>
      <c r="F1209" s="25">
        <v>0.0575</v>
      </c>
      <c r="G1209" s="9">
        <v>0</v>
      </c>
      <c r="H1209" s="9">
        <v>0</v>
      </c>
      <c r="I1209" s="9">
        <v>0</v>
      </c>
      <c r="J1209" s="9">
        <v>0</v>
      </c>
      <c r="K1209" s="9">
        <v>0</v>
      </c>
      <c r="L1209" s="9">
        <v>0</v>
      </c>
      <c r="M1209" s="9">
        <f>E1209+K1209-I1209-J1209-L1209</f>
        <v>0.0</v>
      </c>
    </row>
    <row r="1210" spans="1:13" ht="25" customHeight="1">
      <c r="A1210" s="3" t="s">
        <v>79</v>
      </c>
      <c r="B1210" s="4" t="s">
        <v>410</v>
      </c>
      <c r="C1210" s="4" t="s">
        <v>412</v>
      </c>
      <c r="D1210" s="24">
        <v>4</v>
      </c>
      <c r="E1210" s="10">
        <v>0</v>
      </c>
      <c r="F1210" s="26">
        <v>0.06</v>
      </c>
      <c r="G1210" s="10">
        <v>0</v>
      </c>
      <c r="H1210" s="10">
        <v>0</v>
      </c>
      <c r="I1210" s="10">
        <v>0</v>
      </c>
      <c r="J1210" s="10">
        <v>283.8022886485692</v>
      </c>
      <c r="K1210" s="10">
        <v>283.8022886485692</v>
      </c>
      <c r="L1210" s="10">
        <v>0</v>
      </c>
      <c r="M1210" s="10">
        <f>E1210+K1210-I1210-J1210-L1210</f>
        <v>0.0</v>
      </c>
    </row>
    <row r="1211" spans="1:13" ht="25" customHeight="1">
      <c r="A1211" s="6" t="s">
        <v>79</v>
      </c>
      <c r="B1211" s="7" t="s">
        <v>410</v>
      </c>
      <c r="C1211" s="7" t="s">
        <v>139</v>
      </c>
      <c r="D1211" s="23">
        <v>5</v>
      </c>
      <c r="E1211" s="9">
        <v>0</v>
      </c>
      <c r="F1211" s="25">
        <v>0.038</v>
      </c>
      <c r="G1211" s="9">
        <v>0</v>
      </c>
      <c r="H1211" s="9">
        <v>0</v>
      </c>
      <c r="I1211" s="9">
        <v>0</v>
      </c>
      <c r="J1211" s="9">
        <v>0</v>
      </c>
      <c r="K1211" s="9">
        <v>0</v>
      </c>
      <c r="L1211" s="9">
        <v>0</v>
      </c>
      <c r="M1211" s="9">
        <f>E1211+K1211-I1211-J1211-L1211</f>
        <v>0.0</v>
      </c>
    </row>
    <row r="1212" spans="1:13" ht="25" customHeight="1">
      <c r="A1212" s="3" t="s">
        <v>79</v>
      </c>
      <c r="B1212" s="4" t="s">
        <v>410</v>
      </c>
      <c r="C1212" s="4" t="s">
        <v>153</v>
      </c>
      <c r="D1212" s="24">
        <v>5</v>
      </c>
      <c r="E1212" s="10">
        <v>0</v>
      </c>
      <c r="F1212" s="26">
        <v>0.05</v>
      </c>
      <c r="G1212" s="10">
        <v>0</v>
      </c>
      <c r="H1212" s="10">
        <v>0</v>
      </c>
      <c r="I1212" s="10">
        <v>0</v>
      </c>
      <c r="J1212" s="10">
        <v>0</v>
      </c>
      <c r="K1212" s="10">
        <v>0</v>
      </c>
      <c r="L1212" s="10">
        <v>0</v>
      </c>
      <c r="M1212" s="10">
        <f>E1212+K1212-I1212-J1212-L1212</f>
        <v>0.0</v>
      </c>
    </row>
    <row r="1213" spans="1:13" ht="25" customHeight="1">
      <c r="A1213" s="6" t="s">
        <v>79</v>
      </c>
      <c r="B1213" s="7" t="s">
        <v>410</v>
      </c>
      <c r="C1213" s="7" t="s">
        <v>198</v>
      </c>
      <c r="D1213" s="23">
        <v>5</v>
      </c>
      <c r="E1213" s="9">
        <v>0</v>
      </c>
      <c r="F1213" s="25">
        <v>0.0475</v>
      </c>
      <c r="G1213" s="9">
        <v>0</v>
      </c>
      <c r="H1213" s="9">
        <v>0</v>
      </c>
      <c r="I1213" s="9">
        <v>0</v>
      </c>
      <c r="J1213" s="9">
        <v>0</v>
      </c>
      <c r="K1213" s="9">
        <v>0</v>
      </c>
      <c r="L1213" s="9">
        <v>0</v>
      </c>
      <c r="M1213" s="9">
        <f>E1213+K1213-I1213-J1213-L1213</f>
        <v>0.0</v>
      </c>
    </row>
    <row r="1214" spans="1:13" ht="25" customHeight="1">
      <c r="A1214" s="3" t="s">
        <v>79</v>
      </c>
      <c r="B1214" s="4" t="s">
        <v>410</v>
      </c>
      <c r="C1214" s="4" t="s">
        <v>394</v>
      </c>
      <c r="D1214" s="24">
        <v>5</v>
      </c>
      <c r="E1214" s="10">
        <v>0</v>
      </c>
      <c r="F1214" s="26">
        <v>0.06</v>
      </c>
      <c r="G1214" s="10">
        <v>0</v>
      </c>
      <c r="H1214" s="10">
        <v>0</v>
      </c>
      <c r="I1214" s="10">
        <v>0</v>
      </c>
      <c r="J1214" s="10">
        <v>0</v>
      </c>
      <c r="K1214" s="10">
        <v>0</v>
      </c>
      <c r="L1214" s="10">
        <v>0</v>
      </c>
      <c r="M1214" s="10">
        <f>E1214+K1214-I1214-J1214-L1214</f>
        <v>0.0</v>
      </c>
    </row>
    <row r="1215" spans="1:13" ht="25" customHeight="1">
      <c r="A1215" s="6" t="s">
        <v>79</v>
      </c>
      <c r="B1215" s="7" t="s">
        <v>410</v>
      </c>
      <c r="C1215" s="7" t="s">
        <v>395</v>
      </c>
      <c r="D1215" s="23">
        <v>5</v>
      </c>
      <c r="E1215" s="9">
        <v>0</v>
      </c>
      <c r="F1215" s="25">
        <v>0.0575</v>
      </c>
      <c r="G1215" s="9">
        <v>0</v>
      </c>
      <c r="H1215" s="9">
        <v>0</v>
      </c>
      <c r="I1215" s="9">
        <v>0</v>
      </c>
      <c r="J1215" s="9">
        <v>0</v>
      </c>
      <c r="K1215" s="9">
        <v>0</v>
      </c>
      <c r="L1215" s="9">
        <v>0</v>
      </c>
      <c r="M1215" s="9">
        <f>E1215+K1215-I1215-J1215-L1215</f>
        <v>0.0</v>
      </c>
    </row>
    <row r="1216" spans="1:13" ht="25" customHeight="1">
      <c r="A1216" s="3" t="s">
        <v>79</v>
      </c>
      <c r="B1216" s="4" t="s">
        <v>410</v>
      </c>
      <c r="C1216" s="4" t="s">
        <v>412</v>
      </c>
      <c r="D1216" s="24">
        <v>5</v>
      </c>
      <c r="E1216" s="10">
        <v>0</v>
      </c>
      <c r="F1216" s="26">
        <v>0.06</v>
      </c>
      <c r="G1216" s="10">
        <v>0</v>
      </c>
      <c r="H1216" s="10">
        <v>0</v>
      </c>
      <c r="I1216" s="10">
        <v>0</v>
      </c>
      <c r="J1216" s="10">
        <v>0</v>
      </c>
      <c r="K1216" s="10">
        <v>0</v>
      </c>
      <c r="L1216" s="10">
        <v>0</v>
      </c>
      <c r="M1216" s="10">
        <f>E1216+K1216-I1216-J1216-L1216</f>
        <v>0.0</v>
      </c>
    </row>
  </sheetData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&amp;LDebt Schedule&amp;RPage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3C5658"/>
  </sheetPr>
  <dimension ref="A1:K24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1" width="18.7109375" customWidth="1"/>
  </cols>
  <sheetData>
    <row r="1" spans="1:11" ht="9" customHeight="1"/>
    <row r="2" spans="1:11" ht="42" customHeight="1">
      <c r="A2" s="1" t="s">
        <v>413</v>
      </c>
      <c r="B2" s="1"/>
      <c r="C2" s="1"/>
      <c r="D2" s="1"/>
      <c r="E2" s="1"/>
      <c r="F2" s="1"/>
      <c r="G2" s="8"/>
      <c r="H2" s="8"/>
      <c r="I2" s="8"/>
      <c r="J2" s="8"/>
      <c r="K2" s="8"/>
    </row>
    <row r="3" spans="1:11" ht="30" customHeight="1">
      <c r="A3" s="2" t="s">
        <v>125</v>
      </c>
      <c r="B3" s="2"/>
      <c r="C3" s="2"/>
      <c r="D3" s="2"/>
      <c r="E3" s="2"/>
      <c r="F3" s="2"/>
      <c r="G3" s="8"/>
      <c r="H3" s="8"/>
      <c r="I3" s="8"/>
      <c r="J3" s="8"/>
      <c r="K3" s="8"/>
    </row>
    <row r="4" spans="1:11" ht="40" customHeight="1">
      <c r="A4" s="5" t="s">
        <v>65</v>
      </c>
      <c r="B4" s="5" t="s">
        <v>384</v>
      </c>
      <c r="C4" s="5" t="s">
        <v>354</v>
      </c>
      <c r="D4" s="5" t="s">
        <v>360</v>
      </c>
      <c r="E4" s="5" t="s">
        <v>373</v>
      </c>
      <c r="F4" s="5" t="s">
        <v>350</v>
      </c>
      <c r="G4" s="5" t="s">
        <v>352</v>
      </c>
      <c r="H4" s="5" t="s">
        <v>414</v>
      </c>
      <c r="I4" s="5" t="s">
        <v>415</v>
      </c>
      <c r="J4" s="5" t="s">
        <v>416</v>
      </c>
      <c r="K4" s="5" t="s">
        <v>417</v>
      </c>
    </row>
    <row r="5" spans="1:11" ht="25" customHeight="1">
      <c r="A5" s="6" t="s">
        <v>68</v>
      </c>
      <c r="B5" s="7" t="s">
        <v>393</v>
      </c>
      <c r="C5" s="23">
        <v>1</v>
      </c>
      <c r="D5" s="9">
        <v>1577.299999999999</v>
      </c>
      <c r="E5" s="9">
        <v>141.9315989847716</v>
      </c>
      <c r="F5" s="9">
        <v>750</v>
      </c>
      <c r="G5" s="9">
        <v>2368.686009752451</v>
      </c>
      <c r="H5" s="9">
        <v>1.026238515027232</v>
      </c>
      <c r="I5" s="9">
        <v>11.11309962885174</v>
      </c>
      <c r="J5" s="9">
        <v>0</v>
      </c>
      <c r="K5" s="7" t="b">
        <v>0</v>
      </c>
    </row>
    <row r="6" spans="1:11" ht="25" customHeight="1">
      <c r="A6" s="3" t="s">
        <v>68</v>
      </c>
      <c r="B6" s="4" t="s">
        <v>393</v>
      </c>
      <c r="C6" s="24">
        <v>2</v>
      </c>
      <c r="D6" s="10">
        <v>1668.064499999997</v>
      </c>
      <c r="E6" s="10">
        <v>119.9428756095282</v>
      </c>
      <c r="F6" s="10">
        <v>750</v>
      </c>
      <c r="G6" s="10">
        <v>1975.583348822613</v>
      </c>
      <c r="H6" s="10">
        <v>0.7347337880655184</v>
      </c>
      <c r="I6" s="10">
        <v>13.90715781594523</v>
      </c>
      <c r="J6" s="10">
        <v>0</v>
      </c>
      <c r="K6" s="4" t="b">
        <v>0</v>
      </c>
    </row>
    <row r="7" spans="1:11" ht="25" customHeight="1">
      <c r="A7" s="6" t="s">
        <v>68</v>
      </c>
      <c r="B7" s="7" t="s">
        <v>393</v>
      </c>
      <c r="C7" s="23">
        <v>3</v>
      </c>
      <c r="D7" s="9">
        <v>1760.334752499998</v>
      </c>
      <c r="E7" s="9">
        <v>93.88000092935678</v>
      </c>
      <c r="F7" s="9">
        <v>750</v>
      </c>
      <c r="G7" s="9">
        <v>1466.93055644172</v>
      </c>
      <c r="H7" s="9">
        <v>0.4072694443051514</v>
      </c>
      <c r="I7" s="9">
        <v>18.75090258919599</v>
      </c>
      <c r="J7" s="9">
        <v>0</v>
      </c>
      <c r="K7" s="7" t="b">
        <v>0</v>
      </c>
    </row>
    <row r="8" spans="1:11" ht="25" customHeight="1">
      <c r="A8" s="3" t="s">
        <v>68</v>
      </c>
      <c r="B8" s="4" t="s">
        <v>393</v>
      </c>
      <c r="C8" s="24">
        <v>4</v>
      </c>
      <c r="D8" s="10">
        <v>1814.153134112497</v>
      </c>
      <c r="E8" s="10">
        <v>67.89583338650323</v>
      </c>
      <c r="F8" s="10">
        <v>749.9999999999999</v>
      </c>
      <c r="G8" s="10">
        <v>891.9555589767409</v>
      </c>
      <c r="H8" s="10">
        <v>0.0782489395781835</v>
      </c>
      <c r="I8" s="10">
        <v>26.71965338116207</v>
      </c>
      <c r="J8" s="10">
        <v>0</v>
      </c>
      <c r="K8" s="4" t="b">
        <v>0</v>
      </c>
    </row>
    <row r="9" spans="1:11" ht="25" customHeight="1">
      <c r="A9" s="6" t="s">
        <v>68</v>
      </c>
      <c r="B9" s="7" t="s">
        <v>393</v>
      </c>
      <c r="C9" s="23">
        <v>5</v>
      </c>
      <c r="D9" s="9">
        <v>1869.56317552131</v>
      </c>
      <c r="E9" s="9">
        <v>52.43776595612478</v>
      </c>
      <c r="F9" s="9">
        <v>472.3025706656446</v>
      </c>
      <c r="G9" s="9">
        <v>0</v>
      </c>
      <c r="H9" s="9">
        <v>-0.2526272323126751</v>
      </c>
      <c r="I9" s="9">
        <v>35.65299057716518</v>
      </c>
      <c r="J9" s="9">
        <v>0</v>
      </c>
      <c r="K9" s="7" t="b">
        <v>0</v>
      </c>
    </row>
    <row r="10" spans="1:11" ht="25" customHeight="1">
      <c r="A10" s="3" t="s">
        <v>78</v>
      </c>
      <c r="B10" s="4" t="s">
        <v>393</v>
      </c>
      <c r="C10" s="24">
        <v>1</v>
      </c>
      <c r="D10" s="10">
        <v>1577.299999999999</v>
      </c>
      <c r="E10" s="10">
        <v>199.3427664974619</v>
      </c>
      <c r="F10" s="10">
        <v>750</v>
      </c>
      <c r="G10" s="10">
        <v>2424.993116351437</v>
      </c>
      <c r="H10" s="10">
        <v>1.061936927884003</v>
      </c>
      <c r="I10" s="10">
        <v>7.912501806380227</v>
      </c>
      <c r="J10" s="10">
        <v>0</v>
      </c>
      <c r="K10" s="4" t="b">
        <v>0</v>
      </c>
    </row>
    <row r="11" spans="1:11" ht="25" customHeight="1">
      <c r="A11" s="6" t="s">
        <v>78</v>
      </c>
      <c r="B11" s="7" t="s">
        <v>393</v>
      </c>
      <c r="C11" s="23">
        <v>2</v>
      </c>
      <c r="D11" s="9">
        <v>1668.064499999997</v>
      </c>
      <c r="E11" s="9">
        <v>123.4620697719648</v>
      </c>
      <c r="F11" s="9">
        <v>750</v>
      </c>
      <c r="G11" s="9">
        <v>2034.529851043425</v>
      </c>
      <c r="H11" s="9">
        <v>0.7700720511967177</v>
      </c>
      <c r="I11" s="9">
        <v>13.51074466093857</v>
      </c>
      <c r="J11" s="9">
        <v>0</v>
      </c>
      <c r="K11" s="7" t="b">
        <v>0</v>
      </c>
    </row>
    <row r="12" spans="1:11" ht="25" customHeight="1">
      <c r="A12" s="3" t="s">
        <v>78</v>
      </c>
      <c r="B12" s="4" t="s">
        <v>393</v>
      </c>
      <c r="C12" s="24">
        <v>3</v>
      </c>
      <c r="D12" s="10">
        <v>1760.334752499998</v>
      </c>
      <c r="E12" s="10">
        <v>97.41679106260553</v>
      </c>
      <c r="F12" s="10">
        <v>750</v>
      </c>
      <c r="G12" s="10">
        <v>1528.529651262469</v>
      </c>
      <c r="H12" s="10">
        <v>0.4422622743525427</v>
      </c>
      <c r="I12" s="10">
        <v>18.07013691683508</v>
      </c>
      <c r="J12" s="10">
        <v>0</v>
      </c>
      <c r="K12" s="4" t="b">
        <v>0</v>
      </c>
    </row>
    <row r="13" spans="1:11" ht="25" customHeight="1">
      <c r="A13" s="6" t="s">
        <v>78</v>
      </c>
      <c r="B13" s="7" t="s">
        <v>393</v>
      </c>
      <c r="C13" s="23">
        <v>4</v>
      </c>
      <c r="D13" s="9">
        <v>1814.153134112497</v>
      </c>
      <c r="E13" s="9">
        <v>71.59177907574815</v>
      </c>
      <c r="F13" s="9">
        <v>750</v>
      </c>
      <c r="G13" s="9">
        <v>956.3266130644236</v>
      </c>
      <c r="H13" s="9">
        <v>0.1137316410532018</v>
      </c>
      <c r="I13" s="9">
        <v>25.34024377565783</v>
      </c>
      <c r="J13" s="9">
        <v>0</v>
      </c>
      <c r="K13" s="7" t="b">
        <v>0</v>
      </c>
    </row>
    <row r="14" spans="1:11" ht="25" customHeight="1">
      <c r="A14" s="3" t="s">
        <v>78</v>
      </c>
      <c r="B14" s="4" t="s">
        <v>393</v>
      </c>
      <c r="C14" s="24">
        <v>5</v>
      </c>
      <c r="D14" s="10">
        <v>1869.56317552131</v>
      </c>
      <c r="E14" s="10">
        <v>56.24893686667018</v>
      </c>
      <c r="F14" s="10">
        <v>405.0731383950529</v>
      </c>
      <c r="G14" s="10">
        <v>0</v>
      </c>
      <c r="H14" s="10">
        <v>-0.2166672641496065</v>
      </c>
      <c r="I14" s="10">
        <v>33.23730686595614</v>
      </c>
      <c r="J14" s="10">
        <v>0</v>
      </c>
      <c r="K14" s="4" t="b">
        <v>0</v>
      </c>
    </row>
    <row r="15" spans="1:11" ht="25" customHeight="1">
      <c r="A15" s="6" t="s">
        <v>79</v>
      </c>
      <c r="B15" s="7" t="s">
        <v>393</v>
      </c>
      <c r="C15" s="23">
        <v>1</v>
      </c>
      <c r="D15" s="9">
        <v>1577.299999999999</v>
      </c>
      <c r="E15" s="9">
        <v>74.62195431472081</v>
      </c>
      <c r="F15" s="9">
        <v>750</v>
      </c>
      <c r="G15" s="9">
        <v>1282.670781326056</v>
      </c>
      <c r="H15" s="9">
        <v>0.3377105061345693</v>
      </c>
      <c r="I15" s="9">
        <v>21.13721108599862</v>
      </c>
      <c r="J15" s="9">
        <v>0</v>
      </c>
      <c r="K15" s="7" t="b">
        <v>1</v>
      </c>
    </row>
    <row r="16" spans="1:11" ht="25" customHeight="1">
      <c r="A16" s="3" t="s">
        <v>79</v>
      </c>
      <c r="B16" s="4" t="s">
        <v>393</v>
      </c>
      <c r="C16" s="24">
        <v>2</v>
      </c>
      <c r="D16" s="10">
        <v>1668.064499999997</v>
      </c>
      <c r="E16" s="10">
        <v>52.45853906630279</v>
      </c>
      <c r="F16" s="10">
        <v>750</v>
      </c>
      <c r="G16" s="10">
        <v>838.9548679887987</v>
      </c>
      <c r="H16" s="10">
        <v>0.05332819443660532</v>
      </c>
      <c r="I16" s="10">
        <v>31.79776886069428</v>
      </c>
      <c r="J16" s="10">
        <v>0</v>
      </c>
      <c r="K16" s="4" t="b">
        <v>1</v>
      </c>
    </row>
    <row r="17" spans="1:11" ht="25" customHeight="1">
      <c r="A17" s="6" t="s">
        <v>79</v>
      </c>
      <c r="B17" s="7" t="s">
        <v>393</v>
      </c>
      <c r="C17" s="23">
        <v>3</v>
      </c>
      <c r="D17" s="9">
        <v>1760.334752499998</v>
      </c>
      <c r="E17" s="9">
        <v>31.88028498357435</v>
      </c>
      <c r="F17" s="9">
        <v>750</v>
      </c>
      <c r="G17" s="9">
        <v>283.8022886485692</v>
      </c>
      <c r="H17" s="9">
        <v>-0.2648346916342728</v>
      </c>
      <c r="I17" s="9">
        <v>55.21703314154731</v>
      </c>
      <c r="J17" s="9">
        <v>0</v>
      </c>
      <c r="K17" s="7" t="b">
        <v>1</v>
      </c>
    </row>
    <row r="18" spans="1:11" ht="25" customHeight="1">
      <c r="A18" s="3" t="s">
        <v>79</v>
      </c>
      <c r="B18" s="4" t="s">
        <v>393</v>
      </c>
      <c r="C18" s="24">
        <v>4</v>
      </c>
      <c r="D18" s="10">
        <v>1814.153134112497</v>
      </c>
      <c r="E18" s="10">
        <v>10.78448696864563</v>
      </c>
      <c r="F18" s="10">
        <v>1084.006218629803</v>
      </c>
      <c r="G18" s="10">
        <v>0</v>
      </c>
      <c r="H18" s="10">
        <v>-0.5975274072770658</v>
      </c>
      <c r="I18" s="10">
        <v>168.2187701081091</v>
      </c>
      <c r="J18" s="10">
        <v>0</v>
      </c>
      <c r="K18" s="4" t="b">
        <v>1</v>
      </c>
    </row>
    <row r="19" spans="1:11" ht="25" customHeight="1">
      <c r="A19" s="6" t="s">
        <v>79</v>
      </c>
      <c r="B19" s="7" t="s">
        <v>393</v>
      </c>
      <c r="C19" s="23">
        <v>5</v>
      </c>
      <c r="D19" s="9">
        <v>1869.56317552131</v>
      </c>
      <c r="E19" s="9">
        <v>0</v>
      </c>
      <c r="F19" s="9">
        <v>1737.592672739283</v>
      </c>
      <c r="G19" s="9">
        <v>0</v>
      </c>
      <c r="H19" s="9">
        <v>-0.929411049324274</v>
      </c>
      <c r="I19" s="7"/>
      <c r="J19" s="9">
        <v>0</v>
      </c>
      <c r="K19" s="7" t="b">
        <v>1</v>
      </c>
    </row>
    <row r="20" spans="1:11" ht="25" customHeight="1">
      <c r="A20" s="3" t="s">
        <v>68</v>
      </c>
      <c r="B20" s="4" t="s">
        <v>396</v>
      </c>
      <c r="C20" s="24">
        <v>1</v>
      </c>
      <c r="D20" s="10">
        <v>1381.114999999998</v>
      </c>
      <c r="E20" s="10">
        <v>141.9315989847716</v>
      </c>
      <c r="F20" s="10">
        <v>750</v>
      </c>
      <c r="G20" s="10">
        <v>2426.422645026425</v>
      </c>
      <c r="H20" s="10">
        <v>1.213818288141413</v>
      </c>
      <c r="I20" s="10">
        <v>9.730849295569367</v>
      </c>
      <c r="J20" s="10">
        <v>0</v>
      </c>
      <c r="K20" s="4" t="b">
        <v>0</v>
      </c>
    </row>
    <row r="21" spans="1:11" ht="25" customHeight="1">
      <c r="A21" s="6" t="s">
        <v>68</v>
      </c>
      <c r="B21" s="7" t="s">
        <v>396</v>
      </c>
      <c r="C21" s="23">
        <v>2</v>
      </c>
      <c r="D21" s="9">
        <v>1466.974875</v>
      </c>
      <c r="E21" s="9">
        <v>123.5514153141515</v>
      </c>
      <c r="F21" s="9">
        <v>750</v>
      </c>
      <c r="G21" s="9">
        <v>2160.444179756901</v>
      </c>
      <c r="H21" s="9">
        <v>0.9614644420933933</v>
      </c>
      <c r="I21" s="9">
        <v>11.87339595641179</v>
      </c>
      <c r="J21" s="9">
        <v>0</v>
      </c>
      <c r="K21" s="7" t="b">
        <v>0</v>
      </c>
    </row>
    <row r="22" spans="1:11" ht="25" customHeight="1">
      <c r="A22" s="3" t="s">
        <v>68</v>
      </c>
      <c r="B22" s="4" t="s">
        <v>396</v>
      </c>
      <c r="C22" s="24">
        <v>3</v>
      </c>
      <c r="D22" s="10">
        <v>1554.217886874999</v>
      </c>
      <c r="E22" s="10">
        <v>104.971650785414</v>
      </c>
      <c r="F22" s="10">
        <v>749.9999999999999</v>
      </c>
      <c r="G22" s="10">
        <v>1787.638360421946</v>
      </c>
      <c r="H22" s="10">
        <v>0.6676273443926725</v>
      </c>
      <c r="I22" s="10">
        <v>14.80607264195715</v>
      </c>
      <c r="J22" s="10">
        <v>0</v>
      </c>
      <c r="K22" s="4" t="b">
        <v>0</v>
      </c>
    </row>
    <row r="23" spans="1:11" ht="25" customHeight="1">
      <c r="A23" s="6" t="s">
        <v>68</v>
      </c>
      <c r="B23" s="7" t="s">
        <v>396</v>
      </c>
      <c r="C23" s="23">
        <v>4</v>
      </c>
      <c r="D23" s="9">
        <v>1602.883346846873</v>
      </c>
      <c r="E23" s="9">
        <v>87.08831109751205</v>
      </c>
      <c r="F23" s="9">
        <v>749.9999999999999</v>
      </c>
      <c r="G23" s="9">
        <v>1357.774162785465</v>
      </c>
      <c r="H23" s="9">
        <v>0.3791755426126634</v>
      </c>
      <c r="I23" s="9">
        <v>18.4052638826827</v>
      </c>
      <c r="J23" s="9">
        <v>0</v>
      </c>
      <c r="K23" s="7" t="b">
        <v>0</v>
      </c>
    </row>
    <row r="24" spans="1:11" ht="25" customHeight="1">
      <c r="A24" s="3" t="s">
        <v>68</v>
      </c>
      <c r="B24" s="4" t="s">
        <v>396</v>
      </c>
      <c r="C24" s="24">
        <v>5</v>
      </c>
      <c r="D24" s="10">
        <v>1653.011643574046</v>
      </c>
      <c r="E24" s="10">
        <v>79.97411465727222</v>
      </c>
      <c r="F24" s="10">
        <v>0</v>
      </c>
      <c r="G24" s="10">
        <v>148.1526472528137</v>
      </c>
      <c r="H24" s="10">
        <v>0.08962589454753427</v>
      </c>
      <c r="I24" s="10">
        <v>20.66933345443086</v>
      </c>
      <c r="J24" s="10">
        <v>148.1526472528137</v>
      </c>
      <c r="K24" s="4" t="b">
        <v>0</v>
      </c>
    </row>
    <row r="25" spans="1:11" ht="25" customHeight="1">
      <c r="A25" s="6" t="s">
        <v>78</v>
      </c>
      <c r="B25" s="7" t="s">
        <v>396</v>
      </c>
      <c r="C25" s="23">
        <v>1</v>
      </c>
      <c r="D25" s="9">
        <v>1381.114999999998</v>
      </c>
      <c r="E25" s="9">
        <v>199.3427664974619</v>
      </c>
      <c r="F25" s="9">
        <v>750</v>
      </c>
      <c r="G25" s="9">
        <v>2482.72975162541</v>
      </c>
      <c r="H25" s="9">
        <v>1.25458759887874</v>
      </c>
      <c r="I25" s="9">
        <v>6.928342694680035</v>
      </c>
      <c r="J25" s="9">
        <v>0</v>
      </c>
      <c r="K25" s="7" t="b">
        <v>0</v>
      </c>
    </row>
    <row r="26" spans="1:11" ht="25" customHeight="1">
      <c r="A26" s="3" t="s">
        <v>78</v>
      </c>
      <c r="B26" s="4" t="s">
        <v>396</v>
      </c>
      <c r="C26" s="24">
        <v>2</v>
      </c>
      <c r="D26" s="10">
        <v>1466.974875</v>
      </c>
      <c r="E26" s="10">
        <v>127.0706094765881</v>
      </c>
      <c r="F26" s="10">
        <v>750</v>
      </c>
      <c r="G26" s="10">
        <v>2219.390681977713</v>
      </c>
      <c r="H26" s="10">
        <v>1.001646795060285</v>
      </c>
      <c r="I26" s="10">
        <v>11.54456471911611</v>
      </c>
      <c r="J26" s="10">
        <v>0</v>
      </c>
      <c r="K26" s="4" t="b">
        <v>0</v>
      </c>
    </row>
    <row r="27" spans="1:11" ht="25" customHeight="1">
      <c r="A27" s="6" t="s">
        <v>78</v>
      </c>
      <c r="B27" s="7" t="s">
        <v>396</v>
      </c>
      <c r="C27" s="23">
        <v>3</v>
      </c>
      <c r="D27" s="9">
        <v>1554.217886874999</v>
      </c>
      <c r="E27" s="9">
        <v>108.5084409186628</v>
      </c>
      <c r="F27" s="9">
        <v>750</v>
      </c>
      <c r="G27" s="9">
        <v>1849.237455242696</v>
      </c>
      <c r="H27" s="9">
        <v>0.7072608445221841</v>
      </c>
      <c r="I27" s="9">
        <v>14.32347450314976</v>
      </c>
      <c r="J27" s="9">
        <v>0</v>
      </c>
      <c r="K27" s="7" t="b">
        <v>0</v>
      </c>
    </row>
    <row r="28" spans="1:11" ht="25" customHeight="1">
      <c r="A28" s="3" t="s">
        <v>78</v>
      </c>
      <c r="B28" s="4" t="s">
        <v>396</v>
      </c>
      <c r="C28" s="24">
        <v>4</v>
      </c>
      <c r="D28" s="10">
        <v>1602.883346846873</v>
      </c>
      <c r="E28" s="10">
        <v>90.73346286870894</v>
      </c>
      <c r="F28" s="10">
        <v>750</v>
      </c>
      <c r="G28" s="10">
        <v>1422.107121434612</v>
      </c>
      <c r="H28" s="10">
        <v>0.4193113134257422</v>
      </c>
      <c r="I28" s="10">
        <v>17.66584561162667</v>
      </c>
      <c r="J28" s="10">
        <v>0</v>
      </c>
      <c r="K28" s="4" t="b">
        <v>0</v>
      </c>
    </row>
    <row r="29" spans="1:11" ht="25" customHeight="1">
      <c r="A29" s="6" t="s">
        <v>78</v>
      </c>
      <c r="B29" s="7" t="s">
        <v>396</v>
      </c>
      <c r="C29" s="23">
        <v>5</v>
      </c>
      <c r="D29" s="9">
        <v>1653.011643574046</v>
      </c>
      <c r="E29" s="9">
        <v>83.73230116205377</v>
      </c>
      <c r="F29" s="9">
        <v>0</v>
      </c>
      <c r="G29" s="9">
        <v>215.3042457805468</v>
      </c>
      <c r="H29" s="9">
        <v>0.1302496849417397</v>
      </c>
      <c r="I29" s="9">
        <v>19.74162444639902</v>
      </c>
      <c r="J29" s="9">
        <v>215.3042457805468</v>
      </c>
      <c r="K29" s="7" t="b">
        <v>0</v>
      </c>
    </row>
    <row r="30" spans="1:11" ht="25" customHeight="1">
      <c r="A30" s="3" t="s">
        <v>79</v>
      </c>
      <c r="B30" s="4" t="s">
        <v>396</v>
      </c>
      <c r="C30" s="24">
        <v>1</v>
      </c>
      <c r="D30" s="10">
        <v>1381.114999999998</v>
      </c>
      <c r="E30" s="10">
        <v>74.62195431472081</v>
      </c>
      <c r="F30" s="10">
        <v>750</v>
      </c>
      <c r="G30" s="10">
        <v>1340.407416600029</v>
      </c>
      <c r="H30" s="10">
        <v>0.4274860649547862</v>
      </c>
      <c r="I30" s="10">
        <v>18.50815906234639</v>
      </c>
      <c r="J30" s="10">
        <v>0</v>
      </c>
      <c r="K30" s="4" t="b">
        <v>1</v>
      </c>
    </row>
    <row r="31" spans="1:11" ht="25" customHeight="1">
      <c r="A31" s="6" t="s">
        <v>79</v>
      </c>
      <c r="B31" s="7" t="s">
        <v>396</v>
      </c>
      <c r="C31" s="23">
        <v>2</v>
      </c>
      <c r="D31" s="9">
        <v>1466.974875</v>
      </c>
      <c r="E31" s="9">
        <v>55.67546353750181</v>
      </c>
      <c r="F31" s="9">
        <v>750</v>
      </c>
      <c r="G31" s="9">
        <v>1023.521987498018</v>
      </c>
      <c r="H31" s="9">
        <v>0.186453082571041</v>
      </c>
      <c r="I31" s="9">
        <v>26.34867824696021</v>
      </c>
      <c r="J31" s="9">
        <v>0</v>
      </c>
      <c r="K31" s="7" t="b">
        <v>1</v>
      </c>
    </row>
    <row r="32" spans="1:11" ht="25" customHeight="1">
      <c r="A32" s="3" t="s">
        <v>79</v>
      </c>
      <c r="B32" s="4" t="s">
        <v>396</v>
      </c>
      <c r="C32" s="24">
        <v>3</v>
      </c>
      <c r="D32" s="10">
        <v>1554.217886874999</v>
      </c>
      <c r="E32" s="10">
        <v>40.06729440615582</v>
      </c>
      <c r="F32" s="10">
        <v>750</v>
      </c>
      <c r="G32" s="10">
        <v>602.0379008786203</v>
      </c>
      <c r="H32" s="10">
        <v>-0.09520035792335456</v>
      </c>
      <c r="I32" s="10">
        <v>38.79018810504492</v>
      </c>
      <c r="J32" s="10">
        <v>0</v>
      </c>
      <c r="K32" s="4" t="b">
        <v>1</v>
      </c>
    </row>
    <row r="33" spans="1:11" ht="25" customHeight="1">
      <c r="A33" s="6" t="s">
        <v>79</v>
      </c>
      <c r="B33" s="7" t="s">
        <v>396</v>
      </c>
      <c r="C33" s="23">
        <v>4</v>
      </c>
      <c r="D33" s="9">
        <v>1602.883346846873</v>
      </c>
      <c r="E33" s="9">
        <v>22.87744023338757</v>
      </c>
      <c r="F33" s="9">
        <v>750</v>
      </c>
      <c r="G33" s="9">
        <v>124.0155500940455</v>
      </c>
      <c r="H33" s="9">
        <v>-0.3905364985776199</v>
      </c>
      <c r="I33" s="9">
        <v>70.06392894024957</v>
      </c>
      <c r="J33" s="9">
        <v>0</v>
      </c>
      <c r="K33" s="7" t="b">
        <v>1</v>
      </c>
    </row>
    <row r="34" spans="1:11" ht="25" customHeight="1">
      <c r="A34" s="3" t="s">
        <v>79</v>
      </c>
      <c r="B34" s="4" t="s">
        <v>396</v>
      </c>
      <c r="C34" s="24">
        <v>5</v>
      </c>
      <c r="D34" s="10">
        <v>1653.011643574046</v>
      </c>
      <c r="E34" s="10">
        <v>7.130894130407615</v>
      </c>
      <c r="F34" s="10">
        <v>1140.238380833754</v>
      </c>
      <c r="G34" s="10">
        <v>0</v>
      </c>
      <c r="H34" s="10">
        <v>-0.6897945245977803</v>
      </c>
      <c r="I34" s="10">
        <v>231.8098703113906</v>
      </c>
      <c r="J34" s="10">
        <v>0</v>
      </c>
      <c r="K34" s="4" t="b">
        <v>1</v>
      </c>
    </row>
    <row r="35" spans="1:11" ht="25" customHeight="1">
      <c r="A35" s="6" t="s">
        <v>68</v>
      </c>
      <c r="B35" s="7" t="s">
        <v>397</v>
      </c>
      <c r="C35" s="23">
        <v>1</v>
      </c>
      <c r="D35" s="9">
        <v>1409.199999999999</v>
      </c>
      <c r="E35" s="9">
        <v>141.9315989847716</v>
      </c>
      <c r="F35" s="9">
        <v>750</v>
      </c>
      <c r="G35" s="9">
        <v>2510.880187834644</v>
      </c>
      <c r="H35" s="9">
        <v>1.249560167353566</v>
      </c>
      <c r="I35" s="9">
        <v>9.92872630252829</v>
      </c>
      <c r="J35" s="9">
        <v>0</v>
      </c>
      <c r="K35" s="7" t="b">
        <v>0</v>
      </c>
    </row>
    <row r="36" spans="1:11" ht="25" customHeight="1">
      <c r="A36" s="3" t="s">
        <v>68</v>
      </c>
      <c r="B36" s="4" t="s">
        <v>397</v>
      </c>
      <c r="C36" s="24">
        <v>2</v>
      </c>
      <c r="D36" s="10">
        <v>1495.761999999998</v>
      </c>
      <c r="E36" s="10">
        <v>128.8300117396653</v>
      </c>
      <c r="F36" s="10">
        <v>750</v>
      </c>
      <c r="G36" s="10">
        <v>2254.072733454462</v>
      </c>
      <c r="H36" s="10">
        <v>1.005556187050122</v>
      </c>
      <c r="I36" s="10">
        <v>11.61035367304457</v>
      </c>
      <c r="J36" s="10">
        <v>0</v>
      </c>
      <c r="K36" s="4" t="b">
        <v>0</v>
      </c>
    </row>
    <row r="37" spans="1:11" ht="25" customHeight="1">
      <c r="A37" s="6" t="s">
        <v>68</v>
      </c>
      <c r="B37" s="7" t="s">
        <v>397</v>
      </c>
      <c r="C37" s="23">
        <v>3</v>
      </c>
      <c r="D37" s="9">
        <v>1583.724689999998</v>
      </c>
      <c r="E37" s="9">
        <v>110.5893640072677</v>
      </c>
      <c r="F37" s="9">
        <v>749.9999999999999</v>
      </c>
      <c r="G37" s="9">
        <v>1890.822564195359</v>
      </c>
      <c r="H37" s="9">
        <v>0.7203414655329778</v>
      </c>
      <c r="I37" s="9">
        <v>14.3207685858101</v>
      </c>
      <c r="J37" s="9">
        <v>0</v>
      </c>
      <c r="K37" s="7" t="b">
        <v>0</v>
      </c>
    </row>
    <row r="38" spans="1:11" ht="25" customHeight="1">
      <c r="A38" s="3" t="s">
        <v>68</v>
      </c>
      <c r="B38" s="4" t="s">
        <v>397</v>
      </c>
      <c r="C38" s="24">
        <v>4</v>
      </c>
      <c r="D38" s="10">
        <v>1633.127820049996</v>
      </c>
      <c r="E38" s="10">
        <v>93.25547419872717</v>
      </c>
      <c r="F38" s="10">
        <v>749.9999999999999</v>
      </c>
      <c r="G38" s="10">
        <v>1471.059663173238</v>
      </c>
      <c r="H38" s="10">
        <v>0.4415206539994913</v>
      </c>
      <c r="I38" s="10">
        <v>17.51240700969259</v>
      </c>
      <c r="J38" s="10">
        <v>0</v>
      </c>
      <c r="K38" s="4" t="b">
        <v>0</v>
      </c>
    </row>
    <row r="39" spans="1:11" ht="25" customHeight="1">
      <c r="A39" s="6" t="s">
        <v>68</v>
      </c>
      <c r="B39" s="7" t="s">
        <v>397</v>
      </c>
      <c r="C39" s="23">
        <v>5</v>
      </c>
      <c r="D39" s="9">
        <v>1684.012228607247</v>
      </c>
      <c r="E39" s="9">
        <v>86.72210231381307</v>
      </c>
      <c r="F39" s="9">
        <v>0</v>
      </c>
      <c r="G39" s="9">
        <v>272.1119607786521</v>
      </c>
      <c r="H39" s="9">
        <v>0.1615855016704367</v>
      </c>
      <c r="I39" s="9">
        <v>19.4184894470555</v>
      </c>
      <c r="J39" s="9">
        <v>272.1119607786521</v>
      </c>
      <c r="K39" s="7" t="b">
        <v>0</v>
      </c>
    </row>
    <row r="40" spans="1:11" ht="25" customHeight="1">
      <c r="A40" s="3" t="s">
        <v>78</v>
      </c>
      <c r="B40" s="4" t="s">
        <v>397</v>
      </c>
      <c r="C40" s="24">
        <v>1</v>
      </c>
      <c r="D40" s="10">
        <v>1409.199999999999</v>
      </c>
      <c r="E40" s="10">
        <v>199.3427664974619</v>
      </c>
      <c r="F40" s="10">
        <v>750</v>
      </c>
      <c r="G40" s="10">
        <v>2567.187294433629</v>
      </c>
      <c r="H40" s="10">
        <v>1.289516956027271</v>
      </c>
      <c r="I40" s="10">
        <v>7.069230676187797</v>
      </c>
      <c r="J40" s="10">
        <v>0</v>
      </c>
      <c r="K40" s="4" t="b">
        <v>0</v>
      </c>
    </row>
    <row r="41" spans="1:11" ht="25" customHeight="1">
      <c r="A41" s="6" t="s">
        <v>78</v>
      </c>
      <c r="B41" s="7" t="s">
        <v>397</v>
      </c>
      <c r="C41" s="23">
        <v>2</v>
      </c>
      <c r="D41" s="9">
        <v>1495.761999999998</v>
      </c>
      <c r="E41" s="9">
        <v>132.3492059021018</v>
      </c>
      <c r="F41" s="9">
        <v>750</v>
      </c>
      <c r="G41" s="9">
        <v>2313.019235675275</v>
      </c>
      <c r="H41" s="9">
        <v>1.044965198791838</v>
      </c>
      <c r="I41" s="9">
        <v>11.3016318443679</v>
      </c>
      <c r="J41" s="9">
        <v>0</v>
      </c>
      <c r="K41" s="7" t="b">
        <v>0</v>
      </c>
    </row>
    <row r="42" spans="1:11" ht="25" customHeight="1">
      <c r="A42" s="3" t="s">
        <v>78</v>
      </c>
      <c r="B42" s="4" t="s">
        <v>397</v>
      </c>
      <c r="C42" s="24">
        <v>3</v>
      </c>
      <c r="D42" s="10">
        <v>1583.724689999998</v>
      </c>
      <c r="E42" s="10">
        <v>114.1261541405165</v>
      </c>
      <c r="F42" s="10">
        <v>750</v>
      </c>
      <c r="G42" s="10">
        <v>1952.421659016109</v>
      </c>
      <c r="H42" s="10">
        <v>0.7592365432000117</v>
      </c>
      <c r="I42" s="10">
        <v>13.87696538034617</v>
      </c>
      <c r="J42" s="10">
        <v>0</v>
      </c>
      <c r="K42" s="4" t="b">
        <v>0</v>
      </c>
    </row>
    <row r="43" spans="1:11" ht="25" customHeight="1">
      <c r="A43" s="6" t="s">
        <v>78</v>
      </c>
      <c r="B43" s="7" t="s">
        <v>397</v>
      </c>
      <c r="C43" s="23">
        <v>4</v>
      </c>
      <c r="D43" s="9">
        <v>1633.127820049996</v>
      </c>
      <c r="E43" s="9">
        <v>96.90062596992408</v>
      </c>
      <c r="F43" s="9">
        <v>750</v>
      </c>
      <c r="G43" s="9">
        <v>1535.392621822385</v>
      </c>
      <c r="H43" s="9">
        <v>0.4809131362408246</v>
      </c>
      <c r="I43" s="9">
        <v>16.85363539918602</v>
      </c>
      <c r="J43" s="9">
        <v>0</v>
      </c>
      <c r="K43" s="7" t="b">
        <v>0</v>
      </c>
    </row>
    <row r="44" spans="1:11" ht="25" customHeight="1">
      <c r="A44" s="3" t="s">
        <v>78</v>
      </c>
      <c r="B44" s="4" t="s">
        <v>397</v>
      </c>
      <c r="C44" s="24">
        <v>5</v>
      </c>
      <c r="D44" s="10">
        <v>1684.012228607247</v>
      </c>
      <c r="E44" s="10">
        <v>90.4802888185946</v>
      </c>
      <c r="F44" s="10">
        <v>0</v>
      </c>
      <c r="G44" s="10">
        <v>339.2635593063853</v>
      </c>
      <c r="H44" s="10">
        <v>0.2014614582620765</v>
      </c>
      <c r="I44" s="10">
        <v>18.61192366420879</v>
      </c>
      <c r="J44" s="10">
        <v>339.2635593063853</v>
      </c>
      <c r="K44" s="4" t="b">
        <v>0</v>
      </c>
    </row>
    <row r="45" spans="1:11" ht="25" customHeight="1">
      <c r="A45" s="6" t="s">
        <v>79</v>
      </c>
      <c r="B45" s="7" t="s">
        <v>397</v>
      </c>
      <c r="C45" s="23">
        <v>1</v>
      </c>
      <c r="D45" s="9">
        <v>1409.199999999999</v>
      </c>
      <c r="E45" s="9">
        <v>74.62195431472081</v>
      </c>
      <c r="F45" s="9">
        <v>750</v>
      </c>
      <c r="G45" s="9">
        <v>1424.864959408248</v>
      </c>
      <c r="H45" s="9">
        <v>0.4788993467273975</v>
      </c>
      <c r="I45" s="9">
        <v>18.88452283166756</v>
      </c>
      <c r="J45" s="9">
        <v>0</v>
      </c>
      <c r="K45" s="7" t="b">
        <v>1</v>
      </c>
    </row>
    <row r="46" spans="1:11" ht="25" customHeight="1">
      <c r="A46" s="3" t="s">
        <v>79</v>
      </c>
      <c r="B46" s="4" t="s">
        <v>397</v>
      </c>
      <c r="C46" s="24">
        <v>2</v>
      </c>
      <c r="D46" s="10">
        <v>1495.761999999998</v>
      </c>
      <c r="E46" s="10">
        <v>60.9540599630155</v>
      </c>
      <c r="F46" s="10">
        <v>750</v>
      </c>
      <c r="G46" s="10">
        <v>1117.150541195579</v>
      </c>
      <c r="H46" s="10">
        <v>0.2454605352961095</v>
      </c>
      <c r="I46" s="10">
        <v>24.53916934995908</v>
      </c>
      <c r="J46" s="10">
        <v>0</v>
      </c>
      <c r="K46" s="4" t="b">
        <v>1</v>
      </c>
    </row>
    <row r="47" spans="1:11" ht="25" customHeight="1">
      <c r="A47" s="6" t="s">
        <v>79</v>
      </c>
      <c r="B47" s="7" t="s">
        <v>397</v>
      </c>
      <c r="C47" s="23">
        <v>3</v>
      </c>
      <c r="D47" s="9">
        <v>1583.724689999998</v>
      </c>
      <c r="E47" s="9">
        <v>44.51465070678999</v>
      </c>
      <c r="F47" s="9">
        <v>750</v>
      </c>
      <c r="G47" s="9">
        <v>704.344336961118</v>
      </c>
      <c r="H47" s="9">
        <v>-0.02882803010344058</v>
      </c>
      <c r="I47" s="9">
        <v>35.57760568383897</v>
      </c>
      <c r="J47" s="9">
        <v>0</v>
      </c>
      <c r="K47" s="7" t="b">
        <v>1</v>
      </c>
    </row>
    <row r="48" spans="1:11" ht="25" customHeight="1">
      <c r="A48" s="3" t="s">
        <v>79</v>
      </c>
      <c r="B48" s="4" t="s">
        <v>397</v>
      </c>
      <c r="C48" s="24">
        <v>4</v>
      </c>
      <c r="D48" s="10">
        <v>1633.127820049996</v>
      </c>
      <c r="E48" s="10">
        <v>26.76508480452248</v>
      </c>
      <c r="F48" s="10">
        <v>750</v>
      </c>
      <c r="G48" s="10">
        <v>234.7136438933428</v>
      </c>
      <c r="H48" s="10">
        <v>-0.3155211427914333</v>
      </c>
      <c r="I48" s="10">
        <v>61.01709865585958</v>
      </c>
      <c r="J48" s="10">
        <v>0</v>
      </c>
      <c r="K48" s="4" t="b">
        <v>1</v>
      </c>
    </row>
    <row r="49" spans="1:11" ht="25" customHeight="1">
      <c r="A49" s="6" t="s">
        <v>79</v>
      </c>
      <c r="B49" s="7" t="s">
        <v>397</v>
      </c>
      <c r="C49" s="23">
        <v>5</v>
      </c>
      <c r="D49" s="9">
        <v>1684.012228607247</v>
      </c>
      <c r="E49" s="9">
        <v>13.49603452386721</v>
      </c>
      <c r="F49" s="9">
        <v>1019.153609343702</v>
      </c>
      <c r="G49" s="9">
        <v>0</v>
      </c>
      <c r="H49" s="9">
        <v>-0.6051937106101586</v>
      </c>
      <c r="I49" s="9">
        <v>124.7782988128207</v>
      </c>
      <c r="J49" s="9">
        <v>0</v>
      </c>
      <c r="K49" s="7" t="b">
        <v>1</v>
      </c>
    </row>
    <row r="50" spans="1:11" ht="40" customHeight="1">
      <c r="A50" s="3" t="s">
        <v>68</v>
      </c>
      <c r="B50" s="4" t="s">
        <v>398</v>
      </c>
      <c r="C50" s="24">
        <v>1</v>
      </c>
      <c r="D50" s="10">
        <v>1577.299999999999</v>
      </c>
      <c r="E50" s="10">
        <v>141.9315989847716</v>
      </c>
      <c r="F50" s="10">
        <v>750</v>
      </c>
      <c r="G50" s="10">
        <v>2675.680530300397</v>
      </c>
      <c r="H50" s="10">
        <v>1.220871445064603</v>
      </c>
      <c r="I50" s="10">
        <v>11.11309962885174</v>
      </c>
      <c r="J50" s="10">
        <v>0</v>
      </c>
      <c r="K50" s="4" t="b">
        <v>0</v>
      </c>
    </row>
    <row r="51" spans="1:11" ht="40" customHeight="1">
      <c r="A51" s="6" t="s">
        <v>68</v>
      </c>
      <c r="B51" s="7" t="s">
        <v>398</v>
      </c>
      <c r="C51" s="23">
        <v>2</v>
      </c>
      <c r="D51" s="9">
        <v>1668.064499999997</v>
      </c>
      <c r="E51" s="9">
        <v>139.0090805489883</v>
      </c>
      <c r="F51" s="9">
        <v>749.9999999999999</v>
      </c>
      <c r="G51" s="9">
        <v>2304.552386088852</v>
      </c>
      <c r="H51" s="9">
        <v>0.9319498053515642</v>
      </c>
      <c r="I51" s="9">
        <v>11.9996801173874</v>
      </c>
      <c r="J51" s="9">
        <v>0</v>
      </c>
      <c r="K51" s="7" t="b">
        <v>0</v>
      </c>
    </row>
    <row r="52" spans="1:11" ht="40" customHeight="1">
      <c r="A52" s="3" t="s">
        <v>68</v>
      </c>
      <c r="B52" s="4" t="s">
        <v>398</v>
      </c>
      <c r="C52" s="24">
        <v>3</v>
      </c>
      <c r="D52" s="10">
        <v>1760.334752499998</v>
      </c>
      <c r="E52" s="10">
        <v>113.6181431653311</v>
      </c>
      <c r="F52" s="10">
        <v>750</v>
      </c>
      <c r="G52" s="10">
        <v>1818.569934973982</v>
      </c>
      <c r="H52" s="10">
        <v>0.6070265518853255</v>
      </c>
      <c r="I52" s="10">
        <v>15.49343004082061</v>
      </c>
      <c r="J52" s="10">
        <v>0</v>
      </c>
      <c r="K52" s="4" t="b">
        <v>0</v>
      </c>
    </row>
    <row r="53" spans="1:11" ht="40" customHeight="1">
      <c r="A53" s="6" t="s">
        <v>68</v>
      </c>
      <c r="B53" s="7" t="s">
        <v>398</v>
      </c>
      <c r="C53" s="23">
        <v>4</v>
      </c>
      <c r="D53" s="9">
        <v>1814.153134112497</v>
      </c>
      <c r="E53" s="9">
        <v>88.99419609843891</v>
      </c>
      <c r="F53" s="9">
        <v>749.9999999999999</v>
      </c>
      <c r="G53" s="9">
        <v>1267.482112496721</v>
      </c>
      <c r="H53" s="9">
        <v>0.2852472058539197</v>
      </c>
      <c r="I53" s="9">
        <v>20.38507243894662</v>
      </c>
      <c r="J53" s="9">
        <v>0</v>
      </c>
      <c r="K53" s="7" t="b">
        <v>0</v>
      </c>
    </row>
    <row r="54" spans="1:11" ht="40" customHeight="1">
      <c r="A54" s="3" t="s">
        <v>68</v>
      </c>
      <c r="B54" s="4" t="s">
        <v>398</v>
      </c>
      <c r="C54" s="24">
        <v>5</v>
      </c>
      <c r="D54" s="10">
        <v>1869.56317552131</v>
      </c>
      <c r="E54" s="10">
        <v>74.90964122985427</v>
      </c>
      <c r="F54" s="10">
        <v>71.65712266275546</v>
      </c>
      <c r="G54" s="10">
        <v>0</v>
      </c>
      <c r="H54" s="10">
        <v>-0.03832827026172814</v>
      </c>
      <c r="I54" s="10">
        <v>24.95757748705142</v>
      </c>
      <c r="J54" s="10">
        <v>0</v>
      </c>
      <c r="K54" s="4" t="b">
        <v>0</v>
      </c>
    </row>
    <row r="55" spans="1:11" ht="40" customHeight="1">
      <c r="A55" s="6" t="s">
        <v>78</v>
      </c>
      <c r="B55" s="7" t="s">
        <v>398</v>
      </c>
      <c r="C55" s="23">
        <v>1</v>
      </c>
      <c r="D55" s="9">
        <v>1577.299999999999</v>
      </c>
      <c r="E55" s="9">
        <v>199.3427664974619</v>
      </c>
      <c r="F55" s="9">
        <v>750</v>
      </c>
      <c r="G55" s="9">
        <v>2731.987636899382</v>
      </c>
      <c r="H55" s="9">
        <v>1.256569857921374</v>
      </c>
      <c r="I55" s="9">
        <v>7.912501806380227</v>
      </c>
      <c r="J55" s="9">
        <v>0</v>
      </c>
      <c r="K55" s="7" t="b">
        <v>0</v>
      </c>
    </row>
    <row r="56" spans="1:11" ht="40" customHeight="1">
      <c r="A56" s="3" t="s">
        <v>78</v>
      </c>
      <c r="B56" s="4" t="s">
        <v>398</v>
      </c>
      <c r="C56" s="24">
        <v>2</v>
      </c>
      <c r="D56" s="10">
        <v>1668.064499999997</v>
      </c>
      <c r="E56" s="10">
        <v>142.6492273062113</v>
      </c>
      <c r="F56" s="10">
        <v>750</v>
      </c>
      <c r="G56" s="10">
        <v>2363.589602755754</v>
      </c>
      <c r="H56" s="10">
        <v>0.9673424515393479</v>
      </c>
      <c r="I56" s="10">
        <v>11.69347028020926</v>
      </c>
      <c r="J56" s="10">
        <v>0</v>
      </c>
      <c r="K56" s="4" t="b">
        <v>0</v>
      </c>
    </row>
    <row r="57" spans="1:11" ht="40" customHeight="1">
      <c r="A57" s="6" t="s">
        <v>78</v>
      </c>
      <c r="B57" s="7" t="s">
        <v>398</v>
      </c>
      <c r="C57" s="23">
        <v>3</v>
      </c>
      <c r="D57" s="9">
        <v>1760.334752499998</v>
      </c>
      <c r="E57" s="9">
        <v>117.1603761653452</v>
      </c>
      <c r="F57" s="9">
        <v>750</v>
      </c>
      <c r="G57" s="9">
        <v>1880.263826390894</v>
      </c>
      <c r="H57" s="9">
        <v>0.6420732333925193</v>
      </c>
      <c r="I57" s="9">
        <v>15.02500085878596</v>
      </c>
      <c r="J57" s="9">
        <v>0</v>
      </c>
      <c r="K57" s="7" t="b">
        <v>0</v>
      </c>
    </row>
    <row r="58" spans="1:11" ht="40" customHeight="1">
      <c r="A58" s="3" t="s">
        <v>78</v>
      </c>
      <c r="B58" s="4" t="s">
        <v>398</v>
      </c>
      <c r="C58" s="24">
        <v>4</v>
      </c>
      <c r="D58" s="10">
        <v>1814.153134112497</v>
      </c>
      <c r="E58" s="10">
        <v>92.69582958345364</v>
      </c>
      <c r="F58" s="10">
        <v>750</v>
      </c>
      <c r="G58" s="10">
        <v>1331.952229027394</v>
      </c>
      <c r="H58" s="10">
        <v>0.3207845126657907</v>
      </c>
      <c r="I58" s="10">
        <v>19.57103293928907</v>
      </c>
      <c r="J58" s="10">
        <v>0</v>
      </c>
      <c r="K58" s="4" t="b">
        <v>0</v>
      </c>
    </row>
    <row r="59" spans="1:11" ht="40" customHeight="1">
      <c r="A59" s="6" t="s">
        <v>78</v>
      </c>
      <c r="B59" s="7" t="s">
        <v>398</v>
      </c>
      <c r="C59" s="23">
        <v>5</v>
      </c>
      <c r="D59" s="9">
        <v>1869.56317552131</v>
      </c>
      <c r="E59" s="9">
        <v>78.72674522236204</v>
      </c>
      <c r="F59" s="9">
        <v>4.324178137701665</v>
      </c>
      <c r="G59" s="9">
        <v>0</v>
      </c>
      <c r="H59" s="9">
        <v>-0.002312935018361125</v>
      </c>
      <c r="I59" s="9">
        <v>23.74749737513939</v>
      </c>
      <c r="J59" s="9">
        <v>0</v>
      </c>
      <c r="K59" s="7" t="b">
        <v>0</v>
      </c>
    </row>
    <row r="60" spans="1:11" ht="40" customHeight="1">
      <c r="A60" s="3" t="s">
        <v>79</v>
      </c>
      <c r="B60" s="4" t="s">
        <v>398</v>
      </c>
      <c r="C60" s="24">
        <v>1</v>
      </c>
      <c r="D60" s="10">
        <v>1577.299999999999</v>
      </c>
      <c r="E60" s="10">
        <v>74.62195431472081</v>
      </c>
      <c r="F60" s="10">
        <v>750</v>
      </c>
      <c r="G60" s="10">
        <v>1589.665301874001</v>
      </c>
      <c r="H60" s="10">
        <v>0.5323434361719402</v>
      </c>
      <c r="I60" s="10">
        <v>21.13721108599862</v>
      </c>
      <c r="J60" s="10">
        <v>0</v>
      </c>
      <c r="K60" s="4" t="b">
        <v>1</v>
      </c>
    </row>
    <row r="61" spans="1:11" ht="40" customHeight="1">
      <c r="A61" s="6" t="s">
        <v>79</v>
      </c>
      <c r="B61" s="7" t="s">
        <v>398</v>
      </c>
      <c r="C61" s="23">
        <v>2</v>
      </c>
      <c r="D61" s="9">
        <v>1668.064499999997</v>
      </c>
      <c r="E61" s="9">
        <v>71.25408136712505</v>
      </c>
      <c r="F61" s="9">
        <v>750</v>
      </c>
      <c r="G61" s="9">
        <v>1167.720908276059</v>
      </c>
      <c r="H61" s="9">
        <v>0.2504225156018005</v>
      </c>
      <c r="I61" s="9">
        <v>23.41009059404705</v>
      </c>
      <c r="J61" s="9">
        <v>0</v>
      </c>
      <c r="K61" s="7" t="b">
        <v>1</v>
      </c>
    </row>
    <row r="62" spans="1:11" ht="40" customHeight="1">
      <c r="A62" s="3" t="s">
        <v>79</v>
      </c>
      <c r="B62" s="4" t="s">
        <v>398</v>
      </c>
      <c r="C62" s="24">
        <v>3</v>
      </c>
      <c r="D62" s="10">
        <v>1760.334752499998</v>
      </c>
      <c r="E62" s="10">
        <v>46.9167431431128</v>
      </c>
      <c r="F62" s="10">
        <v>750</v>
      </c>
      <c r="G62" s="10">
        <v>631.7124071445244</v>
      </c>
      <c r="H62" s="10">
        <v>-0.0671960788636852</v>
      </c>
      <c r="I62" s="10">
        <v>37.52039537634463</v>
      </c>
      <c r="J62" s="10">
        <v>0</v>
      </c>
      <c r="K62" s="4" t="b">
        <v>1</v>
      </c>
    </row>
    <row r="63" spans="1:11" ht="40" customHeight="1">
      <c r="A63" s="6" t="s">
        <v>79</v>
      </c>
      <c r="B63" s="7" t="s">
        <v>398</v>
      </c>
      <c r="C63" s="23">
        <v>4</v>
      </c>
      <c r="D63" s="9">
        <v>1814.153134112497</v>
      </c>
      <c r="E63" s="9">
        <v>24.00507147149193</v>
      </c>
      <c r="F63" s="9">
        <v>750</v>
      </c>
      <c r="G63" s="9">
        <v>31.88274119705306</v>
      </c>
      <c r="H63" s="9">
        <v>-0.3958415887279865</v>
      </c>
      <c r="I63" s="9">
        <v>75.57374433427366</v>
      </c>
      <c r="J63" s="9">
        <v>0</v>
      </c>
      <c r="K63" s="7" t="b">
        <v>1</v>
      </c>
    </row>
    <row r="64" spans="1:11" ht="40" customHeight="1">
      <c r="A64" s="3" t="s">
        <v>79</v>
      </c>
      <c r="B64" s="4" t="s">
        <v>398</v>
      </c>
      <c r="C64" s="24">
        <v>5</v>
      </c>
      <c r="D64" s="10">
        <v>1869.56317552131</v>
      </c>
      <c r="E64" s="10">
        <v>1.833257618830551</v>
      </c>
      <c r="F64" s="10">
        <v>1362.063781670691</v>
      </c>
      <c r="G64" s="10">
        <v>0</v>
      </c>
      <c r="H64" s="10">
        <v>-0.7285465393759122</v>
      </c>
      <c r="I64" s="10">
        <v>1019.803848797813</v>
      </c>
      <c r="J64" s="10">
        <v>0</v>
      </c>
      <c r="K64" s="4" t="b">
        <v>1</v>
      </c>
    </row>
    <row r="65" spans="1:11" ht="40" customHeight="1">
      <c r="A65" s="6" t="s">
        <v>68</v>
      </c>
      <c r="B65" s="7" t="s">
        <v>399</v>
      </c>
      <c r="C65" s="23">
        <v>1</v>
      </c>
      <c r="D65" s="9">
        <v>1577.299999999999</v>
      </c>
      <c r="E65" s="9">
        <v>155.332614213198</v>
      </c>
      <c r="F65" s="9">
        <v>750</v>
      </c>
      <c r="G65" s="9">
        <v>2378.736771173771</v>
      </c>
      <c r="H65" s="9">
        <v>1.032610645516878</v>
      </c>
      <c r="I65" s="9">
        <v>10.15433885529741</v>
      </c>
      <c r="J65" s="9">
        <v>0</v>
      </c>
      <c r="K65" s="7" t="b">
        <v>0</v>
      </c>
    </row>
    <row r="66" spans="1:11" ht="40" customHeight="1">
      <c r="A66" s="3" t="s">
        <v>68</v>
      </c>
      <c r="B66" s="4" t="s">
        <v>399</v>
      </c>
      <c r="C66" s="24">
        <v>2</v>
      </c>
      <c r="D66" s="10">
        <v>1668.064499999997</v>
      </c>
      <c r="E66" s="10">
        <v>131.2184159100984</v>
      </c>
      <c r="F66" s="10">
        <v>750</v>
      </c>
      <c r="G66" s="10">
        <v>1994.090765469361</v>
      </c>
      <c r="H66" s="10">
        <v>0.7458289325558829</v>
      </c>
      <c r="I66" s="10">
        <v>12.71212191086682</v>
      </c>
      <c r="J66" s="10">
        <v>0</v>
      </c>
      <c r="K66" s="4" t="b">
        <v>0</v>
      </c>
    </row>
    <row r="67" spans="1:11" ht="40" customHeight="1">
      <c r="A67" s="6" t="s">
        <v>68</v>
      </c>
      <c r="B67" s="7" t="s">
        <v>399</v>
      </c>
      <c r="C67" s="23">
        <v>3</v>
      </c>
      <c r="D67" s="9">
        <v>1760.334752499998</v>
      </c>
      <c r="E67" s="9">
        <v>101.9513535828552</v>
      </c>
      <c r="F67" s="9">
        <v>750</v>
      </c>
      <c r="G67" s="9">
        <v>1491.491487578592</v>
      </c>
      <c r="H67" s="9">
        <v>0.421221865060346</v>
      </c>
      <c r="I67" s="9">
        <v>17.26641864611817</v>
      </c>
      <c r="J67" s="9">
        <v>0</v>
      </c>
      <c r="K67" s="7" t="b">
        <v>0</v>
      </c>
    </row>
    <row r="68" spans="1:11" ht="40" customHeight="1">
      <c r="A68" s="3" t="s">
        <v>68</v>
      </c>
      <c r="B68" s="4" t="s">
        <v>399</v>
      </c>
      <c r="C68" s="24">
        <v>4</v>
      </c>
      <c r="D68" s="10">
        <v>1814.153134112497</v>
      </c>
      <c r="E68" s="10">
        <v>74.96440413050141</v>
      </c>
      <c r="F68" s="10">
        <v>749.9999999999999</v>
      </c>
      <c r="G68" s="10">
        <v>921.8179181716108</v>
      </c>
      <c r="H68" s="10">
        <v>0.09470971052047712</v>
      </c>
      <c r="I68" s="10">
        <v>24.20019414753618</v>
      </c>
      <c r="J68" s="10">
        <v>0</v>
      </c>
      <c r="K68" s="4" t="b">
        <v>0</v>
      </c>
    </row>
    <row r="69" spans="1:11" ht="40" customHeight="1">
      <c r="A69" s="6" t="s">
        <v>68</v>
      </c>
      <c r="B69" s="7" t="s">
        <v>399</v>
      </c>
      <c r="C69" s="23">
        <v>5</v>
      </c>
      <c r="D69" s="9">
        <v>1869.56317552131</v>
      </c>
      <c r="E69" s="9">
        <v>63.27443311938808</v>
      </c>
      <c r="F69" s="9">
        <v>434.312711098327</v>
      </c>
      <c r="G69" s="9">
        <v>0</v>
      </c>
      <c r="H69" s="9">
        <v>-0.2323070526767425</v>
      </c>
      <c r="I69" s="9">
        <v>29.54689727514054</v>
      </c>
      <c r="J69" s="9">
        <v>0</v>
      </c>
      <c r="K69" s="7" t="b">
        <v>0</v>
      </c>
    </row>
    <row r="70" spans="1:11" ht="40" customHeight="1">
      <c r="A70" s="3" t="s">
        <v>78</v>
      </c>
      <c r="B70" s="4" t="s">
        <v>399</v>
      </c>
      <c r="C70" s="24">
        <v>1</v>
      </c>
      <c r="D70" s="10">
        <v>1577.299999999999</v>
      </c>
      <c r="E70" s="10">
        <v>221.576269035533</v>
      </c>
      <c r="F70" s="10">
        <v>750</v>
      </c>
      <c r="G70" s="10">
        <v>2441.66824325499</v>
      </c>
      <c r="H70" s="10">
        <v>1.072508871650916</v>
      </c>
      <c r="I70" s="10">
        <v>7.118542102300026</v>
      </c>
      <c r="J70" s="10">
        <v>0</v>
      </c>
      <c r="K70" s="4" t="b">
        <v>0</v>
      </c>
    </row>
    <row r="71" spans="1:11" ht="40" customHeight="1">
      <c r="A71" s="6" t="s">
        <v>78</v>
      </c>
      <c r="B71" s="7" t="s">
        <v>399</v>
      </c>
      <c r="C71" s="23">
        <v>2</v>
      </c>
      <c r="D71" s="9">
        <v>1668.064499999997</v>
      </c>
      <c r="E71" s="9">
        <v>135.7809476359868</v>
      </c>
      <c r="F71" s="9">
        <v>750</v>
      </c>
      <c r="G71" s="9">
        <v>2060.444136344995</v>
      </c>
      <c r="H71" s="9">
        <v>0.7856075927189848</v>
      </c>
      <c r="I71" s="9">
        <v>12.28496728769259</v>
      </c>
      <c r="J71" s="9">
        <v>0</v>
      </c>
      <c r="K71" s="7" t="b">
        <v>0</v>
      </c>
    </row>
    <row r="72" spans="1:11" ht="40" customHeight="1">
      <c r="A72" s="3" t="s">
        <v>78</v>
      </c>
      <c r="B72" s="4" t="s">
        <v>399</v>
      </c>
      <c r="C72" s="24">
        <v>3</v>
      </c>
      <c r="D72" s="10">
        <v>1760.334752499998</v>
      </c>
      <c r="E72" s="10">
        <v>106.5960895441497</v>
      </c>
      <c r="F72" s="10">
        <v>750</v>
      </c>
      <c r="G72" s="10">
        <v>1561.328410425197</v>
      </c>
      <c r="H72" s="10">
        <v>0.4608943891342043</v>
      </c>
      <c r="I72" s="10">
        <v>16.51406500958844</v>
      </c>
      <c r="J72" s="10">
        <v>0</v>
      </c>
      <c r="K72" s="4" t="b">
        <v>0</v>
      </c>
    </row>
    <row r="73" spans="1:11" ht="40" customHeight="1">
      <c r="A73" s="6" t="s">
        <v>78</v>
      </c>
      <c r="B73" s="7" t="s">
        <v>399</v>
      </c>
      <c r="C73" s="23">
        <v>4</v>
      </c>
      <c r="D73" s="9">
        <v>1814.153134112497</v>
      </c>
      <c r="E73" s="9">
        <v>79.85298872976381</v>
      </c>
      <c r="F73" s="9">
        <v>750</v>
      </c>
      <c r="G73" s="9">
        <v>995.3212794676631</v>
      </c>
      <c r="H73" s="9">
        <v>0.1352263350070923</v>
      </c>
      <c r="I73" s="9">
        <v>22.71866292008058</v>
      </c>
      <c r="J73" s="9">
        <v>0</v>
      </c>
      <c r="K73" s="7" t="b">
        <v>0</v>
      </c>
    </row>
    <row r="74" spans="1:11" ht="40" customHeight="1">
      <c r="A74" s="3" t="s">
        <v>78</v>
      </c>
      <c r="B74" s="4" t="s">
        <v>399</v>
      </c>
      <c r="C74" s="24">
        <v>5</v>
      </c>
      <c r="D74" s="10">
        <v>1869.56317552131</v>
      </c>
      <c r="E74" s="10">
        <v>68.3663398774399</v>
      </c>
      <c r="F74" s="10">
        <v>356.990419733736</v>
      </c>
      <c r="G74" s="10">
        <v>0</v>
      </c>
      <c r="H74" s="10">
        <v>-0.1909485725905959</v>
      </c>
      <c r="I74" s="10">
        <v>27.34625224741985</v>
      </c>
      <c r="J74" s="10">
        <v>0</v>
      </c>
      <c r="K74" s="4" t="b">
        <v>0</v>
      </c>
    </row>
    <row r="75" spans="1:11" ht="40" customHeight="1">
      <c r="A75" s="6" t="s">
        <v>79</v>
      </c>
      <c r="B75" s="7" t="s">
        <v>399</v>
      </c>
      <c r="C75" s="23">
        <v>1</v>
      </c>
      <c r="D75" s="9">
        <v>1577.299999999999</v>
      </c>
      <c r="E75" s="9">
        <v>77.66763959390863</v>
      </c>
      <c r="F75" s="9">
        <v>750</v>
      </c>
      <c r="G75" s="9">
        <v>1284.955045285447</v>
      </c>
      <c r="H75" s="9">
        <v>0.339158717609489</v>
      </c>
      <c r="I75" s="9">
        <v>20.30832928935444</v>
      </c>
      <c r="J75" s="9">
        <v>0</v>
      </c>
      <c r="K75" s="7" t="b">
        <v>1</v>
      </c>
    </row>
    <row r="76" spans="1:11" ht="40" customHeight="1">
      <c r="A76" s="3" t="s">
        <v>79</v>
      </c>
      <c r="B76" s="4" t="s">
        <v>399</v>
      </c>
      <c r="C76" s="24">
        <v>2</v>
      </c>
      <c r="D76" s="10">
        <v>1668.064499999997</v>
      </c>
      <c r="E76" s="10">
        <v>52.57275226427232</v>
      </c>
      <c r="F76" s="10">
        <v>750</v>
      </c>
      <c r="G76" s="10">
        <v>841.3247918466666</v>
      </c>
      <c r="H76" s="10">
        <v>0.05474895715763193</v>
      </c>
      <c r="I76" s="10">
        <v>31.72868887698675</v>
      </c>
      <c r="J76" s="10">
        <v>0</v>
      </c>
      <c r="K76" s="4" t="b">
        <v>1</v>
      </c>
    </row>
    <row r="77" spans="1:11" ht="40" customHeight="1">
      <c r="A77" s="6" t="s">
        <v>79</v>
      </c>
      <c r="B77" s="7" t="s">
        <v>399</v>
      </c>
      <c r="C77" s="23">
        <v>3</v>
      </c>
      <c r="D77" s="9">
        <v>1760.334752499998</v>
      </c>
      <c r="E77" s="9">
        <v>31.97034209017333</v>
      </c>
      <c r="F77" s="9">
        <v>750</v>
      </c>
      <c r="G77" s="9">
        <v>286.2397553363865</v>
      </c>
      <c r="H77" s="9">
        <v>-0.2634500307427261</v>
      </c>
      <c r="I77" s="9">
        <v>55.06149254002099</v>
      </c>
      <c r="J77" s="9">
        <v>0</v>
      </c>
      <c r="K77" s="7" t="b">
        <v>1</v>
      </c>
    </row>
    <row r="78" spans="1:11" ht="40" customHeight="1">
      <c r="A78" s="3" t="s">
        <v>79</v>
      </c>
      <c r="B78" s="4" t="s">
        <v>399</v>
      </c>
      <c r="C78" s="24">
        <v>4</v>
      </c>
      <c r="D78" s="10">
        <v>1814.153134112497</v>
      </c>
      <c r="E78" s="10">
        <v>10.87711070278269</v>
      </c>
      <c r="F78" s="10">
        <v>1081.499284141383</v>
      </c>
      <c r="G78" s="10">
        <v>0</v>
      </c>
      <c r="H78" s="10">
        <v>-0.5961455313806593</v>
      </c>
      <c r="I78" s="10">
        <v>166.7863078426134</v>
      </c>
      <c r="J78" s="10">
        <v>0</v>
      </c>
      <c r="K78" s="4" t="b">
        <v>1</v>
      </c>
    </row>
    <row r="79" spans="1:11" ht="40" customHeight="1">
      <c r="A79" s="6" t="s">
        <v>79</v>
      </c>
      <c r="B79" s="7" t="s">
        <v>399</v>
      </c>
      <c r="C79" s="23">
        <v>5</v>
      </c>
      <c r="D79" s="9">
        <v>1869.56317552131</v>
      </c>
      <c r="E79" s="9">
        <v>0</v>
      </c>
      <c r="F79" s="9">
        <v>1735.085738250862</v>
      </c>
      <c r="G79" s="9">
        <v>0</v>
      </c>
      <c r="H79" s="9">
        <v>-0.9280701294124762</v>
      </c>
      <c r="I79" s="7"/>
      <c r="J79" s="9">
        <v>0</v>
      </c>
      <c r="K79" s="7" t="b">
        <v>1</v>
      </c>
    </row>
    <row r="80" spans="1:11" ht="25" customHeight="1">
      <c r="A80" s="3" t="s">
        <v>68</v>
      </c>
      <c r="B80" s="4" t="s">
        <v>400</v>
      </c>
      <c r="C80" s="24">
        <v>1</v>
      </c>
      <c r="D80" s="10">
        <v>1577.299999999999</v>
      </c>
      <c r="E80" s="10">
        <v>155.332614213198</v>
      </c>
      <c r="F80" s="10">
        <v>750</v>
      </c>
      <c r="G80" s="10">
        <v>2378.736771173771</v>
      </c>
      <c r="H80" s="10">
        <v>1.032610645516878</v>
      </c>
      <c r="I80" s="10">
        <v>10.15433885529741</v>
      </c>
      <c r="J80" s="10">
        <v>0</v>
      </c>
      <c r="K80" s="4" t="b">
        <v>0</v>
      </c>
    </row>
    <row r="81" spans="1:11" ht="25" customHeight="1">
      <c r="A81" s="6" t="s">
        <v>68</v>
      </c>
      <c r="B81" s="7" t="s">
        <v>400</v>
      </c>
      <c r="C81" s="23">
        <v>2</v>
      </c>
      <c r="D81" s="9">
        <v>1668.064499999997</v>
      </c>
      <c r="E81" s="9">
        <v>131.2184159100984</v>
      </c>
      <c r="F81" s="9">
        <v>750</v>
      </c>
      <c r="G81" s="9">
        <v>1994.090765469361</v>
      </c>
      <c r="H81" s="9">
        <v>0.7458289325558829</v>
      </c>
      <c r="I81" s="9">
        <v>12.71212191086682</v>
      </c>
      <c r="J81" s="9">
        <v>0</v>
      </c>
      <c r="K81" s="7" t="b">
        <v>0</v>
      </c>
    </row>
    <row r="82" spans="1:11" ht="25" customHeight="1">
      <c r="A82" s="3" t="s">
        <v>68</v>
      </c>
      <c r="B82" s="4" t="s">
        <v>400</v>
      </c>
      <c r="C82" s="24">
        <v>3</v>
      </c>
      <c r="D82" s="10">
        <v>1760.334752499998</v>
      </c>
      <c r="E82" s="10">
        <v>101.9513535828552</v>
      </c>
      <c r="F82" s="10">
        <v>750</v>
      </c>
      <c r="G82" s="10">
        <v>1491.491487578592</v>
      </c>
      <c r="H82" s="10">
        <v>0.421221865060346</v>
      </c>
      <c r="I82" s="10">
        <v>17.26641864611817</v>
      </c>
      <c r="J82" s="10">
        <v>0</v>
      </c>
      <c r="K82" s="4" t="b">
        <v>0</v>
      </c>
    </row>
    <row r="83" spans="1:11" ht="25" customHeight="1">
      <c r="A83" s="6" t="s">
        <v>68</v>
      </c>
      <c r="B83" s="7" t="s">
        <v>400</v>
      </c>
      <c r="C83" s="23">
        <v>4</v>
      </c>
      <c r="D83" s="9">
        <v>1814.153134112497</v>
      </c>
      <c r="E83" s="9">
        <v>74.96440413050141</v>
      </c>
      <c r="F83" s="9">
        <v>749.9999999999999</v>
      </c>
      <c r="G83" s="9">
        <v>921.8179181716108</v>
      </c>
      <c r="H83" s="9">
        <v>0.09470971052047712</v>
      </c>
      <c r="I83" s="9">
        <v>24.20019414753618</v>
      </c>
      <c r="J83" s="9">
        <v>0</v>
      </c>
      <c r="K83" s="7" t="b">
        <v>0</v>
      </c>
    </row>
    <row r="84" spans="1:11" ht="25" customHeight="1">
      <c r="A84" s="3" t="s">
        <v>68</v>
      </c>
      <c r="B84" s="4" t="s">
        <v>400</v>
      </c>
      <c r="C84" s="24">
        <v>5</v>
      </c>
      <c r="D84" s="10">
        <v>1869.56317552131</v>
      </c>
      <c r="E84" s="10">
        <v>59.54314850888936</v>
      </c>
      <c r="F84" s="10">
        <v>437.1111745562013</v>
      </c>
      <c r="G84" s="10">
        <v>0</v>
      </c>
      <c r="H84" s="10">
        <v>-0.2338039068587864</v>
      </c>
      <c r="I84" s="10">
        <v>31.39846014763895</v>
      </c>
      <c r="J84" s="10">
        <v>0</v>
      </c>
      <c r="K84" s="4" t="b">
        <v>0</v>
      </c>
    </row>
    <row r="85" spans="1:11" ht="25" customHeight="1">
      <c r="A85" s="6" t="s">
        <v>78</v>
      </c>
      <c r="B85" s="7" t="s">
        <v>400</v>
      </c>
      <c r="C85" s="23">
        <v>1</v>
      </c>
      <c r="D85" s="9">
        <v>1577.299999999999</v>
      </c>
      <c r="E85" s="9">
        <v>221.576269035533</v>
      </c>
      <c r="F85" s="9">
        <v>750</v>
      </c>
      <c r="G85" s="9">
        <v>2441.66824325499</v>
      </c>
      <c r="H85" s="9">
        <v>1.072508871650916</v>
      </c>
      <c r="I85" s="9">
        <v>7.118542102300027</v>
      </c>
      <c r="J85" s="9">
        <v>0</v>
      </c>
      <c r="K85" s="7" t="b">
        <v>0</v>
      </c>
    </row>
    <row r="86" spans="1:11" ht="25" customHeight="1">
      <c r="A86" s="3" t="s">
        <v>78</v>
      </c>
      <c r="B86" s="4" t="s">
        <v>400</v>
      </c>
      <c r="C86" s="24">
        <v>2</v>
      </c>
      <c r="D86" s="10">
        <v>1668.064499999997</v>
      </c>
      <c r="E86" s="10">
        <v>135.7809476359868</v>
      </c>
      <c r="F86" s="10">
        <v>750</v>
      </c>
      <c r="G86" s="10">
        <v>2060.444136344995</v>
      </c>
      <c r="H86" s="10">
        <v>0.7856075927189848</v>
      </c>
      <c r="I86" s="10">
        <v>12.28496728769259</v>
      </c>
      <c r="J86" s="10">
        <v>0</v>
      </c>
      <c r="K86" s="4" t="b">
        <v>0</v>
      </c>
    </row>
    <row r="87" spans="1:11" ht="25" customHeight="1">
      <c r="A87" s="6" t="s">
        <v>78</v>
      </c>
      <c r="B87" s="7" t="s">
        <v>400</v>
      </c>
      <c r="C87" s="23">
        <v>3</v>
      </c>
      <c r="D87" s="9">
        <v>1760.334752499998</v>
      </c>
      <c r="E87" s="9">
        <v>106.5960895441497</v>
      </c>
      <c r="F87" s="9">
        <v>750</v>
      </c>
      <c r="G87" s="9">
        <v>1561.328410425197</v>
      </c>
      <c r="H87" s="9">
        <v>0.4608943891342043</v>
      </c>
      <c r="I87" s="9">
        <v>16.51406500958844</v>
      </c>
      <c r="J87" s="9">
        <v>0</v>
      </c>
      <c r="K87" s="7" t="b">
        <v>0</v>
      </c>
    </row>
    <row r="88" spans="1:11" ht="25" customHeight="1">
      <c r="A88" s="3" t="s">
        <v>78</v>
      </c>
      <c r="B88" s="4" t="s">
        <v>400</v>
      </c>
      <c r="C88" s="24">
        <v>4</v>
      </c>
      <c r="D88" s="10">
        <v>1814.153134112497</v>
      </c>
      <c r="E88" s="10">
        <v>79.85298872976381</v>
      </c>
      <c r="F88" s="10">
        <v>750</v>
      </c>
      <c r="G88" s="10">
        <v>995.3212794676631</v>
      </c>
      <c r="H88" s="10">
        <v>0.1352263350070923</v>
      </c>
      <c r="I88" s="10">
        <v>22.71866292008058</v>
      </c>
      <c r="J88" s="10">
        <v>0</v>
      </c>
      <c r="K88" s="4" t="b">
        <v>0</v>
      </c>
    </row>
    <row r="89" spans="1:11" ht="25" customHeight="1">
      <c r="A89" s="6" t="s">
        <v>78</v>
      </c>
      <c r="B89" s="7" t="s">
        <v>400</v>
      </c>
      <c r="C89" s="23">
        <v>5</v>
      </c>
      <c r="D89" s="9">
        <v>1869.56317552131</v>
      </c>
      <c r="E89" s="9">
        <v>64.42174113625381</v>
      </c>
      <c r="F89" s="9">
        <v>359.9488687896257</v>
      </c>
      <c r="G89" s="9">
        <v>0</v>
      </c>
      <c r="H89" s="9">
        <v>-0.1925310005580621</v>
      </c>
      <c r="I89" s="9">
        <v>29.02068684494464</v>
      </c>
      <c r="J89" s="9">
        <v>0</v>
      </c>
      <c r="K89" s="7" t="b">
        <v>0</v>
      </c>
    </row>
    <row r="90" spans="1:11" ht="25" customHeight="1">
      <c r="A90" s="3" t="s">
        <v>79</v>
      </c>
      <c r="B90" s="4" t="s">
        <v>400</v>
      </c>
      <c r="C90" s="24">
        <v>1</v>
      </c>
      <c r="D90" s="10">
        <v>1577.299999999999</v>
      </c>
      <c r="E90" s="10">
        <v>77.66763959390863</v>
      </c>
      <c r="F90" s="10">
        <v>750</v>
      </c>
      <c r="G90" s="10">
        <v>1284.955045285447</v>
      </c>
      <c r="H90" s="10">
        <v>0.339158717609489</v>
      </c>
      <c r="I90" s="10">
        <v>20.30832928935444</v>
      </c>
      <c r="J90" s="10">
        <v>0</v>
      </c>
      <c r="K90" s="4" t="b">
        <v>1</v>
      </c>
    </row>
    <row r="91" spans="1:11" ht="25" customHeight="1">
      <c r="A91" s="6" t="s">
        <v>79</v>
      </c>
      <c r="B91" s="7" t="s">
        <v>400</v>
      </c>
      <c r="C91" s="23">
        <v>2</v>
      </c>
      <c r="D91" s="9">
        <v>1668.064499999997</v>
      </c>
      <c r="E91" s="9">
        <v>52.57275226427232</v>
      </c>
      <c r="F91" s="9">
        <v>750</v>
      </c>
      <c r="G91" s="9">
        <v>841.3247918466666</v>
      </c>
      <c r="H91" s="9">
        <v>0.05474895715763193</v>
      </c>
      <c r="I91" s="9">
        <v>31.72868887698675</v>
      </c>
      <c r="J91" s="9">
        <v>0</v>
      </c>
      <c r="K91" s="7" t="b">
        <v>1</v>
      </c>
    </row>
    <row r="92" spans="1:11" ht="25" customHeight="1">
      <c r="A92" s="3" t="s">
        <v>79</v>
      </c>
      <c r="B92" s="4" t="s">
        <v>400</v>
      </c>
      <c r="C92" s="24">
        <v>3</v>
      </c>
      <c r="D92" s="10">
        <v>1760.334752499998</v>
      </c>
      <c r="E92" s="10">
        <v>31.97034209017333</v>
      </c>
      <c r="F92" s="10">
        <v>750</v>
      </c>
      <c r="G92" s="10">
        <v>286.2397553363865</v>
      </c>
      <c r="H92" s="10">
        <v>-0.2634500307427261</v>
      </c>
      <c r="I92" s="10">
        <v>55.06149254002099</v>
      </c>
      <c r="J92" s="10">
        <v>0</v>
      </c>
      <c r="K92" s="4" t="b">
        <v>1</v>
      </c>
    </row>
    <row r="93" spans="1:11" ht="25" customHeight="1">
      <c r="A93" s="6" t="s">
        <v>79</v>
      </c>
      <c r="B93" s="7" t="s">
        <v>400</v>
      </c>
      <c r="C93" s="23">
        <v>4</v>
      </c>
      <c r="D93" s="9">
        <v>1814.153134112497</v>
      </c>
      <c r="E93" s="9">
        <v>10.87711070278269</v>
      </c>
      <c r="F93" s="9">
        <v>1081.499284141383</v>
      </c>
      <c r="G93" s="9">
        <v>0</v>
      </c>
      <c r="H93" s="9">
        <v>-0.5961455313806593</v>
      </c>
      <c r="I93" s="9">
        <v>166.7863078426134</v>
      </c>
      <c r="J93" s="9">
        <v>0</v>
      </c>
      <c r="K93" s="7" t="b">
        <v>1</v>
      </c>
    </row>
    <row r="94" spans="1:11" ht="25" customHeight="1">
      <c r="A94" s="3" t="s">
        <v>79</v>
      </c>
      <c r="B94" s="4" t="s">
        <v>400</v>
      </c>
      <c r="C94" s="24">
        <v>5</v>
      </c>
      <c r="D94" s="10">
        <v>1869.56317552131</v>
      </c>
      <c r="E94" s="10">
        <v>0</v>
      </c>
      <c r="F94" s="10">
        <v>1735.085738250862</v>
      </c>
      <c r="G94" s="10">
        <v>0</v>
      </c>
      <c r="H94" s="10">
        <v>-0.9280701294124762</v>
      </c>
      <c r="I94" s="4"/>
      <c r="J94" s="10">
        <v>0</v>
      </c>
      <c r="K94" s="4" t="b">
        <v>1</v>
      </c>
    </row>
    <row r="95" spans="1:11" ht="40" customHeight="1">
      <c r="A95" s="6" t="s">
        <v>68</v>
      </c>
      <c r="B95" s="7" t="s">
        <v>401</v>
      </c>
      <c r="C95" s="23">
        <v>1</v>
      </c>
      <c r="D95" s="9">
        <v>1557.299999999999</v>
      </c>
      <c r="E95" s="9">
        <v>141.9315989847716</v>
      </c>
      <c r="F95" s="9">
        <v>750</v>
      </c>
      <c r="G95" s="9">
        <v>2383.686009752451</v>
      </c>
      <c r="H95" s="9">
        <v>1.04905028559202</v>
      </c>
      <c r="I95" s="9">
        <v>10.97218668104408</v>
      </c>
      <c r="J95" s="9">
        <v>0</v>
      </c>
      <c r="K95" s="7" t="b">
        <v>0</v>
      </c>
    </row>
    <row r="96" spans="1:11" ht="40" customHeight="1">
      <c r="A96" s="3" t="s">
        <v>68</v>
      </c>
      <c r="B96" s="4" t="s">
        <v>401</v>
      </c>
      <c r="C96" s="24">
        <v>2</v>
      </c>
      <c r="D96" s="10">
        <v>1618.064499999997</v>
      </c>
      <c r="E96" s="10">
        <v>120.8803756095282</v>
      </c>
      <c r="F96" s="10">
        <v>750</v>
      </c>
      <c r="G96" s="10">
        <v>2028.786473822613</v>
      </c>
      <c r="H96" s="10">
        <v>0.7903186021463391</v>
      </c>
      <c r="I96" s="10">
        <v>13.38566737438609</v>
      </c>
      <c r="J96" s="10">
        <v>0</v>
      </c>
      <c r="K96" s="4" t="b">
        <v>0</v>
      </c>
    </row>
    <row r="97" spans="1:11" ht="40" customHeight="1">
      <c r="A97" s="6" t="s">
        <v>68</v>
      </c>
      <c r="B97" s="7" t="s">
        <v>401</v>
      </c>
      <c r="C97" s="23">
        <v>3</v>
      </c>
      <c r="D97" s="9">
        <v>1690.334752499998</v>
      </c>
      <c r="E97" s="9">
        <v>97.07218842935677</v>
      </c>
      <c r="F97" s="9">
        <v>750</v>
      </c>
      <c r="G97" s="9">
        <v>1575.02782206672</v>
      </c>
      <c r="H97" s="9">
        <v>0.4880854640458097</v>
      </c>
      <c r="I97" s="9">
        <v>17.41317240138375</v>
      </c>
      <c r="J97" s="9">
        <v>0</v>
      </c>
      <c r="K97" s="7" t="b">
        <v>0</v>
      </c>
    </row>
    <row r="98" spans="1:11" ht="40" customHeight="1">
      <c r="A98" s="3" t="s">
        <v>68</v>
      </c>
      <c r="B98" s="4" t="s">
        <v>401</v>
      </c>
      <c r="C98" s="24">
        <v>4</v>
      </c>
      <c r="D98" s="10">
        <v>1764.153134112497</v>
      </c>
      <c r="E98" s="10">
        <v>74.38166932400321</v>
      </c>
      <c r="F98" s="10">
        <v>749.9999999999999</v>
      </c>
      <c r="G98" s="10">
        <v>1042.417201554866</v>
      </c>
      <c r="H98" s="10">
        <v>0.165754999325483</v>
      </c>
      <c r="I98" s="10">
        <v>23.71757921199544</v>
      </c>
      <c r="J98" s="10">
        <v>0</v>
      </c>
      <c r="K98" s="4" t="b">
        <v>0</v>
      </c>
    </row>
    <row r="99" spans="1:11" ht="40" customHeight="1">
      <c r="A99" s="6" t="s">
        <v>68</v>
      </c>
      <c r="B99" s="7" t="s">
        <v>401</v>
      </c>
      <c r="C99" s="23">
        <v>5</v>
      </c>
      <c r="D99" s="9">
        <v>1819.56317552131</v>
      </c>
      <c r="E99" s="9">
        <v>61.35955356842945</v>
      </c>
      <c r="F99" s="9">
        <v>277.6495873782914</v>
      </c>
      <c r="G99" s="9">
        <v>0</v>
      </c>
      <c r="H99" s="9">
        <v>-0.1525913423142035</v>
      </c>
      <c r="I99" s="9">
        <v>29.65411365798311</v>
      </c>
      <c r="J99" s="9">
        <v>0</v>
      </c>
      <c r="K99" s="7" t="b">
        <v>0</v>
      </c>
    </row>
    <row r="100" spans="1:11" ht="40" customHeight="1">
      <c r="A100" s="3" t="s">
        <v>78</v>
      </c>
      <c r="B100" s="4" t="s">
        <v>401</v>
      </c>
      <c r="C100" s="24">
        <v>1</v>
      </c>
      <c r="D100" s="10">
        <v>1557.299999999999</v>
      </c>
      <c r="E100" s="10">
        <v>199.3427664974619</v>
      </c>
      <c r="F100" s="10">
        <v>750</v>
      </c>
      <c r="G100" s="10">
        <v>2439.993116351437</v>
      </c>
      <c r="H100" s="10">
        <v>1.0852071639064</v>
      </c>
      <c r="I100" s="10">
        <v>7.812172106178867</v>
      </c>
      <c r="J100" s="10">
        <v>0</v>
      </c>
      <c r="K100" s="4" t="b">
        <v>0</v>
      </c>
    </row>
    <row r="101" spans="1:11" ht="40" customHeight="1">
      <c r="A101" s="6" t="s">
        <v>78</v>
      </c>
      <c r="B101" s="7" t="s">
        <v>401</v>
      </c>
      <c r="C101" s="23">
        <v>2</v>
      </c>
      <c r="D101" s="9">
        <v>1618.064499999997</v>
      </c>
      <c r="E101" s="9">
        <v>124.3995697719648</v>
      </c>
      <c r="F101" s="9">
        <v>750</v>
      </c>
      <c r="G101" s="9">
        <v>2087.732976043425</v>
      </c>
      <c r="H101" s="9">
        <v>0.8267488570717839</v>
      </c>
      <c r="I101" s="9">
        <v>13.00699434062393</v>
      </c>
      <c r="J101" s="9">
        <v>0</v>
      </c>
      <c r="K101" s="7" t="b">
        <v>0</v>
      </c>
    </row>
    <row r="102" spans="1:11" ht="40" customHeight="1">
      <c r="A102" s="3" t="s">
        <v>78</v>
      </c>
      <c r="B102" s="4" t="s">
        <v>401</v>
      </c>
      <c r="C102" s="24">
        <v>3</v>
      </c>
      <c r="D102" s="10">
        <v>1690.334752499998</v>
      </c>
      <c r="E102" s="10">
        <v>100.6089785626055</v>
      </c>
      <c r="F102" s="10">
        <v>750</v>
      </c>
      <c r="G102" s="10">
        <v>1636.626916887469</v>
      </c>
      <c r="H102" s="10">
        <v>0.5245274142155286</v>
      </c>
      <c r="I102" s="10">
        <v>16.80103283672799</v>
      </c>
      <c r="J102" s="10">
        <v>0</v>
      </c>
      <c r="K102" s="4" t="b">
        <v>0</v>
      </c>
    </row>
    <row r="103" spans="1:11" ht="40" customHeight="1">
      <c r="A103" s="6" t="s">
        <v>78</v>
      </c>
      <c r="B103" s="7" t="s">
        <v>401</v>
      </c>
      <c r="C103" s="23">
        <v>4</v>
      </c>
      <c r="D103" s="9">
        <v>1764.153134112497</v>
      </c>
      <c r="E103" s="9">
        <v>78.07761501324816</v>
      </c>
      <c r="F103" s="9">
        <v>750</v>
      </c>
      <c r="G103" s="9">
        <v>1106.788255642549</v>
      </c>
      <c r="H103" s="9">
        <v>0.2022433590052489</v>
      </c>
      <c r="I103" s="9">
        <v>22.59486453080255</v>
      </c>
      <c r="J103" s="9">
        <v>0</v>
      </c>
      <c r="K103" s="7" t="b">
        <v>0</v>
      </c>
    </row>
    <row r="104" spans="1:11" ht="40" customHeight="1">
      <c r="A104" s="3" t="s">
        <v>78</v>
      </c>
      <c r="B104" s="4" t="s">
        <v>401</v>
      </c>
      <c r="C104" s="24">
        <v>5</v>
      </c>
      <c r="D104" s="10">
        <v>1819.56317552131</v>
      </c>
      <c r="E104" s="10">
        <v>65.17072447897488</v>
      </c>
      <c r="F104" s="10">
        <v>210.420155107699</v>
      </c>
      <c r="G104" s="10">
        <v>0</v>
      </c>
      <c r="H104" s="10">
        <v>-0.1156432257689613</v>
      </c>
      <c r="I104" s="10">
        <v>27.91994703247975</v>
      </c>
      <c r="J104" s="10">
        <v>0</v>
      </c>
      <c r="K104" s="4" t="b">
        <v>0</v>
      </c>
    </row>
    <row r="105" spans="1:11" ht="40" customHeight="1">
      <c r="A105" s="6" t="s">
        <v>79</v>
      </c>
      <c r="B105" s="7" t="s">
        <v>401</v>
      </c>
      <c r="C105" s="23">
        <v>1</v>
      </c>
      <c r="D105" s="9">
        <v>1557.299999999999</v>
      </c>
      <c r="E105" s="9">
        <v>74.62195431472081</v>
      </c>
      <c r="F105" s="9">
        <v>750</v>
      </c>
      <c r="G105" s="9">
        <v>1297.670781326056</v>
      </c>
      <c r="H105" s="9">
        <v>0.3516796900571863</v>
      </c>
      <c r="I105" s="9">
        <v>20.8691934471728</v>
      </c>
      <c r="J105" s="9">
        <v>0</v>
      </c>
      <c r="K105" s="7" t="b">
        <v>1</v>
      </c>
    </row>
    <row r="106" spans="1:11" ht="40" customHeight="1">
      <c r="A106" s="3" t="s">
        <v>79</v>
      </c>
      <c r="B106" s="4" t="s">
        <v>401</v>
      </c>
      <c r="C106" s="24">
        <v>2</v>
      </c>
      <c r="D106" s="10">
        <v>1618.064499999997</v>
      </c>
      <c r="E106" s="10">
        <v>53.20853906630279</v>
      </c>
      <c r="F106" s="10">
        <v>750</v>
      </c>
      <c r="G106" s="10">
        <v>892.0173679887987</v>
      </c>
      <c r="H106" s="10">
        <v>0.08776990533368659</v>
      </c>
      <c r="I106" s="10">
        <v>30.40986519069314</v>
      </c>
      <c r="J106" s="10">
        <v>0</v>
      </c>
      <c r="K106" s="4" t="b">
        <v>1</v>
      </c>
    </row>
    <row r="107" spans="1:11" ht="40" customHeight="1">
      <c r="A107" s="6" t="s">
        <v>79</v>
      </c>
      <c r="B107" s="7" t="s">
        <v>401</v>
      </c>
      <c r="C107" s="23">
        <v>3</v>
      </c>
      <c r="D107" s="9">
        <v>1690.334752499998</v>
      </c>
      <c r="E107" s="9">
        <v>33.89665998357435</v>
      </c>
      <c r="F107" s="9">
        <v>750</v>
      </c>
      <c r="G107" s="9">
        <v>390.8770698985691</v>
      </c>
      <c r="H107" s="9">
        <v>-0.2124566921257992</v>
      </c>
      <c r="I107" s="9">
        <v>49.86729528275354</v>
      </c>
      <c r="J107" s="9">
        <v>0</v>
      </c>
      <c r="K107" s="7" t="b">
        <v>1</v>
      </c>
    </row>
    <row r="108" spans="1:11" ht="40" customHeight="1">
      <c r="A108" s="3" t="s">
        <v>79</v>
      </c>
      <c r="B108" s="4" t="s">
        <v>401</v>
      </c>
      <c r="C108" s="24">
        <v>4</v>
      </c>
      <c r="D108" s="10">
        <v>1764.153134112497</v>
      </c>
      <c r="E108" s="10">
        <v>14.85332865614562</v>
      </c>
      <c r="F108" s="10">
        <v>936.3798061141786</v>
      </c>
      <c r="G108" s="10">
        <v>0</v>
      </c>
      <c r="H108" s="10">
        <v>-0.5307814769635906</v>
      </c>
      <c r="I108" s="10">
        <v>118.7715679732551</v>
      </c>
      <c r="J108" s="10">
        <v>0</v>
      </c>
      <c r="K108" s="4" t="b">
        <v>1</v>
      </c>
    </row>
    <row r="109" spans="1:11" ht="40" customHeight="1">
      <c r="A109" s="6" t="s">
        <v>79</v>
      </c>
      <c r="B109" s="7" t="s">
        <v>401</v>
      </c>
      <c r="C109" s="23">
        <v>5</v>
      </c>
      <c r="D109" s="9">
        <v>1819.56317552131</v>
      </c>
      <c r="E109" s="9">
        <v>0</v>
      </c>
      <c r="F109" s="9">
        <v>1552.466260223658</v>
      </c>
      <c r="G109" s="9">
        <v>0</v>
      </c>
      <c r="H109" s="9">
        <v>-0.8532082211319052</v>
      </c>
      <c r="I109" s="7"/>
      <c r="J109" s="9">
        <v>0</v>
      </c>
      <c r="K109" s="7" t="b">
        <v>1</v>
      </c>
    </row>
    <row r="110" spans="1:11" ht="40" customHeight="1">
      <c r="A110" s="3" t="s">
        <v>68</v>
      </c>
      <c r="B110" s="4" t="s">
        <v>402</v>
      </c>
      <c r="C110" s="24">
        <v>1</v>
      </c>
      <c r="D110" s="10">
        <v>1201.420000000001</v>
      </c>
      <c r="E110" s="10">
        <v>168.7336294416244</v>
      </c>
      <c r="F110" s="10">
        <v>750</v>
      </c>
      <c r="G110" s="10">
        <v>2892.628637047145</v>
      </c>
      <c r="H110" s="10">
        <v>1.783413491574257</v>
      </c>
      <c r="I110" s="10">
        <v>7.120216663244642</v>
      </c>
      <c r="J110" s="10">
        <v>0</v>
      </c>
      <c r="K110" s="4" t="b">
        <v>0</v>
      </c>
    </row>
    <row r="111" spans="1:11" ht="40" customHeight="1">
      <c r="A111" s="6" t="s">
        <v>68</v>
      </c>
      <c r="B111" s="7" t="s">
        <v>402</v>
      </c>
      <c r="C111" s="23">
        <v>2</v>
      </c>
      <c r="D111" s="9">
        <v>1253.287500000001</v>
      </c>
      <c r="E111" s="9">
        <v>180.9452482481225</v>
      </c>
      <c r="F111" s="9">
        <v>750</v>
      </c>
      <c r="G111" s="9">
        <v>2837.744408207551</v>
      </c>
      <c r="H111" s="9">
        <v>1.665814434603033</v>
      </c>
      <c r="I111" s="9">
        <v>6.926335519357885</v>
      </c>
      <c r="J111" s="9">
        <v>0</v>
      </c>
      <c r="K111" s="7" t="b">
        <v>0</v>
      </c>
    </row>
    <row r="112" spans="1:11" ht="40" customHeight="1">
      <c r="A112" s="3" t="s">
        <v>68</v>
      </c>
      <c r="B112" s="4" t="s">
        <v>402</v>
      </c>
      <c r="C112" s="24">
        <v>3</v>
      </c>
      <c r="D112" s="10">
        <v>1316.438327499999</v>
      </c>
      <c r="E112" s="10">
        <v>173.2389658281213</v>
      </c>
      <c r="F112" s="10">
        <v>749.9999999999999</v>
      </c>
      <c r="G112" s="10">
        <v>2702.451658427315</v>
      </c>
      <c r="H112" s="10">
        <v>1.483131885209652</v>
      </c>
      <c r="I112" s="10">
        <v>7.598973598157476</v>
      </c>
      <c r="J112" s="10">
        <v>0</v>
      </c>
      <c r="K112" s="4" t="b">
        <v>0</v>
      </c>
    </row>
    <row r="113" spans="1:11" ht="40" customHeight="1">
      <c r="A113" s="6" t="s">
        <v>68</v>
      </c>
      <c r="B113" s="7" t="s">
        <v>402</v>
      </c>
      <c r="C113" s="23">
        <v>4</v>
      </c>
      <c r="D113" s="9">
        <v>1380.909298487499</v>
      </c>
      <c r="E113" s="9">
        <v>171.0516798372448</v>
      </c>
      <c r="F113" s="9">
        <v>118.6755158150901</v>
      </c>
      <c r="G113" s="9">
        <v>1878.893401015228</v>
      </c>
      <c r="H113" s="9">
        <v>1.27468030458488</v>
      </c>
      <c r="I113" s="9">
        <v>8.073053125239289</v>
      </c>
      <c r="J113" s="9">
        <v>0</v>
      </c>
      <c r="K113" s="7" t="b">
        <v>0</v>
      </c>
    </row>
    <row r="114" spans="1:11" ht="40" customHeight="1">
      <c r="A114" s="3" t="s">
        <v>68</v>
      </c>
      <c r="B114" s="4" t="s">
        <v>402</v>
      </c>
      <c r="C114" s="24">
        <v>5</v>
      </c>
      <c r="D114" s="10">
        <v>1426.738244005687</v>
      </c>
      <c r="E114" s="10">
        <v>141.9564720812182</v>
      </c>
      <c r="F114" s="10">
        <v>0</v>
      </c>
      <c r="G114" s="10">
        <v>1525.169983036314</v>
      </c>
      <c r="H114" s="10">
        <v>1.068990748263866</v>
      </c>
      <c r="I114" s="10">
        <v>10.05053325916271</v>
      </c>
      <c r="J114" s="10">
        <v>1525.169983036314</v>
      </c>
      <c r="K114" s="4" t="b">
        <v>0</v>
      </c>
    </row>
    <row r="115" spans="1:11" ht="40" customHeight="1">
      <c r="A115" s="6" t="s">
        <v>78</v>
      </c>
      <c r="B115" s="7" t="s">
        <v>402</v>
      </c>
      <c r="C115" s="23">
        <v>1</v>
      </c>
      <c r="D115" s="9">
        <v>1201.420000000001</v>
      </c>
      <c r="E115" s="9">
        <v>243.8097715736041</v>
      </c>
      <c r="F115" s="9">
        <v>750</v>
      </c>
      <c r="G115" s="9">
        <v>2962.184474610597</v>
      </c>
      <c r="H115" s="9">
        <v>1.841308180828183</v>
      </c>
      <c r="I115" s="9">
        <v>4.927694211129279</v>
      </c>
      <c r="J115" s="9">
        <v>0</v>
      </c>
      <c r="K115" s="7" t="b">
        <v>0</v>
      </c>
    </row>
    <row r="116" spans="1:11" ht="40" customHeight="1">
      <c r="A116" s="3" t="s">
        <v>78</v>
      </c>
      <c r="B116" s="4" t="s">
        <v>402</v>
      </c>
      <c r="C116" s="24">
        <v>2</v>
      </c>
      <c r="D116" s="10">
        <v>1253.287500000001</v>
      </c>
      <c r="E116" s="10">
        <v>190.0002191553743</v>
      </c>
      <c r="F116" s="10">
        <v>750</v>
      </c>
      <c r="G116" s="10">
        <v>2914.091473951442</v>
      </c>
      <c r="H116" s="10">
        <v>1.72673187433166</v>
      </c>
      <c r="I116" s="10">
        <v>6.596242391568583</v>
      </c>
      <c r="J116" s="10">
        <v>0</v>
      </c>
      <c r="K116" s="4" t="b">
        <v>0</v>
      </c>
    </row>
    <row r="117" spans="1:11" ht="40" customHeight="1">
      <c r="A117" s="6" t="s">
        <v>78</v>
      </c>
      <c r="B117" s="7" t="s">
        <v>402</v>
      </c>
      <c r="C117" s="23">
        <v>3</v>
      </c>
      <c r="D117" s="9">
        <v>1316.438327499999</v>
      </c>
      <c r="E117" s="9">
        <v>182.357642860903</v>
      </c>
      <c r="F117" s="9">
        <v>750</v>
      </c>
      <c r="G117" s="9">
        <v>2785.637731945792</v>
      </c>
      <c r="H117" s="9">
        <v>1.546322140142789</v>
      </c>
      <c r="I117" s="9">
        <v>7.218991794624912</v>
      </c>
      <c r="J117" s="9">
        <v>0</v>
      </c>
      <c r="K117" s="7" t="b">
        <v>0</v>
      </c>
    </row>
    <row r="118" spans="1:11" ht="40" customHeight="1">
      <c r="A118" s="3" t="s">
        <v>78</v>
      </c>
      <c r="B118" s="4" t="s">
        <v>402</v>
      </c>
      <c r="C118" s="24">
        <v>4</v>
      </c>
      <c r="D118" s="10">
        <v>1380.909298487499</v>
      </c>
      <c r="E118" s="10">
        <v>180.4111777120699</v>
      </c>
      <c r="F118" s="10">
        <v>310.359877257436</v>
      </c>
      <c r="G118" s="10">
        <v>2160.78345938217</v>
      </c>
      <c r="H118" s="10">
        <v>1.340003709259899</v>
      </c>
      <c r="I118" s="10">
        <v>7.654233601264904</v>
      </c>
      <c r="J118" s="10">
        <v>0</v>
      </c>
      <c r="K118" s="4" t="b">
        <v>0</v>
      </c>
    </row>
    <row r="119" spans="1:11" ht="40" customHeight="1">
      <c r="A119" s="6" t="s">
        <v>78</v>
      </c>
      <c r="B119" s="7" t="s">
        <v>402</v>
      </c>
      <c r="C119" s="23">
        <v>5</v>
      </c>
      <c r="D119" s="9">
        <v>1426.738244005687</v>
      </c>
      <c r="E119" s="9">
        <v>164.5076767505736</v>
      </c>
      <c r="F119" s="9">
        <v>0</v>
      </c>
      <c r="G119" s="9">
        <v>1632.289083462927</v>
      </c>
      <c r="H119" s="9">
        <v>1.144070463044531</v>
      </c>
      <c r="I119" s="9">
        <v>8.67277608065006</v>
      </c>
      <c r="J119" s="9">
        <v>1632.289083462927</v>
      </c>
      <c r="K119" s="7" t="b">
        <v>0</v>
      </c>
    </row>
    <row r="120" spans="1:11" ht="40" customHeight="1">
      <c r="A120" s="3" t="s">
        <v>79</v>
      </c>
      <c r="B120" s="4" t="s">
        <v>402</v>
      </c>
      <c r="C120" s="24">
        <v>1</v>
      </c>
      <c r="D120" s="10">
        <v>1201.420000000001</v>
      </c>
      <c r="E120" s="10">
        <v>80.71332487309644</v>
      </c>
      <c r="F120" s="10">
        <v>750</v>
      </c>
      <c r="G120" s="10">
        <v>1791.080413696891</v>
      </c>
      <c r="H120" s="10">
        <v>0.8665416038495201</v>
      </c>
      <c r="I120" s="10">
        <v>14.88502675226133</v>
      </c>
      <c r="J120" s="10">
        <v>0</v>
      </c>
      <c r="K120" s="4" t="b">
        <v>0</v>
      </c>
    </row>
    <row r="121" spans="1:11" ht="40" customHeight="1">
      <c r="A121" s="6" t="s">
        <v>79</v>
      </c>
      <c r="B121" s="7" t="s">
        <v>402</v>
      </c>
      <c r="C121" s="23">
        <v>2</v>
      </c>
      <c r="D121" s="9">
        <v>1253.287500000001</v>
      </c>
      <c r="E121" s="9">
        <v>91.15159342578744</v>
      </c>
      <c r="F121" s="9">
        <v>750</v>
      </c>
      <c r="G121" s="9">
        <v>1668.850943740546</v>
      </c>
      <c r="H121" s="9">
        <v>0.7331525637497742</v>
      </c>
      <c r="I121" s="9">
        <v>13.74948536714704</v>
      </c>
      <c r="J121" s="9">
        <v>0</v>
      </c>
      <c r="K121" s="7" t="b">
        <v>0</v>
      </c>
    </row>
    <row r="122" spans="1:11" ht="40" customHeight="1">
      <c r="A122" s="3" t="s">
        <v>79</v>
      </c>
      <c r="B122" s="4" t="s">
        <v>402</v>
      </c>
      <c r="C122" s="24">
        <v>3</v>
      </c>
      <c r="D122" s="10">
        <v>1316.438327499999</v>
      </c>
      <c r="E122" s="10">
        <v>81.91226103751222</v>
      </c>
      <c r="F122" s="10">
        <v>750</v>
      </c>
      <c r="G122" s="10">
        <v>1465.063165367353</v>
      </c>
      <c r="H122" s="10">
        <v>0.5431801478503775</v>
      </c>
      <c r="I122" s="10">
        <v>16.07132205637845</v>
      </c>
      <c r="J122" s="10">
        <v>0</v>
      </c>
      <c r="K122" s="4" t="b">
        <v>0</v>
      </c>
    </row>
    <row r="123" spans="1:11" ht="40" customHeight="1">
      <c r="A123" s="6" t="s">
        <v>79</v>
      </c>
      <c r="B123" s="7" t="s">
        <v>402</v>
      </c>
      <c r="C123" s="23">
        <v>4</v>
      </c>
      <c r="D123" s="9">
        <v>1380.909298487499</v>
      </c>
      <c r="E123" s="9">
        <v>75.36044386534202</v>
      </c>
      <c r="F123" s="9">
        <v>475.1420805240297</v>
      </c>
      <c r="G123" s="9">
        <v>926.2030456852792</v>
      </c>
      <c r="H123" s="9">
        <v>0.3266405444986819</v>
      </c>
      <c r="I123" s="9">
        <v>18.32406004607643</v>
      </c>
      <c r="J123" s="9">
        <v>0</v>
      </c>
      <c r="K123" s="7" t="b">
        <v>0</v>
      </c>
    </row>
    <row r="124" spans="1:11" ht="40" customHeight="1">
      <c r="A124" s="3" t="s">
        <v>79</v>
      </c>
      <c r="B124" s="4" t="s">
        <v>402</v>
      </c>
      <c r="C124" s="24">
        <v>5</v>
      </c>
      <c r="D124" s="10">
        <v>1426.738244005687</v>
      </c>
      <c r="E124" s="10">
        <v>65.74124365482234</v>
      </c>
      <c r="F124" s="10">
        <v>0</v>
      </c>
      <c r="G124" s="10">
        <v>158.8516416776289</v>
      </c>
      <c r="H124" s="10">
        <v>0.1113390226588724</v>
      </c>
      <c r="I124" s="10">
        <v>21.70233121078218</v>
      </c>
      <c r="J124" s="10">
        <v>158.8516416776289</v>
      </c>
      <c r="K124" s="4" t="b">
        <v>0</v>
      </c>
    </row>
    <row r="125" spans="1:11" ht="25" customHeight="1">
      <c r="A125" s="6" t="s">
        <v>68</v>
      </c>
      <c r="B125" s="7" t="s">
        <v>403</v>
      </c>
      <c r="C125" s="23">
        <v>1</v>
      </c>
      <c r="D125" s="9">
        <v>1184.93</v>
      </c>
      <c r="E125" s="9">
        <v>141.9315989847716</v>
      </c>
      <c r="F125" s="9">
        <v>750</v>
      </c>
      <c r="G125" s="9">
        <v>2484.159280300397</v>
      </c>
      <c r="H125" s="9">
        <v>1.463512005182076</v>
      </c>
      <c r="I125" s="9">
        <v>8.348598962287008</v>
      </c>
      <c r="J125" s="9">
        <v>0</v>
      </c>
      <c r="K125" s="7" t="b">
        <v>0</v>
      </c>
    </row>
    <row r="126" spans="1:11" ht="25" customHeight="1">
      <c r="A126" s="3" t="s">
        <v>68</v>
      </c>
      <c r="B126" s="4" t="s">
        <v>403</v>
      </c>
      <c r="C126" s="24">
        <v>2</v>
      </c>
      <c r="D126" s="10">
        <v>1265.885249999999</v>
      </c>
      <c r="E126" s="10">
        <v>127.1599550187748</v>
      </c>
      <c r="F126" s="10">
        <v>750</v>
      </c>
      <c r="G126" s="10">
        <v>2345.305010691191</v>
      </c>
      <c r="H126" s="10">
        <v>1.260228769306848</v>
      </c>
      <c r="I126" s="10">
        <v>9.955062109082176</v>
      </c>
      <c r="J126" s="10">
        <v>0</v>
      </c>
      <c r="K126" s="4" t="b">
        <v>0</v>
      </c>
    </row>
    <row r="127" spans="1:11" ht="25" customHeight="1">
      <c r="A127" s="6" t="s">
        <v>68</v>
      </c>
      <c r="B127" s="7" t="s">
        <v>403</v>
      </c>
      <c r="C127" s="23">
        <v>3</v>
      </c>
      <c r="D127" s="9">
        <v>1348.101021249999</v>
      </c>
      <c r="E127" s="9">
        <v>116.0633006414714</v>
      </c>
      <c r="F127" s="9">
        <v>749.9999999999999</v>
      </c>
      <c r="G127" s="9">
        <v>2108.346164402175</v>
      </c>
      <c r="H127" s="9">
        <v>1.007599685031523</v>
      </c>
      <c r="I127" s="9">
        <v>11.61522215721219</v>
      </c>
      <c r="J127" s="9">
        <v>0</v>
      </c>
      <c r="K127" s="7" t="b">
        <v>0</v>
      </c>
    </row>
    <row r="128" spans="1:11" ht="25" customHeight="1">
      <c r="A128" s="3" t="s">
        <v>68</v>
      </c>
      <c r="B128" s="4" t="s">
        <v>403</v>
      </c>
      <c r="C128" s="24">
        <v>4</v>
      </c>
      <c r="D128" s="10">
        <v>1391.613559581249</v>
      </c>
      <c r="E128" s="10">
        <v>105.9911619037109</v>
      </c>
      <c r="F128" s="10">
        <v>566.3254033619004</v>
      </c>
      <c r="G128" s="10">
        <v>1639.700949777485</v>
      </c>
      <c r="H128" s="10">
        <v>0.771317251851566</v>
      </c>
      <c r="I128" s="10">
        <v>13.12952452437006</v>
      </c>
      <c r="J128" s="10">
        <v>0</v>
      </c>
      <c r="K128" s="4" t="b">
        <v>0</v>
      </c>
    </row>
    <row r="129" spans="1:11" ht="25" customHeight="1">
      <c r="A129" s="6" t="s">
        <v>68</v>
      </c>
      <c r="B129" s="7" t="s">
        <v>403</v>
      </c>
      <c r="C129" s="23">
        <v>5</v>
      </c>
      <c r="D129" s="9">
        <v>1436.460111626779</v>
      </c>
      <c r="E129" s="9">
        <v>96.6470569866491</v>
      </c>
      <c r="F129" s="9">
        <v>0</v>
      </c>
      <c r="G129" s="9">
        <v>760.2430902138409</v>
      </c>
      <c r="H129" s="9">
        <v>0.5292476164568691</v>
      </c>
      <c r="I129" s="9">
        <v>14.86294726827753</v>
      </c>
      <c r="J129" s="9">
        <v>760.2430902138409</v>
      </c>
      <c r="K129" s="7" t="b">
        <v>0</v>
      </c>
    </row>
    <row r="130" spans="1:11" ht="25" customHeight="1">
      <c r="A130" s="3" t="s">
        <v>78</v>
      </c>
      <c r="B130" s="4" t="s">
        <v>403</v>
      </c>
      <c r="C130" s="24">
        <v>1</v>
      </c>
      <c r="D130" s="10">
        <v>1184.93</v>
      </c>
      <c r="E130" s="10">
        <v>199.3427664974619</v>
      </c>
      <c r="F130" s="10">
        <v>750</v>
      </c>
      <c r="G130" s="10">
        <v>2540.466386899381</v>
      </c>
      <c r="H130" s="10">
        <v>1.511031357885598</v>
      </c>
      <c r="I130" s="10">
        <v>5.944183582979855</v>
      </c>
      <c r="J130" s="10">
        <v>0</v>
      </c>
      <c r="K130" s="4" t="b">
        <v>0</v>
      </c>
    </row>
    <row r="131" spans="1:11" ht="25" customHeight="1">
      <c r="A131" s="6" t="s">
        <v>78</v>
      </c>
      <c r="B131" s="7" t="s">
        <v>403</v>
      </c>
      <c r="C131" s="23">
        <v>2</v>
      </c>
      <c r="D131" s="9">
        <v>1265.885249999999</v>
      </c>
      <c r="E131" s="9">
        <v>130.6791491812113</v>
      </c>
      <c r="F131" s="9">
        <v>750</v>
      </c>
      <c r="G131" s="9">
        <v>2404.251512912002</v>
      </c>
      <c r="H131" s="9">
        <v>1.306794208173295</v>
      </c>
      <c r="I131" s="9">
        <v>9.686971930346822</v>
      </c>
      <c r="J131" s="9">
        <v>0</v>
      </c>
      <c r="K131" s="7" t="b">
        <v>0</v>
      </c>
    </row>
    <row r="132" spans="1:11" ht="25" customHeight="1">
      <c r="A132" s="3" t="s">
        <v>78</v>
      </c>
      <c r="B132" s="4" t="s">
        <v>403</v>
      </c>
      <c r="C132" s="24">
        <v>3</v>
      </c>
      <c r="D132" s="10">
        <v>1348.101021249999</v>
      </c>
      <c r="E132" s="10">
        <v>119.6000907747201</v>
      </c>
      <c r="F132" s="10">
        <v>750</v>
      </c>
      <c r="G132" s="10">
        <v>2169.945259222923</v>
      </c>
      <c r="H132" s="10">
        <v>1.053292918587294</v>
      </c>
      <c r="I132" s="10">
        <v>11.27173911422271</v>
      </c>
      <c r="J132" s="10">
        <v>0</v>
      </c>
      <c r="K132" s="4" t="b">
        <v>0</v>
      </c>
    </row>
    <row r="133" spans="1:11" ht="25" customHeight="1">
      <c r="A133" s="6" t="s">
        <v>78</v>
      </c>
      <c r="B133" s="7" t="s">
        <v>403</v>
      </c>
      <c r="C133" s="23">
        <v>4</v>
      </c>
      <c r="D133" s="9">
        <v>1391.613559581249</v>
      </c>
      <c r="E133" s="9">
        <v>109.6363136749077</v>
      </c>
      <c r="F133" s="9">
        <v>525.6089976949872</v>
      </c>
      <c r="G133" s="9">
        <v>1663.317502759718</v>
      </c>
      <c r="H133" s="9">
        <v>0.8175462916638143</v>
      </c>
      <c r="I133" s="9">
        <v>12.69299845038246</v>
      </c>
      <c r="J133" s="9">
        <v>0</v>
      </c>
      <c r="K133" s="7" t="b">
        <v>0</v>
      </c>
    </row>
    <row r="134" spans="1:11" ht="25" customHeight="1">
      <c r="A134" s="3" t="s">
        <v>78</v>
      </c>
      <c r="B134" s="4" t="s">
        <v>403</v>
      </c>
      <c r="C134" s="24">
        <v>5</v>
      </c>
      <c r="D134" s="10">
        <v>1436.460111626779</v>
      </c>
      <c r="E134" s="10">
        <v>98.0640501655831</v>
      </c>
      <c r="F134" s="10">
        <v>0</v>
      </c>
      <c r="G134" s="10">
        <v>825.6387937471877</v>
      </c>
      <c r="H134" s="10">
        <v>0.5747732130286297</v>
      </c>
      <c r="I134" s="10">
        <v>14.6481825827231</v>
      </c>
      <c r="J134" s="10">
        <v>825.6387937471877</v>
      </c>
      <c r="K134" s="4" t="b">
        <v>0</v>
      </c>
    </row>
    <row r="135" spans="1:11" ht="25" customHeight="1">
      <c r="A135" s="6" t="s">
        <v>79</v>
      </c>
      <c r="B135" s="7" t="s">
        <v>403</v>
      </c>
      <c r="C135" s="23">
        <v>1</v>
      </c>
      <c r="D135" s="9">
        <v>1184.93</v>
      </c>
      <c r="E135" s="9">
        <v>74.62195431472081</v>
      </c>
      <c r="F135" s="9">
        <v>750</v>
      </c>
      <c r="G135" s="9">
        <v>1398.144051874001</v>
      </c>
      <c r="H135" s="9">
        <v>0.5469893174060922</v>
      </c>
      <c r="I135" s="9">
        <v>15.87910703869419</v>
      </c>
      <c r="J135" s="9">
        <v>0</v>
      </c>
      <c r="K135" s="7" t="b">
        <v>0</v>
      </c>
    </row>
    <row r="136" spans="1:11" ht="25" customHeight="1">
      <c r="A136" s="3" t="s">
        <v>79</v>
      </c>
      <c r="B136" s="4" t="s">
        <v>403</v>
      </c>
      <c r="C136" s="24">
        <v>2</v>
      </c>
      <c r="D136" s="10">
        <v>1265.885249999999</v>
      </c>
      <c r="E136" s="10">
        <v>59.28400324212504</v>
      </c>
      <c r="F136" s="10">
        <v>750</v>
      </c>
      <c r="G136" s="10">
        <v>1208.382818432307</v>
      </c>
      <c r="H136" s="10">
        <v>0.3621045576068665</v>
      </c>
      <c r="I136" s="10">
        <v>21.35289759077044</v>
      </c>
      <c r="J136" s="10">
        <v>0</v>
      </c>
      <c r="K136" s="4" t="b">
        <v>0</v>
      </c>
    </row>
    <row r="137" spans="1:11" ht="25" customHeight="1">
      <c r="A137" s="6" t="s">
        <v>79</v>
      </c>
      <c r="B137" s="7" t="s">
        <v>403</v>
      </c>
      <c r="C137" s="23">
        <v>3</v>
      </c>
      <c r="D137" s="9">
        <v>1348.101021249999</v>
      </c>
      <c r="E137" s="9">
        <v>48.84818387553459</v>
      </c>
      <c r="F137" s="9">
        <v>750</v>
      </c>
      <c r="G137" s="9">
        <v>921.0126345688384</v>
      </c>
      <c r="H137" s="9">
        <v>0.126854465557982</v>
      </c>
      <c r="I137" s="9">
        <v>27.59777159136494</v>
      </c>
      <c r="J137" s="9">
        <v>0</v>
      </c>
      <c r="K137" s="7" t="b">
        <v>0</v>
      </c>
    </row>
    <row r="138" spans="1:11" ht="25" customHeight="1">
      <c r="A138" s="3" t="s">
        <v>79</v>
      </c>
      <c r="B138" s="4" t="s">
        <v>403</v>
      </c>
      <c r="C138" s="24">
        <v>4</v>
      </c>
      <c r="D138" s="10">
        <v>1391.613559581249</v>
      </c>
      <c r="E138" s="10">
        <v>35.40822648770821</v>
      </c>
      <c r="F138" s="10">
        <v>750</v>
      </c>
      <c r="G138" s="10">
        <v>583.1048150202466</v>
      </c>
      <c r="H138" s="10">
        <v>-0.1199292604119019</v>
      </c>
      <c r="I138" s="10">
        <v>39.30198424550694</v>
      </c>
      <c r="J138" s="10">
        <v>0</v>
      </c>
      <c r="K138" s="4" t="b">
        <v>0</v>
      </c>
    </row>
    <row r="139" spans="1:11" ht="25" customHeight="1">
      <c r="A139" s="6" t="s">
        <v>79</v>
      </c>
      <c r="B139" s="7" t="s">
        <v>403</v>
      </c>
      <c r="C139" s="23">
        <v>5</v>
      </c>
      <c r="D139" s="9">
        <v>1436.460111626779</v>
      </c>
      <c r="E139" s="9">
        <v>33.52852686366418</v>
      </c>
      <c r="F139" s="9">
        <v>527.3665387737358</v>
      </c>
      <c r="G139" s="9">
        <v>0</v>
      </c>
      <c r="H139" s="9">
        <v>-0.3671292606771361</v>
      </c>
      <c r="I139" s="9">
        <v>42.84292350414928</v>
      </c>
      <c r="J139" s="9">
        <v>0</v>
      </c>
      <c r="K139" s="7" t="b">
        <v>0</v>
      </c>
    </row>
    <row r="140" spans="1:11" ht="25" customHeight="1">
      <c r="A140" s="3" t="s">
        <v>68</v>
      </c>
      <c r="B140" s="4" t="s">
        <v>404</v>
      </c>
      <c r="C140" s="24">
        <v>1</v>
      </c>
      <c r="D140" s="10">
        <v>1241.1</v>
      </c>
      <c r="E140" s="10">
        <v>141.9315989847716</v>
      </c>
      <c r="F140" s="10">
        <v>750</v>
      </c>
      <c r="G140" s="10">
        <v>2653.074365916834</v>
      </c>
      <c r="H140" s="10">
        <v>1.533377137955712</v>
      </c>
      <c r="I140" s="10">
        <v>8.74435297620485</v>
      </c>
      <c r="J140" s="10">
        <v>0</v>
      </c>
      <c r="K140" s="4" t="b">
        <v>0</v>
      </c>
    </row>
    <row r="141" spans="1:11" ht="25" customHeight="1">
      <c r="A141" s="6" t="s">
        <v>68</v>
      </c>
      <c r="B141" s="7" t="s">
        <v>404</v>
      </c>
      <c r="C141" s="23">
        <v>2</v>
      </c>
      <c r="D141" s="9">
        <v>1323.459499999998</v>
      </c>
      <c r="E141" s="9">
        <v>137.6527106859745</v>
      </c>
      <c r="F141" s="9">
        <v>750</v>
      </c>
      <c r="G141" s="9">
        <v>2532.513790198439</v>
      </c>
      <c r="H141" s="9">
        <v>1.346859341142243</v>
      </c>
      <c r="I141" s="9">
        <v>9.614481933590035</v>
      </c>
      <c r="J141" s="9">
        <v>0</v>
      </c>
      <c r="K141" s="7" t="b">
        <v>0</v>
      </c>
    </row>
    <row r="142" spans="1:11" ht="25" customHeight="1">
      <c r="A142" s="3" t="s">
        <v>68</v>
      </c>
      <c r="B142" s="4" t="s">
        <v>404</v>
      </c>
      <c r="C142" s="24">
        <v>3</v>
      </c>
      <c r="D142" s="10">
        <v>1407.114627499998</v>
      </c>
      <c r="E142" s="10">
        <v>127.2958274119064</v>
      </c>
      <c r="F142" s="10">
        <v>749.9999999999999</v>
      </c>
      <c r="G142" s="10">
        <v>2314.664069306172</v>
      </c>
      <c r="H142" s="10">
        <v>1.111966316550976</v>
      </c>
      <c r="I142" s="10">
        <v>11.0538943507302</v>
      </c>
      <c r="J142" s="10">
        <v>0</v>
      </c>
      <c r="K142" s="4" t="b">
        <v>0</v>
      </c>
    </row>
    <row r="143" spans="1:11" ht="25" customHeight="1">
      <c r="A143" s="6" t="s">
        <v>68</v>
      </c>
      <c r="B143" s="7" t="s">
        <v>404</v>
      </c>
      <c r="C143" s="23">
        <v>4</v>
      </c>
      <c r="D143" s="9">
        <v>1452.102505987497</v>
      </c>
      <c r="E143" s="9">
        <v>118.3224633844588</v>
      </c>
      <c r="F143" s="9">
        <v>527.0159532776948</v>
      </c>
      <c r="G143" s="9">
        <v>1826.909729284734</v>
      </c>
      <c r="H143" s="9">
        <v>0.8951804508615255</v>
      </c>
      <c r="I143" s="9">
        <v>12.27241611146362</v>
      </c>
      <c r="J143" s="9">
        <v>0</v>
      </c>
      <c r="K143" s="7" t="b">
        <v>0</v>
      </c>
    </row>
    <row r="144" spans="1:11" ht="25" customHeight="1">
      <c r="A144" s="3" t="s">
        <v>68</v>
      </c>
      <c r="B144" s="4" t="s">
        <v>404</v>
      </c>
      <c r="C144" s="24">
        <v>5</v>
      </c>
      <c r="D144" s="10">
        <v>1498.461281693183</v>
      </c>
      <c r="E144" s="10">
        <v>107.879583757084</v>
      </c>
      <c r="F144" s="10">
        <v>0</v>
      </c>
      <c r="G144" s="10">
        <v>1006.411359674439</v>
      </c>
      <c r="H144" s="10">
        <v>0.6716298725698449</v>
      </c>
      <c r="I144" s="10">
        <v>13.89012850723745</v>
      </c>
      <c r="J144" s="10">
        <v>1006.411359674439</v>
      </c>
      <c r="K144" s="4" t="b">
        <v>0</v>
      </c>
    </row>
    <row r="145" spans="1:11" ht="25" customHeight="1">
      <c r="A145" s="6" t="s">
        <v>78</v>
      </c>
      <c r="B145" s="7" t="s">
        <v>404</v>
      </c>
      <c r="C145" s="23">
        <v>1</v>
      </c>
      <c r="D145" s="9">
        <v>1241.1</v>
      </c>
      <c r="E145" s="9">
        <v>199.3427664974619</v>
      </c>
      <c r="F145" s="9">
        <v>750</v>
      </c>
      <c r="G145" s="9">
        <v>2709.381472515819</v>
      </c>
      <c r="H145" s="9">
        <v>1.578745848453645</v>
      </c>
      <c r="I145" s="9">
        <v>6.225959545995376</v>
      </c>
      <c r="J145" s="9">
        <v>0</v>
      </c>
      <c r="K145" s="7" t="b">
        <v>0</v>
      </c>
    </row>
    <row r="146" spans="1:11" ht="25" customHeight="1">
      <c r="A146" s="3" t="s">
        <v>78</v>
      </c>
      <c r="B146" s="4" t="s">
        <v>404</v>
      </c>
      <c r="C146" s="24">
        <v>2</v>
      </c>
      <c r="D146" s="10">
        <v>1323.459499999998</v>
      </c>
      <c r="E146" s="10">
        <v>141.2363420322387</v>
      </c>
      <c r="F146" s="10">
        <v>750</v>
      </c>
      <c r="G146" s="10">
        <v>2591.508620307122</v>
      </c>
      <c r="H146" s="10">
        <v>1.391435567395243</v>
      </c>
      <c r="I146" s="10">
        <v>9.370530848907885</v>
      </c>
      <c r="J146" s="10">
        <v>0</v>
      </c>
      <c r="K146" s="4" t="b">
        <v>0</v>
      </c>
    </row>
    <row r="147" spans="1:11" ht="25" customHeight="1">
      <c r="A147" s="6" t="s">
        <v>78</v>
      </c>
      <c r="B147" s="7" t="s">
        <v>404</v>
      </c>
      <c r="C147" s="23">
        <v>3</v>
      </c>
      <c r="D147" s="9">
        <v>1407.114627499998</v>
      </c>
      <c r="E147" s="9">
        <v>130.8355172184274</v>
      </c>
      <c r="F147" s="9">
        <v>750</v>
      </c>
      <c r="G147" s="9">
        <v>2376.313666769746</v>
      </c>
      <c r="H147" s="9">
        <v>1.155779092183268</v>
      </c>
      <c r="I147" s="9">
        <v>10.75483674017085</v>
      </c>
      <c r="J147" s="9">
        <v>0</v>
      </c>
      <c r="K147" s="7" t="b">
        <v>0</v>
      </c>
    </row>
    <row r="148" spans="1:11" ht="25" customHeight="1">
      <c r="A148" s="3" t="s">
        <v>78</v>
      </c>
      <c r="B148" s="4" t="s">
        <v>404</v>
      </c>
      <c r="C148" s="24">
        <v>4</v>
      </c>
      <c r="D148" s="10">
        <v>1452.102505987497</v>
      </c>
      <c r="E148" s="10">
        <v>121.9706398773378</v>
      </c>
      <c r="F148" s="10">
        <v>486.2951043145661</v>
      </c>
      <c r="G148" s="10">
        <v>1850.574610154838</v>
      </c>
      <c r="H148" s="10">
        <v>0.9395201097821249</v>
      </c>
      <c r="I148" s="10">
        <v>11.90534465874601</v>
      </c>
      <c r="J148" s="10">
        <v>0</v>
      </c>
      <c r="K148" s="4" t="b">
        <v>0</v>
      </c>
    </row>
    <row r="149" spans="1:11" ht="25" customHeight="1">
      <c r="A149" s="6" t="s">
        <v>78</v>
      </c>
      <c r="B149" s="7" t="s">
        <v>404</v>
      </c>
      <c r="C149" s="23">
        <v>5</v>
      </c>
      <c r="D149" s="9">
        <v>1498.461281693183</v>
      </c>
      <c r="E149" s="9">
        <v>109.2994766092903</v>
      </c>
      <c r="F149" s="9">
        <v>0</v>
      </c>
      <c r="G149" s="9">
        <v>1071.862009146827</v>
      </c>
      <c r="H149" s="9">
        <v>0.7153084448973407</v>
      </c>
      <c r="I149" s="9">
        <v>13.70968396353525</v>
      </c>
      <c r="J149" s="9">
        <v>1071.862009146827</v>
      </c>
      <c r="K149" s="7" t="b">
        <v>0</v>
      </c>
    </row>
    <row r="150" spans="1:11" ht="25" customHeight="1">
      <c r="A150" s="3" t="s">
        <v>79</v>
      </c>
      <c r="B150" s="4" t="s">
        <v>404</v>
      </c>
      <c r="C150" s="24">
        <v>1</v>
      </c>
      <c r="D150" s="10">
        <v>1241.1</v>
      </c>
      <c r="E150" s="10">
        <v>74.62195431472081</v>
      </c>
      <c r="F150" s="10">
        <v>750</v>
      </c>
      <c r="G150" s="10">
        <v>1567.059137490438</v>
      </c>
      <c r="H150" s="10">
        <v>0.6583346527197149</v>
      </c>
      <c r="I150" s="10">
        <v>16.63183457733653</v>
      </c>
      <c r="J150" s="10">
        <v>0</v>
      </c>
      <c r="K150" s="4" t="b">
        <v>0</v>
      </c>
    </row>
    <row r="151" spans="1:11" ht="25" customHeight="1">
      <c r="A151" s="6" t="s">
        <v>79</v>
      </c>
      <c r="B151" s="7" t="s">
        <v>404</v>
      </c>
      <c r="C151" s="23">
        <v>2</v>
      </c>
      <c r="D151" s="9">
        <v>1323.459499999998</v>
      </c>
      <c r="E151" s="9">
        <v>69.84119609315239</v>
      </c>
      <c r="F151" s="9">
        <v>750</v>
      </c>
      <c r="G151" s="9">
        <v>1395.639925827427</v>
      </c>
      <c r="H151" s="9">
        <v>0.4878426017777106</v>
      </c>
      <c r="I151" s="9">
        <v>18.94955375957196</v>
      </c>
      <c r="J151" s="9">
        <v>0</v>
      </c>
      <c r="K151" s="7" t="b">
        <v>0</v>
      </c>
    </row>
    <row r="152" spans="1:11" ht="25" customHeight="1">
      <c r="A152" s="3" t="s">
        <v>79</v>
      </c>
      <c r="B152" s="4" t="s">
        <v>404</v>
      </c>
      <c r="C152" s="24">
        <v>3</v>
      </c>
      <c r="D152" s="10">
        <v>1407.114627499998</v>
      </c>
      <c r="E152" s="10">
        <v>59.08339554964562</v>
      </c>
      <c r="F152" s="10">
        <v>750</v>
      </c>
      <c r="G152" s="10">
        <v>1126.630881038464</v>
      </c>
      <c r="H152" s="10">
        <v>0.2676618334269038</v>
      </c>
      <c r="I152" s="10">
        <v>23.81573730503778</v>
      </c>
      <c r="J152" s="10">
        <v>0</v>
      </c>
      <c r="K152" s="4" t="b">
        <v>0</v>
      </c>
    </row>
    <row r="153" spans="1:11" ht="25" customHeight="1">
      <c r="A153" s="6" t="s">
        <v>79</v>
      </c>
      <c r="B153" s="7" t="s">
        <v>404</v>
      </c>
      <c r="C153" s="23">
        <v>4</v>
      </c>
      <c r="D153" s="9">
        <v>1452.102505987497</v>
      </c>
      <c r="E153" s="9">
        <v>47.22014704788431</v>
      </c>
      <c r="F153" s="9">
        <v>672.9233342237754</v>
      </c>
      <c r="G153" s="9">
        <v>731.4571847106757</v>
      </c>
      <c r="H153" s="9">
        <v>0.0403097234840832</v>
      </c>
      <c r="I153" s="9">
        <v>30.75175739107654</v>
      </c>
      <c r="J153" s="9">
        <v>0</v>
      </c>
      <c r="K153" s="7" t="b">
        <v>0</v>
      </c>
    </row>
    <row r="154" spans="1:11" ht="25" customHeight="1">
      <c r="A154" s="3" t="s">
        <v>79</v>
      </c>
      <c r="B154" s="4" t="s">
        <v>404</v>
      </c>
      <c r="C154" s="24">
        <v>5</v>
      </c>
      <c r="D154" s="10">
        <v>1498.461281693183</v>
      </c>
      <c r="E154" s="10">
        <v>42.15243108264055</v>
      </c>
      <c r="F154" s="10">
        <v>284.2439303515321</v>
      </c>
      <c r="G154" s="10">
        <v>0</v>
      </c>
      <c r="H154" s="10">
        <v>-0.1896905404391572</v>
      </c>
      <c r="I154" s="10">
        <v>35.5486325036728</v>
      </c>
      <c r="J154" s="10">
        <v>0</v>
      </c>
      <c r="K154" s="4" t="b">
        <v>0</v>
      </c>
    </row>
    <row r="155" spans="1:11" ht="25" customHeight="1">
      <c r="A155" s="6" t="s">
        <v>68</v>
      </c>
      <c r="B155" s="7" t="s">
        <v>405</v>
      </c>
      <c r="C155" s="23">
        <v>1</v>
      </c>
      <c r="D155" s="9">
        <v>1577.299999999999</v>
      </c>
      <c r="E155" s="9">
        <v>141.9315989847716</v>
      </c>
      <c r="F155" s="9">
        <v>750</v>
      </c>
      <c r="G155" s="9">
        <v>2982.675050848342</v>
      </c>
      <c r="H155" s="9">
        <v>1.415504375101974</v>
      </c>
      <c r="I155" s="9">
        <v>11.11309962885174</v>
      </c>
      <c r="J155" s="9">
        <v>0</v>
      </c>
      <c r="K155" s="7" t="b">
        <v>0</v>
      </c>
    </row>
    <row r="156" spans="1:11" ht="25" customHeight="1">
      <c r="A156" s="3" t="s">
        <v>68</v>
      </c>
      <c r="B156" s="4" t="s">
        <v>405</v>
      </c>
      <c r="C156" s="24">
        <v>2</v>
      </c>
      <c r="D156" s="10">
        <v>1668.064499999997</v>
      </c>
      <c r="E156" s="10">
        <v>157.428751781865</v>
      </c>
      <c r="F156" s="10">
        <v>750</v>
      </c>
      <c r="G156" s="10">
        <v>2633.036523075153</v>
      </c>
      <c r="H156" s="10">
        <v>1.128875126276685</v>
      </c>
      <c r="I156" s="10">
        <v>10.59567887771406</v>
      </c>
      <c r="J156" s="10">
        <v>0</v>
      </c>
      <c r="K156" s="4" t="b">
        <v>0</v>
      </c>
    </row>
    <row r="157" spans="1:11" ht="25" customHeight="1">
      <c r="A157" s="6" t="s">
        <v>68</v>
      </c>
      <c r="B157" s="7" t="s">
        <v>405</v>
      </c>
      <c r="C157" s="23">
        <v>3</v>
      </c>
      <c r="D157" s="9">
        <v>1760.334752499998</v>
      </c>
      <c r="E157" s="9">
        <v>133.2058437316436</v>
      </c>
      <c r="F157" s="9">
        <v>750</v>
      </c>
      <c r="G157" s="9">
        <v>2169.611581974058</v>
      </c>
      <c r="H157" s="9">
        <v>0.8064441038603308</v>
      </c>
      <c r="I157" s="9">
        <v>13.21514659706947</v>
      </c>
      <c r="J157" s="9">
        <v>0</v>
      </c>
      <c r="K157" s="7" t="b">
        <v>0</v>
      </c>
    </row>
    <row r="158" spans="1:11" ht="25" customHeight="1">
      <c r="A158" s="3" t="s">
        <v>68</v>
      </c>
      <c r="B158" s="4" t="s">
        <v>405</v>
      </c>
      <c r="C158" s="24">
        <v>4</v>
      </c>
      <c r="D158" s="10">
        <v>1814.153134112497</v>
      </c>
      <c r="E158" s="10">
        <v>110.0566949184435</v>
      </c>
      <c r="F158" s="10">
        <v>749.9999999999999</v>
      </c>
      <c r="G158" s="10">
        <v>1642.384036565567</v>
      </c>
      <c r="H158" s="10">
        <v>0.4919011630195877</v>
      </c>
      <c r="I158" s="10">
        <v>16.483805328307</v>
      </c>
      <c r="J158" s="10">
        <v>0</v>
      </c>
      <c r="K158" s="4" t="b">
        <v>0</v>
      </c>
    </row>
    <row r="159" spans="1:11" ht="25" customHeight="1">
      <c r="A159" s="6" t="s">
        <v>68</v>
      </c>
      <c r="B159" s="7" t="s">
        <v>405</v>
      </c>
      <c r="C159" s="23">
        <v>5</v>
      </c>
      <c r="D159" s="9">
        <v>1869.56317552131</v>
      </c>
      <c r="E159" s="9">
        <v>97.34410598131315</v>
      </c>
      <c r="F159" s="9">
        <v>0</v>
      </c>
      <c r="G159" s="9">
        <v>328.3356379972956</v>
      </c>
      <c r="H159" s="9">
        <v>0.1756215795733901</v>
      </c>
      <c r="I159" s="9">
        <v>19.20571519635924</v>
      </c>
      <c r="J159" s="9">
        <v>328.3356379972956</v>
      </c>
      <c r="K159" s="7" t="b">
        <v>0</v>
      </c>
    </row>
    <row r="160" spans="1:11" ht="25" customHeight="1">
      <c r="A160" s="3" t="s">
        <v>78</v>
      </c>
      <c r="B160" s="4" t="s">
        <v>405</v>
      </c>
      <c r="C160" s="24">
        <v>1</v>
      </c>
      <c r="D160" s="10">
        <v>1577.299999999999</v>
      </c>
      <c r="E160" s="10">
        <v>199.3427664974619</v>
      </c>
      <c r="F160" s="10">
        <v>750</v>
      </c>
      <c r="G160" s="10">
        <v>3038.982157447327</v>
      </c>
      <c r="H160" s="10">
        <v>1.451202787958745</v>
      </c>
      <c r="I160" s="10">
        <v>7.912501806380227</v>
      </c>
      <c r="J160" s="10">
        <v>0</v>
      </c>
      <c r="K160" s="4" t="b">
        <v>0</v>
      </c>
    </row>
    <row r="161" spans="1:11" ht="25" customHeight="1">
      <c r="A161" s="6" t="s">
        <v>78</v>
      </c>
      <c r="B161" s="7" t="s">
        <v>405</v>
      </c>
      <c r="C161" s="23">
        <v>2</v>
      </c>
      <c r="D161" s="9">
        <v>1668.064499999997</v>
      </c>
      <c r="E161" s="9">
        <v>161.8363848404579</v>
      </c>
      <c r="F161" s="9">
        <v>750</v>
      </c>
      <c r="G161" s="9">
        <v>2692.649354468082</v>
      </c>
      <c r="H161" s="9">
        <v>1.164612851881978</v>
      </c>
      <c r="I161" s="9">
        <v>10.30710431182959</v>
      </c>
      <c r="J161" s="9">
        <v>0</v>
      </c>
      <c r="K161" s="7" t="b">
        <v>0</v>
      </c>
    </row>
    <row r="162" spans="1:11" ht="25" customHeight="1">
      <c r="A162" s="3" t="s">
        <v>78</v>
      </c>
      <c r="B162" s="4" t="s">
        <v>405</v>
      </c>
      <c r="C162" s="24">
        <v>3</v>
      </c>
      <c r="D162" s="10">
        <v>1760.334752499998</v>
      </c>
      <c r="E162" s="10">
        <v>136.903961268085</v>
      </c>
      <c r="F162" s="10">
        <v>750</v>
      </c>
      <c r="G162" s="10">
        <v>2231.998001519319</v>
      </c>
      <c r="H162" s="10">
        <v>0.8418841924324961</v>
      </c>
      <c r="I162" s="10">
        <v>12.85817251885732</v>
      </c>
      <c r="J162" s="10">
        <v>0</v>
      </c>
      <c r="K162" s="4" t="b">
        <v>0</v>
      </c>
    </row>
    <row r="163" spans="1:11" ht="25" customHeight="1">
      <c r="A163" s="6" t="s">
        <v>78</v>
      </c>
      <c r="B163" s="7" t="s">
        <v>405</v>
      </c>
      <c r="C163" s="23">
        <v>4</v>
      </c>
      <c r="D163" s="9">
        <v>1814.153134112497</v>
      </c>
      <c r="E163" s="9">
        <v>113.7998800911591</v>
      </c>
      <c r="F163" s="9">
        <v>750</v>
      </c>
      <c r="G163" s="9">
        <v>1707.577844990365</v>
      </c>
      <c r="H163" s="9">
        <v>0.5278373842783798</v>
      </c>
      <c r="I163" s="9">
        <v>15.94160848552102</v>
      </c>
      <c r="J163" s="9">
        <v>0</v>
      </c>
      <c r="K163" s="7" t="b">
        <v>0</v>
      </c>
    </row>
    <row r="164" spans="1:11" ht="25" customHeight="1">
      <c r="A164" s="3" t="s">
        <v>78</v>
      </c>
      <c r="B164" s="4" t="s">
        <v>405</v>
      </c>
      <c r="C164" s="24">
        <v>5</v>
      </c>
      <c r="D164" s="10">
        <v>1869.56317552131</v>
      </c>
      <c r="E164" s="10">
        <v>101.2045535780539</v>
      </c>
      <c r="F164" s="10">
        <v>0</v>
      </c>
      <c r="G164" s="10">
        <v>396.4247821196491</v>
      </c>
      <c r="H164" s="10">
        <v>0.212041394112884</v>
      </c>
      <c r="I164" s="10">
        <v>18.47311320907523</v>
      </c>
      <c r="J164" s="10">
        <v>396.4247821196491</v>
      </c>
      <c r="K164" s="4" t="b">
        <v>0</v>
      </c>
    </row>
    <row r="165" spans="1:11" ht="25" customHeight="1">
      <c r="A165" s="6" t="s">
        <v>79</v>
      </c>
      <c r="B165" s="7" t="s">
        <v>405</v>
      </c>
      <c r="C165" s="23">
        <v>1</v>
      </c>
      <c r="D165" s="9">
        <v>1577.299999999999</v>
      </c>
      <c r="E165" s="9">
        <v>74.62195431472081</v>
      </c>
      <c r="F165" s="9">
        <v>750</v>
      </c>
      <c r="G165" s="9">
        <v>1896.659822421946</v>
      </c>
      <c r="H165" s="9">
        <v>0.7269763662093114</v>
      </c>
      <c r="I165" s="9">
        <v>21.13721108599862</v>
      </c>
      <c r="J165" s="9">
        <v>0</v>
      </c>
      <c r="K165" s="7" t="b">
        <v>1</v>
      </c>
    </row>
    <row r="166" spans="1:11" ht="25" customHeight="1">
      <c r="A166" s="3" t="s">
        <v>79</v>
      </c>
      <c r="B166" s="4" t="s">
        <v>405</v>
      </c>
      <c r="C166" s="24">
        <v>2</v>
      </c>
      <c r="D166" s="10">
        <v>1668.064499999997</v>
      </c>
      <c r="E166" s="10">
        <v>89.73078223871778</v>
      </c>
      <c r="F166" s="10">
        <v>750</v>
      </c>
      <c r="G166" s="10">
        <v>1496.247817491397</v>
      </c>
      <c r="H166" s="10">
        <v>0.4473734783585396</v>
      </c>
      <c r="I166" s="10">
        <v>18.58965739942304</v>
      </c>
      <c r="J166" s="10">
        <v>0</v>
      </c>
      <c r="K166" s="4" t="b">
        <v>1</v>
      </c>
    </row>
    <row r="167" spans="1:11" ht="25" customHeight="1">
      <c r="A167" s="6" t="s">
        <v>79</v>
      </c>
      <c r="B167" s="7" t="s">
        <v>405</v>
      </c>
      <c r="C167" s="23">
        <v>3</v>
      </c>
      <c r="D167" s="9">
        <v>1760.334752499998</v>
      </c>
      <c r="E167" s="9">
        <v>65.11986904948381</v>
      </c>
      <c r="F167" s="9">
        <v>750</v>
      </c>
      <c r="G167" s="9">
        <v>981.7583953786825</v>
      </c>
      <c r="H167" s="9">
        <v>0.1316558654821437</v>
      </c>
      <c r="I167" s="9">
        <v>27.03222193463473</v>
      </c>
      <c r="J167" s="9">
        <v>0</v>
      </c>
      <c r="K167" s="7" t="b">
        <v>1</v>
      </c>
    </row>
    <row r="168" spans="1:11" ht="25" customHeight="1">
      <c r="A168" s="3" t="s">
        <v>79</v>
      </c>
      <c r="B168" s="4" t="s">
        <v>405</v>
      </c>
      <c r="C168" s="24">
        <v>4</v>
      </c>
      <c r="D168" s="10">
        <v>1814.153134112497</v>
      </c>
      <c r="E168" s="10">
        <v>38.78550372272095</v>
      </c>
      <c r="F168" s="10">
        <v>750</v>
      </c>
      <c r="G168" s="10">
        <v>401.0774565734</v>
      </c>
      <c r="H168" s="10">
        <v>-0.1923335670322542</v>
      </c>
      <c r="I168" s="10">
        <v>46.7739995613296</v>
      </c>
      <c r="J168" s="10">
        <v>0</v>
      </c>
      <c r="K168" s="4" t="b">
        <v>1</v>
      </c>
    </row>
    <row r="169" spans="1:11" ht="25" customHeight="1">
      <c r="A169" s="6" t="s">
        <v>79</v>
      </c>
      <c r="B169" s="7" t="s">
        <v>405</v>
      </c>
      <c r="C169" s="23">
        <v>5</v>
      </c>
      <c r="D169" s="9">
        <v>1869.56317552131</v>
      </c>
      <c r="E169" s="9">
        <v>23.05112131502127</v>
      </c>
      <c r="F169" s="9">
        <v>968.6906804945905</v>
      </c>
      <c r="G169" s="9">
        <v>0</v>
      </c>
      <c r="H169" s="9">
        <v>-0.5181374415039386</v>
      </c>
      <c r="I169" s="9">
        <v>81.10508595098186</v>
      </c>
      <c r="J169" s="9">
        <v>0</v>
      </c>
      <c r="K169" s="7" t="b">
        <v>1</v>
      </c>
    </row>
    <row r="170" spans="1:11" ht="25" customHeight="1">
      <c r="A170" s="3" t="s">
        <v>68</v>
      </c>
      <c r="B170" s="4" t="s">
        <v>406</v>
      </c>
      <c r="C170" s="24">
        <v>1</v>
      </c>
      <c r="D170" s="10">
        <v>1577.299999999999</v>
      </c>
      <c r="E170" s="10">
        <v>168.7336294416244</v>
      </c>
      <c r="F170" s="10">
        <v>750</v>
      </c>
      <c r="G170" s="10">
        <v>2388.787532595091</v>
      </c>
      <c r="H170" s="10">
        <v>1.038982776006525</v>
      </c>
      <c r="I170" s="10">
        <v>9.347869806508767</v>
      </c>
      <c r="J170" s="10">
        <v>0</v>
      </c>
      <c r="K170" s="4" t="b">
        <v>0</v>
      </c>
    </row>
    <row r="171" spans="1:11" ht="25" customHeight="1">
      <c r="A171" s="6" t="s">
        <v>68</v>
      </c>
      <c r="B171" s="7" t="s">
        <v>406</v>
      </c>
      <c r="C171" s="23">
        <v>2</v>
      </c>
      <c r="D171" s="9">
        <v>1668.064499999997</v>
      </c>
      <c r="E171" s="9">
        <v>142.694971439095</v>
      </c>
      <c r="F171" s="9">
        <v>750</v>
      </c>
      <c r="G171" s="9">
        <v>2012.748943537428</v>
      </c>
      <c r="H171" s="9">
        <v>0.7570144580964526</v>
      </c>
      <c r="I171" s="9">
        <v>11.68972167117998</v>
      </c>
      <c r="J171" s="9">
        <v>0</v>
      </c>
      <c r="K171" s="7" t="b">
        <v>0</v>
      </c>
    </row>
    <row r="172" spans="1:11" ht="25" customHeight="1">
      <c r="A172" s="3" t="s">
        <v>68</v>
      </c>
      <c r="B172" s="4" t="s">
        <v>406</v>
      </c>
      <c r="C172" s="24">
        <v>3</v>
      </c>
      <c r="D172" s="10">
        <v>1760.334752499998</v>
      </c>
      <c r="E172" s="10">
        <v>110.4049154829943</v>
      </c>
      <c r="F172" s="10">
        <v>750</v>
      </c>
      <c r="G172" s="10">
        <v>1516.489837071764</v>
      </c>
      <c r="H172" s="10">
        <v>0.4354227717104419</v>
      </c>
      <c r="I172" s="10">
        <v>15.94435125283116</v>
      </c>
      <c r="J172" s="10">
        <v>0</v>
      </c>
      <c r="K172" s="4" t="b">
        <v>0</v>
      </c>
    </row>
    <row r="173" spans="1:11" ht="25" customHeight="1">
      <c r="A173" s="6" t="s">
        <v>68</v>
      </c>
      <c r="B173" s="7" t="s">
        <v>406</v>
      </c>
      <c r="C173" s="23">
        <v>4</v>
      </c>
      <c r="D173" s="9">
        <v>1814.153134112497</v>
      </c>
      <c r="E173" s="9">
        <v>82.55918696574111</v>
      </c>
      <c r="F173" s="9">
        <v>749.9999999999999</v>
      </c>
      <c r="G173" s="9">
        <v>952.5123547912125</v>
      </c>
      <c r="H173" s="9">
        <v>0.1116291403317966</v>
      </c>
      <c r="I173" s="9">
        <v>21.97397044214233</v>
      </c>
      <c r="J173" s="9">
        <v>0</v>
      </c>
      <c r="K173" s="7" t="b">
        <v>0</v>
      </c>
    </row>
    <row r="174" spans="1:11" ht="25" customHeight="1">
      <c r="A174" s="3" t="s">
        <v>68</v>
      </c>
      <c r="B174" s="4" t="s">
        <v>406</v>
      </c>
      <c r="C174" s="24">
        <v>5</v>
      </c>
      <c r="D174" s="10">
        <v>1869.56317552131</v>
      </c>
      <c r="E174" s="10">
        <v>74.77392701285626</v>
      </c>
      <c r="F174" s="10">
        <v>394.9936540586242</v>
      </c>
      <c r="G174" s="10">
        <v>0</v>
      </c>
      <c r="H174" s="10">
        <v>-0.2112759061744378</v>
      </c>
      <c r="I174" s="10">
        <v>25.00287533647747</v>
      </c>
      <c r="J174" s="10">
        <v>0</v>
      </c>
      <c r="K174" s="4" t="b">
        <v>0</v>
      </c>
    </row>
    <row r="175" spans="1:11" ht="25" customHeight="1">
      <c r="A175" s="6" t="s">
        <v>78</v>
      </c>
      <c r="B175" s="7" t="s">
        <v>406</v>
      </c>
      <c r="C175" s="23">
        <v>1</v>
      </c>
      <c r="D175" s="9">
        <v>1577.299999999999</v>
      </c>
      <c r="E175" s="9">
        <v>243.809771573604</v>
      </c>
      <c r="F175" s="9">
        <v>750</v>
      </c>
      <c r="G175" s="9">
        <v>2458.343370158543</v>
      </c>
      <c r="H175" s="9">
        <v>1.08308081541783</v>
      </c>
      <c r="I175" s="9">
        <v>6.469387956929472</v>
      </c>
      <c r="J175" s="9">
        <v>0</v>
      </c>
      <c r="K175" s="7" t="b">
        <v>0</v>
      </c>
    </row>
    <row r="176" spans="1:11" ht="25" customHeight="1">
      <c r="A176" s="3" t="s">
        <v>78</v>
      </c>
      <c r="B176" s="4" t="s">
        <v>406</v>
      </c>
      <c r="C176" s="24">
        <v>2</v>
      </c>
      <c r="D176" s="10">
        <v>1668.064499999997</v>
      </c>
      <c r="E176" s="10">
        <v>148.4333280380798</v>
      </c>
      <c r="F176" s="10">
        <v>750</v>
      </c>
      <c r="G176" s="10">
        <v>2086.608548550118</v>
      </c>
      <c r="H176" s="10">
        <v>0.8012930846200015</v>
      </c>
      <c r="I176" s="10">
        <v>11.23780300588601</v>
      </c>
      <c r="J176" s="10">
        <v>0</v>
      </c>
      <c r="K176" s="4" t="b">
        <v>0</v>
      </c>
    </row>
    <row r="177" spans="1:11" ht="25" customHeight="1">
      <c r="A177" s="6" t="s">
        <v>78</v>
      </c>
      <c r="B177" s="7" t="s">
        <v>406</v>
      </c>
      <c r="C177" s="23">
        <v>3</v>
      </c>
      <c r="D177" s="9">
        <v>1760.334752499998</v>
      </c>
      <c r="E177" s="9">
        <v>116.3136838840095</v>
      </c>
      <c r="F177" s="9">
        <v>750</v>
      </c>
      <c r="G177" s="9">
        <v>1594.781018385215</v>
      </c>
      <c r="H177" s="9">
        <v>0.4798979382674072</v>
      </c>
      <c r="I177" s="9">
        <v>15.13437364992619</v>
      </c>
      <c r="J177" s="9">
        <v>0</v>
      </c>
      <c r="K177" s="7" t="b">
        <v>0</v>
      </c>
    </row>
    <row r="178" spans="1:11" ht="25" customHeight="1">
      <c r="A178" s="3" t="s">
        <v>78</v>
      </c>
      <c r="B178" s="4" t="s">
        <v>406</v>
      </c>
      <c r="C178" s="24">
        <v>4</v>
      </c>
      <c r="D178" s="10">
        <v>1814.153134112497</v>
      </c>
      <c r="E178" s="10">
        <v>88.82248147081725</v>
      </c>
      <c r="F178" s="10">
        <v>750</v>
      </c>
      <c r="G178" s="10">
        <v>1035.501006983472</v>
      </c>
      <c r="H178" s="10">
        <v>0.1573742599866806</v>
      </c>
      <c r="I178" s="10">
        <v>20.42448155097468</v>
      </c>
      <c r="J178" s="10">
        <v>0</v>
      </c>
      <c r="K178" s="4" t="b">
        <v>0</v>
      </c>
    </row>
    <row r="179" spans="1:11" ht="25" customHeight="1">
      <c r="A179" s="6" t="s">
        <v>78</v>
      </c>
      <c r="B179" s="7" t="s">
        <v>406</v>
      </c>
      <c r="C179" s="23">
        <v>5</v>
      </c>
      <c r="D179" s="9">
        <v>1869.56317552131</v>
      </c>
      <c r="E179" s="9">
        <v>81.35711307449174</v>
      </c>
      <c r="F179" s="9">
        <v>307.0676123201388</v>
      </c>
      <c r="G179" s="9">
        <v>0</v>
      </c>
      <c r="H179" s="9">
        <v>-0.1642456464379792</v>
      </c>
      <c r="I179" s="9">
        <v>22.97971381813304</v>
      </c>
      <c r="J179" s="9">
        <v>0</v>
      </c>
      <c r="K179" s="7" t="b">
        <v>0</v>
      </c>
    </row>
    <row r="180" spans="1:11" ht="25" customHeight="1">
      <c r="A180" s="3" t="s">
        <v>79</v>
      </c>
      <c r="B180" s="4" t="s">
        <v>406</v>
      </c>
      <c r="C180" s="24">
        <v>1</v>
      </c>
      <c r="D180" s="10">
        <v>1577.299999999999</v>
      </c>
      <c r="E180" s="10">
        <v>80.71332487309644</v>
      </c>
      <c r="F180" s="10">
        <v>750</v>
      </c>
      <c r="G180" s="10">
        <v>1287.239309244837</v>
      </c>
      <c r="H180" s="10">
        <v>0.3406069290844086</v>
      </c>
      <c r="I180" s="10">
        <v>19.54200254394115</v>
      </c>
      <c r="J180" s="10">
        <v>0</v>
      </c>
      <c r="K180" s="4" t="b">
        <v>1</v>
      </c>
    </row>
    <row r="181" spans="1:11" ht="25" customHeight="1">
      <c r="A181" s="6" t="s">
        <v>79</v>
      </c>
      <c r="B181" s="7" t="s">
        <v>406</v>
      </c>
      <c r="C181" s="23">
        <v>2</v>
      </c>
      <c r="D181" s="9">
        <v>1668.064499999997</v>
      </c>
      <c r="E181" s="9">
        <v>52.68696546224187</v>
      </c>
      <c r="F181" s="9">
        <v>750</v>
      </c>
      <c r="G181" s="9">
        <v>843.6947157045345</v>
      </c>
      <c r="H181" s="9">
        <v>0.05616971987865854</v>
      </c>
      <c r="I181" s="9">
        <v>31.65990839224583</v>
      </c>
      <c r="J181" s="9">
        <v>0</v>
      </c>
      <c r="K181" s="7" t="b">
        <v>1</v>
      </c>
    </row>
    <row r="182" spans="1:11" ht="25" customHeight="1">
      <c r="A182" s="3" t="s">
        <v>79</v>
      </c>
      <c r="B182" s="4" t="s">
        <v>406</v>
      </c>
      <c r="C182" s="24">
        <v>3</v>
      </c>
      <c r="D182" s="10">
        <v>1760.334752499998</v>
      </c>
      <c r="E182" s="10">
        <v>32.06039919677231</v>
      </c>
      <c r="F182" s="10">
        <v>750</v>
      </c>
      <c r="G182" s="10">
        <v>288.6772220242035</v>
      </c>
      <c r="H182" s="10">
        <v>-0.2620653698511795</v>
      </c>
      <c r="I182" s="10">
        <v>54.90682576021138</v>
      </c>
      <c r="J182" s="10">
        <v>0</v>
      </c>
      <c r="K182" s="4" t="b">
        <v>1</v>
      </c>
    </row>
    <row r="183" spans="1:11" ht="25" customHeight="1">
      <c r="A183" s="6" t="s">
        <v>79</v>
      </c>
      <c r="B183" s="7" t="s">
        <v>406</v>
      </c>
      <c r="C183" s="23">
        <v>4</v>
      </c>
      <c r="D183" s="9">
        <v>1814.153134112497</v>
      </c>
      <c r="E183" s="9">
        <v>10.96973443691973</v>
      </c>
      <c r="F183" s="9">
        <v>1078.992349652963</v>
      </c>
      <c r="G183" s="9">
        <v>0</v>
      </c>
      <c r="H183" s="9">
        <v>-0.5947636554842531</v>
      </c>
      <c r="I183" s="9">
        <v>165.3780357714754</v>
      </c>
      <c r="J183" s="9">
        <v>0</v>
      </c>
      <c r="K183" s="7" t="b">
        <v>1</v>
      </c>
    </row>
    <row r="184" spans="1:11" ht="25" customHeight="1">
      <c r="A184" s="3" t="s">
        <v>79</v>
      </c>
      <c r="B184" s="4" t="s">
        <v>406</v>
      </c>
      <c r="C184" s="24">
        <v>5</v>
      </c>
      <c r="D184" s="10">
        <v>1869.56317552131</v>
      </c>
      <c r="E184" s="10">
        <v>0</v>
      </c>
      <c r="F184" s="10">
        <v>1732.578803762442</v>
      </c>
      <c r="G184" s="10">
        <v>0</v>
      </c>
      <c r="H184" s="10">
        <v>-0.9267292095006788</v>
      </c>
      <c r="I184" s="4"/>
      <c r="J184" s="10">
        <v>0</v>
      </c>
      <c r="K184" s="4" t="b">
        <v>1</v>
      </c>
    </row>
    <row r="185" spans="1:11" ht="25" customHeight="1">
      <c r="A185" s="6" t="s">
        <v>68</v>
      </c>
      <c r="B185" s="7" t="s">
        <v>407</v>
      </c>
      <c r="C185" s="23">
        <v>1</v>
      </c>
      <c r="D185" s="9">
        <v>1577.299999999999</v>
      </c>
      <c r="E185" s="9">
        <v>168.7336294416244</v>
      </c>
      <c r="F185" s="9">
        <v>750</v>
      </c>
      <c r="G185" s="9">
        <v>2388.787532595091</v>
      </c>
      <c r="H185" s="9">
        <v>1.038982776006525</v>
      </c>
      <c r="I185" s="9">
        <v>9.347869806508767</v>
      </c>
      <c r="J185" s="9">
        <v>0</v>
      </c>
      <c r="K185" s="7" t="b">
        <v>0</v>
      </c>
    </row>
    <row r="186" spans="1:11" ht="25" customHeight="1">
      <c r="A186" s="3" t="s">
        <v>68</v>
      </c>
      <c r="B186" s="4" t="s">
        <v>407</v>
      </c>
      <c r="C186" s="24">
        <v>2</v>
      </c>
      <c r="D186" s="10">
        <v>1668.064499999997</v>
      </c>
      <c r="E186" s="10">
        <v>142.694971439095</v>
      </c>
      <c r="F186" s="10">
        <v>750</v>
      </c>
      <c r="G186" s="10">
        <v>2012.748943537428</v>
      </c>
      <c r="H186" s="10">
        <v>0.7570144580964526</v>
      </c>
      <c r="I186" s="10">
        <v>11.68972167117998</v>
      </c>
      <c r="J186" s="10">
        <v>0</v>
      </c>
      <c r="K186" s="4" t="b">
        <v>0</v>
      </c>
    </row>
    <row r="187" spans="1:11" ht="25" customHeight="1">
      <c r="A187" s="6" t="s">
        <v>68</v>
      </c>
      <c r="B187" s="7" t="s">
        <v>407</v>
      </c>
      <c r="C187" s="23">
        <v>3</v>
      </c>
      <c r="D187" s="9">
        <v>1760.334752499998</v>
      </c>
      <c r="E187" s="9">
        <v>110.4049154829943</v>
      </c>
      <c r="F187" s="9">
        <v>750</v>
      </c>
      <c r="G187" s="9">
        <v>1516.489837071764</v>
      </c>
      <c r="H187" s="9">
        <v>0.4354227717104419</v>
      </c>
      <c r="I187" s="9">
        <v>15.94435125283116</v>
      </c>
      <c r="J187" s="9">
        <v>0</v>
      </c>
      <c r="K187" s="7" t="b">
        <v>0</v>
      </c>
    </row>
    <row r="188" spans="1:11" ht="25" customHeight="1">
      <c r="A188" s="3" t="s">
        <v>68</v>
      </c>
      <c r="B188" s="4" t="s">
        <v>407</v>
      </c>
      <c r="C188" s="24">
        <v>4</v>
      </c>
      <c r="D188" s="10">
        <v>1814.153134112497</v>
      </c>
      <c r="E188" s="10">
        <v>82.55918696574111</v>
      </c>
      <c r="F188" s="10">
        <v>749.9999999999999</v>
      </c>
      <c r="G188" s="10">
        <v>952.5123547912125</v>
      </c>
      <c r="H188" s="10">
        <v>0.1116291403317966</v>
      </c>
      <c r="I188" s="10">
        <v>21.97397044214233</v>
      </c>
      <c r="J188" s="10">
        <v>0</v>
      </c>
      <c r="K188" s="4" t="b">
        <v>0</v>
      </c>
    </row>
    <row r="189" spans="1:11" ht="25" customHeight="1">
      <c r="A189" s="6" t="s">
        <v>68</v>
      </c>
      <c r="B189" s="7" t="s">
        <v>407</v>
      </c>
      <c r="C189" s="23">
        <v>5</v>
      </c>
      <c r="D189" s="9">
        <v>1869.56317552131</v>
      </c>
      <c r="E189" s="9">
        <v>67.19743604933021</v>
      </c>
      <c r="F189" s="9">
        <v>400.6760222812687</v>
      </c>
      <c r="G189" s="9">
        <v>0</v>
      </c>
      <c r="H189" s="9">
        <v>-0.2143153157525923</v>
      </c>
      <c r="I189" s="9">
        <v>27.82194210726802</v>
      </c>
      <c r="J189" s="9">
        <v>0</v>
      </c>
      <c r="K189" s="7" t="b">
        <v>0</v>
      </c>
    </row>
    <row r="190" spans="1:11" ht="25" customHeight="1">
      <c r="A190" s="3" t="s">
        <v>78</v>
      </c>
      <c r="B190" s="4" t="s">
        <v>407</v>
      </c>
      <c r="C190" s="24">
        <v>1</v>
      </c>
      <c r="D190" s="10">
        <v>1577.299999999999</v>
      </c>
      <c r="E190" s="10">
        <v>243.8097715736041</v>
      </c>
      <c r="F190" s="10">
        <v>750</v>
      </c>
      <c r="G190" s="10">
        <v>2458.343370158543</v>
      </c>
      <c r="H190" s="10">
        <v>1.08308081541783</v>
      </c>
      <c r="I190" s="10">
        <v>6.469387956929471</v>
      </c>
      <c r="J190" s="10">
        <v>0</v>
      </c>
      <c r="K190" s="4" t="b">
        <v>0</v>
      </c>
    </row>
    <row r="191" spans="1:11" ht="25" customHeight="1">
      <c r="A191" s="6" t="s">
        <v>78</v>
      </c>
      <c r="B191" s="7" t="s">
        <v>407</v>
      </c>
      <c r="C191" s="23">
        <v>2</v>
      </c>
      <c r="D191" s="9">
        <v>1668.064499999997</v>
      </c>
      <c r="E191" s="9">
        <v>148.4333280380798</v>
      </c>
      <c r="F191" s="9">
        <v>750</v>
      </c>
      <c r="G191" s="9">
        <v>2086.608548550118</v>
      </c>
      <c r="H191" s="9">
        <v>0.8012930846200015</v>
      </c>
      <c r="I191" s="9">
        <v>11.23780300588601</v>
      </c>
      <c r="J191" s="9">
        <v>0</v>
      </c>
      <c r="K191" s="7" t="b">
        <v>0</v>
      </c>
    </row>
    <row r="192" spans="1:11" ht="25" customHeight="1">
      <c r="A192" s="3" t="s">
        <v>78</v>
      </c>
      <c r="B192" s="4" t="s">
        <v>407</v>
      </c>
      <c r="C192" s="24">
        <v>3</v>
      </c>
      <c r="D192" s="10">
        <v>1760.334752499998</v>
      </c>
      <c r="E192" s="10">
        <v>116.3136838840095</v>
      </c>
      <c r="F192" s="10">
        <v>750</v>
      </c>
      <c r="G192" s="10">
        <v>1594.781018385215</v>
      </c>
      <c r="H192" s="10">
        <v>0.4798979382674072</v>
      </c>
      <c r="I192" s="10">
        <v>15.13437364992619</v>
      </c>
      <c r="J192" s="10">
        <v>0</v>
      </c>
      <c r="K192" s="4" t="b">
        <v>0</v>
      </c>
    </row>
    <row r="193" spans="1:11" ht="25" customHeight="1">
      <c r="A193" s="6" t="s">
        <v>78</v>
      </c>
      <c r="B193" s="7" t="s">
        <v>407</v>
      </c>
      <c r="C193" s="23">
        <v>4</v>
      </c>
      <c r="D193" s="9">
        <v>1814.153134112497</v>
      </c>
      <c r="E193" s="9">
        <v>88.82248147081724</v>
      </c>
      <c r="F193" s="9">
        <v>750</v>
      </c>
      <c r="G193" s="9">
        <v>1035.501006983472</v>
      </c>
      <c r="H193" s="9">
        <v>0.1573742599866806</v>
      </c>
      <c r="I193" s="9">
        <v>20.42448155097468</v>
      </c>
      <c r="J193" s="9">
        <v>0</v>
      </c>
      <c r="K193" s="7" t="b">
        <v>0</v>
      </c>
    </row>
    <row r="194" spans="1:11" ht="25" customHeight="1">
      <c r="A194" s="3" t="s">
        <v>78</v>
      </c>
      <c r="B194" s="4" t="s">
        <v>407</v>
      </c>
      <c r="C194" s="24">
        <v>5</v>
      </c>
      <c r="D194" s="10">
        <v>1869.56317552131</v>
      </c>
      <c r="E194" s="10">
        <v>73.33337320100377</v>
      </c>
      <c r="F194" s="10">
        <v>313.0854172252548</v>
      </c>
      <c r="G194" s="10">
        <v>0</v>
      </c>
      <c r="H194" s="10">
        <v>-0.1674644758329463</v>
      </c>
      <c r="I194" s="10">
        <v>25.4940294427329</v>
      </c>
      <c r="J194" s="10">
        <v>0</v>
      </c>
      <c r="K194" s="4" t="b">
        <v>0</v>
      </c>
    </row>
    <row r="195" spans="1:11" ht="25" customHeight="1">
      <c r="A195" s="6" t="s">
        <v>79</v>
      </c>
      <c r="B195" s="7" t="s">
        <v>407</v>
      </c>
      <c r="C195" s="23">
        <v>1</v>
      </c>
      <c r="D195" s="9">
        <v>1577.299999999999</v>
      </c>
      <c r="E195" s="9">
        <v>80.71332487309644</v>
      </c>
      <c r="F195" s="9">
        <v>750</v>
      </c>
      <c r="G195" s="9">
        <v>1287.239309244837</v>
      </c>
      <c r="H195" s="9">
        <v>0.3406069290844086</v>
      </c>
      <c r="I195" s="9">
        <v>19.54200254394115</v>
      </c>
      <c r="J195" s="9">
        <v>0</v>
      </c>
      <c r="K195" s="7" t="b">
        <v>1</v>
      </c>
    </row>
    <row r="196" spans="1:11" ht="25" customHeight="1">
      <c r="A196" s="3" t="s">
        <v>79</v>
      </c>
      <c r="B196" s="4" t="s">
        <v>407</v>
      </c>
      <c r="C196" s="24">
        <v>2</v>
      </c>
      <c r="D196" s="10">
        <v>1668.064499999997</v>
      </c>
      <c r="E196" s="10">
        <v>52.68696546224187</v>
      </c>
      <c r="F196" s="10">
        <v>750</v>
      </c>
      <c r="G196" s="10">
        <v>843.6947157045345</v>
      </c>
      <c r="H196" s="10">
        <v>0.05616971987865854</v>
      </c>
      <c r="I196" s="10">
        <v>31.65990839224583</v>
      </c>
      <c r="J196" s="10">
        <v>0</v>
      </c>
      <c r="K196" s="4" t="b">
        <v>1</v>
      </c>
    </row>
    <row r="197" spans="1:11" ht="25" customHeight="1">
      <c r="A197" s="6" t="s">
        <v>79</v>
      </c>
      <c r="B197" s="7" t="s">
        <v>407</v>
      </c>
      <c r="C197" s="23">
        <v>3</v>
      </c>
      <c r="D197" s="9">
        <v>1760.334752499998</v>
      </c>
      <c r="E197" s="9">
        <v>32.06039919677231</v>
      </c>
      <c r="F197" s="9">
        <v>750</v>
      </c>
      <c r="G197" s="9">
        <v>288.6772220242035</v>
      </c>
      <c r="H197" s="9">
        <v>-0.2620653698511795</v>
      </c>
      <c r="I197" s="9">
        <v>54.90682576021138</v>
      </c>
      <c r="J197" s="9">
        <v>0</v>
      </c>
      <c r="K197" s="7" t="b">
        <v>1</v>
      </c>
    </row>
    <row r="198" spans="1:11" ht="25" customHeight="1">
      <c r="A198" s="3" t="s">
        <v>79</v>
      </c>
      <c r="B198" s="4" t="s">
        <v>407</v>
      </c>
      <c r="C198" s="24">
        <v>4</v>
      </c>
      <c r="D198" s="10">
        <v>1814.153134112497</v>
      </c>
      <c r="E198" s="10">
        <v>10.96973443691973</v>
      </c>
      <c r="F198" s="10">
        <v>1078.992349652963</v>
      </c>
      <c r="G198" s="10">
        <v>0</v>
      </c>
      <c r="H198" s="10">
        <v>-0.5947636554842531</v>
      </c>
      <c r="I198" s="10">
        <v>165.3780357714754</v>
      </c>
      <c r="J198" s="10">
        <v>0</v>
      </c>
      <c r="K198" s="4" t="b">
        <v>1</v>
      </c>
    </row>
    <row r="199" spans="1:11" ht="25" customHeight="1">
      <c r="A199" s="6" t="s">
        <v>79</v>
      </c>
      <c r="B199" s="7" t="s">
        <v>407</v>
      </c>
      <c r="C199" s="23">
        <v>5</v>
      </c>
      <c r="D199" s="9">
        <v>1869.56317552131</v>
      </c>
      <c r="E199" s="9">
        <v>0</v>
      </c>
      <c r="F199" s="9">
        <v>1732.578803762442</v>
      </c>
      <c r="G199" s="9">
        <v>0</v>
      </c>
      <c r="H199" s="9">
        <v>-0.9267292095006788</v>
      </c>
      <c r="I199" s="7"/>
      <c r="J199" s="9">
        <v>0</v>
      </c>
      <c r="K199" s="7" t="b">
        <v>1</v>
      </c>
    </row>
    <row r="200" spans="1:11" ht="25" customHeight="1">
      <c r="A200" s="3" t="s">
        <v>68</v>
      </c>
      <c r="B200" s="4" t="s">
        <v>408</v>
      </c>
      <c r="C200" s="24">
        <v>1</v>
      </c>
      <c r="D200" s="10">
        <v>1557.299999999999</v>
      </c>
      <c r="E200" s="10">
        <v>141.9315989847716</v>
      </c>
      <c r="F200" s="10">
        <v>750</v>
      </c>
      <c r="G200" s="10">
        <v>2383.686009752451</v>
      </c>
      <c r="H200" s="10">
        <v>1.04905028559202</v>
      </c>
      <c r="I200" s="10">
        <v>10.97218668104408</v>
      </c>
      <c r="J200" s="10">
        <v>0</v>
      </c>
      <c r="K200" s="4" t="b">
        <v>0</v>
      </c>
    </row>
    <row r="201" spans="1:11" ht="25" customHeight="1">
      <c r="A201" s="6" t="s">
        <v>68</v>
      </c>
      <c r="B201" s="7" t="s">
        <v>408</v>
      </c>
      <c r="C201" s="23">
        <v>2</v>
      </c>
      <c r="D201" s="9">
        <v>1608.064499999997</v>
      </c>
      <c r="E201" s="9">
        <v>120.8803756095282</v>
      </c>
      <c r="F201" s="9">
        <v>750</v>
      </c>
      <c r="G201" s="9">
        <v>2036.286473822613</v>
      </c>
      <c r="H201" s="9">
        <v>0.7998973137101248</v>
      </c>
      <c r="I201" s="9">
        <v>13.3029409603625</v>
      </c>
      <c r="J201" s="9">
        <v>0</v>
      </c>
      <c r="K201" s="7" t="b">
        <v>0</v>
      </c>
    </row>
    <row r="202" spans="1:11" ht="25" customHeight="1">
      <c r="A202" s="3" t="s">
        <v>68</v>
      </c>
      <c r="B202" s="4" t="s">
        <v>408</v>
      </c>
      <c r="C202" s="24">
        <v>3</v>
      </c>
      <c r="D202" s="10">
        <v>1660.334752499998</v>
      </c>
      <c r="E202" s="10">
        <v>97.52218842935679</v>
      </c>
      <c r="F202" s="10">
        <v>750</v>
      </c>
      <c r="G202" s="10">
        <v>1605.36532206672</v>
      </c>
      <c r="H202" s="10">
        <v>0.5151764249822396</v>
      </c>
      <c r="I202" s="10">
        <v>17.0251998979977</v>
      </c>
      <c r="J202" s="10">
        <v>0</v>
      </c>
      <c r="K202" s="4" t="b">
        <v>0</v>
      </c>
    </row>
    <row r="203" spans="1:11" ht="25" customHeight="1">
      <c r="A203" s="6" t="s">
        <v>68</v>
      </c>
      <c r="B203" s="7" t="s">
        <v>408</v>
      </c>
      <c r="C203" s="23">
        <v>4</v>
      </c>
      <c r="D203" s="9">
        <v>1714.153134112497</v>
      </c>
      <c r="E203" s="9">
        <v>76.20191932400323</v>
      </c>
      <c r="F203" s="9">
        <v>749.9999999999999</v>
      </c>
      <c r="G203" s="9">
        <v>1111.619889054866</v>
      </c>
      <c r="H203" s="9">
        <v>0.210961250694848</v>
      </c>
      <c r="I203" s="9">
        <v>22.4948813536321</v>
      </c>
      <c r="J203" s="9">
        <v>0</v>
      </c>
      <c r="K203" s="7" t="b">
        <v>0</v>
      </c>
    </row>
    <row r="204" spans="1:11" ht="25" customHeight="1">
      <c r="A204" s="3" t="s">
        <v>68</v>
      </c>
      <c r="B204" s="4" t="s">
        <v>408</v>
      </c>
      <c r="C204" s="24">
        <v>5</v>
      </c>
      <c r="D204" s="10">
        <v>1769.56317552131</v>
      </c>
      <c r="E204" s="10">
        <v>65.41455184967947</v>
      </c>
      <c r="F204" s="10">
        <v>167.9056511673535</v>
      </c>
      <c r="G204" s="10">
        <v>0</v>
      </c>
      <c r="H204" s="10">
        <v>-0.09488536690298657</v>
      </c>
      <c r="I204" s="10">
        <v>27.0515218018723</v>
      </c>
      <c r="J204" s="10">
        <v>0</v>
      </c>
      <c r="K204" s="4" t="b">
        <v>0</v>
      </c>
    </row>
    <row r="205" spans="1:11" ht="25" customHeight="1">
      <c r="A205" s="6" t="s">
        <v>78</v>
      </c>
      <c r="B205" s="7" t="s">
        <v>408</v>
      </c>
      <c r="C205" s="23">
        <v>1</v>
      </c>
      <c r="D205" s="9">
        <v>1557.299999999999</v>
      </c>
      <c r="E205" s="9">
        <v>199.3427664974619</v>
      </c>
      <c r="F205" s="9">
        <v>750</v>
      </c>
      <c r="G205" s="9">
        <v>2439.993116351437</v>
      </c>
      <c r="H205" s="9">
        <v>1.0852071639064</v>
      </c>
      <c r="I205" s="9">
        <v>7.812172106178867</v>
      </c>
      <c r="J205" s="9">
        <v>0</v>
      </c>
      <c r="K205" s="7" t="b">
        <v>0</v>
      </c>
    </row>
    <row r="206" spans="1:11" ht="25" customHeight="1">
      <c r="A206" s="3" t="s">
        <v>78</v>
      </c>
      <c r="B206" s="4" t="s">
        <v>408</v>
      </c>
      <c r="C206" s="24">
        <v>2</v>
      </c>
      <c r="D206" s="10">
        <v>1608.064499999997</v>
      </c>
      <c r="E206" s="10">
        <v>124.3995697719648</v>
      </c>
      <c r="F206" s="10">
        <v>750</v>
      </c>
      <c r="G206" s="10">
        <v>2095.232976043425</v>
      </c>
      <c r="H206" s="10">
        <v>0.8365541158600464</v>
      </c>
      <c r="I206" s="10">
        <v>12.92660821052452</v>
      </c>
      <c r="J206" s="10">
        <v>0</v>
      </c>
      <c r="K206" s="4" t="b">
        <v>0</v>
      </c>
    </row>
    <row r="207" spans="1:11" ht="25" customHeight="1">
      <c r="A207" s="6" t="s">
        <v>78</v>
      </c>
      <c r="B207" s="7" t="s">
        <v>408</v>
      </c>
      <c r="C207" s="23">
        <v>3</v>
      </c>
      <c r="D207" s="9">
        <v>1660.334752499998</v>
      </c>
      <c r="E207" s="9">
        <v>101.0589785626055</v>
      </c>
      <c r="F207" s="9">
        <v>750</v>
      </c>
      <c r="G207" s="9">
        <v>1666.964416887469</v>
      </c>
      <c r="H207" s="9">
        <v>0.5522768318297129</v>
      </c>
      <c r="I207" s="9">
        <v>16.42936408140548</v>
      </c>
      <c r="J207" s="9">
        <v>0</v>
      </c>
      <c r="K207" s="7" t="b">
        <v>0</v>
      </c>
    </row>
    <row r="208" spans="1:11" ht="25" customHeight="1">
      <c r="A208" s="3" t="s">
        <v>78</v>
      </c>
      <c r="B208" s="4" t="s">
        <v>408</v>
      </c>
      <c r="C208" s="24">
        <v>4</v>
      </c>
      <c r="D208" s="10">
        <v>1714.153134112497</v>
      </c>
      <c r="E208" s="10">
        <v>79.89786501324815</v>
      </c>
      <c r="F208" s="10">
        <v>750</v>
      </c>
      <c r="G208" s="10">
        <v>1175.990943142549</v>
      </c>
      <c r="H208" s="10">
        <v>0.2485139365119239</v>
      </c>
      <c r="I208" s="10">
        <v>21.45430461537699</v>
      </c>
      <c r="J208" s="10">
        <v>0</v>
      </c>
      <c r="K208" s="4" t="b">
        <v>0</v>
      </c>
    </row>
    <row r="209" spans="1:11" ht="25" customHeight="1">
      <c r="A209" s="6" t="s">
        <v>78</v>
      </c>
      <c r="B209" s="7" t="s">
        <v>408</v>
      </c>
      <c r="C209" s="23">
        <v>5</v>
      </c>
      <c r="D209" s="9">
        <v>1769.56317552131</v>
      </c>
      <c r="E209" s="9">
        <v>69.22572276022487</v>
      </c>
      <c r="F209" s="9">
        <v>100.6762188967618</v>
      </c>
      <c r="G209" s="9">
        <v>0</v>
      </c>
      <c r="H209" s="9">
        <v>-0.0568932606020708</v>
      </c>
      <c r="I209" s="9">
        <v>25.56222029852248</v>
      </c>
      <c r="J209" s="9">
        <v>0</v>
      </c>
      <c r="K209" s="7" t="b">
        <v>0</v>
      </c>
    </row>
    <row r="210" spans="1:11" ht="25" customHeight="1">
      <c r="A210" s="3" t="s">
        <v>79</v>
      </c>
      <c r="B210" s="4" t="s">
        <v>408</v>
      </c>
      <c r="C210" s="24">
        <v>1</v>
      </c>
      <c r="D210" s="10">
        <v>1557.299999999999</v>
      </c>
      <c r="E210" s="10">
        <v>74.62195431472081</v>
      </c>
      <c r="F210" s="10">
        <v>750</v>
      </c>
      <c r="G210" s="10">
        <v>1297.670781326056</v>
      </c>
      <c r="H210" s="10">
        <v>0.3516796900571863</v>
      </c>
      <c r="I210" s="10">
        <v>20.8691934471728</v>
      </c>
      <c r="J210" s="10">
        <v>0</v>
      </c>
      <c r="K210" s="4" t="b">
        <v>1</v>
      </c>
    </row>
    <row r="211" spans="1:11" ht="25" customHeight="1">
      <c r="A211" s="6" t="s">
        <v>79</v>
      </c>
      <c r="B211" s="7" t="s">
        <v>408</v>
      </c>
      <c r="C211" s="23">
        <v>2</v>
      </c>
      <c r="D211" s="9">
        <v>1608.064499999997</v>
      </c>
      <c r="E211" s="9">
        <v>53.20853906630279</v>
      </c>
      <c r="F211" s="9">
        <v>750</v>
      </c>
      <c r="G211" s="9">
        <v>899.5173679887987</v>
      </c>
      <c r="H211" s="9">
        <v>0.09297970820747485</v>
      </c>
      <c r="I211" s="9">
        <v>30.22192543185971</v>
      </c>
      <c r="J211" s="9">
        <v>0</v>
      </c>
      <c r="K211" s="7" t="b">
        <v>1</v>
      </c>
    </row>
    <row r="212" spans="1:11" ht="25" customHeight="1">
      <c r="A212" s="3" t="s">
        <v>79</v>
      </c>
      <c r="B212" s="4" t="s">
        <v>408</v>
      </c>
      <c r="C212" s="24">
        <v>3</v>
      </c>
      <c r="D212" s="10">
        <v>1660.334752499998</v>
      </c>
      <c r="E212" s="10">
        <v>34.18165998357435</v>
      </c>
      <c r="F212" s="10">
        <v>750</v>
      </c>
      <c r="G212" s="10">
        <v>421.0908198985692</v>
      </c>
      <c r="H212" s="10">
        <v>-0.1980981122067017</v>
      </c>
      <c r="I212" s="10">
        <v>48.57384788503119</v>
      </c>
      <c r="J212" s="10">
        <v>0</v>
      </c>
      <c r="K212" s="4" t="b">
        <v>1</v>
      </c>
    </row>
    <row r="213" spans="1:11" ht="25" customHeight="1">
      <c r="A213" s="6" t="s">
        <v>79</v>
      </c>
      <c r="B213" s="7" t="s">
        <v>408</v>
      </c>
      <c r="C213" s="23">
        <v>4</v>
      </c>
      <c r="D213" s="9">
        <v>1714.153134112497</v>
      </c>
      <c r="E213" s="9">
        <v>16.00145115614563</v>
      </c>
      <c r="F213" s="9">
        <v>867.8049642391784</v>
      </c>
      <c r="G213" s="9">
        <v>0</v>
      </c>
      <c r="H213" s="9">
        <v>-0.506258715729318</v>
      </c>
      <c r="I213" s="9">
        <v>107.1248549513053</v>
      </c>
      <c r="J213" s="9">
        <v>0</v>
      </c>
      <c r="K213" s="7" t="b">
        <v>1</v>
      </c>
    </row>
    <row r="214" spans="1:11" ht="25" customHeight="1">
      <c r="A214" s="3" t="s">
        <v>79</v>
      </c>
      <c r="B214" s="4" t="s">
        <v>408</v>
      </c>
      <c r="C214" s="24">
        <v>5</v>
      </c>
      <c r="D214" s="10">
        <v>1769.56317552131</v>
      </c>
      <c r="E214" s="10">
        <v>0</v>
      </c>
      <c r="F214" s="10">
        <v>1446.391418348657</v>
      </c>
      <c r="G214" s="10">
        <v>0</v>
      </c>
      <c r="H214" s="10">
        <v>-0.8173720149451873</v>
      </c>
      <c r="I214" s="4"/>
      <c r="J214" s="10">
        <v>0</v>
      </c>
      <c r="K214" s="4" t="b">
        <v>1</v>
      </c>
    </row>
    <row r="215" spans="1:11" ht="25" customHeight="1">
      <c r="A215" s="6" t="s">
        <v>68</v>
      </c>
      <c r="B215" s="7" t="s">
        <v>409</v>
      </c>
      <c r="C215" s="23">
        <v>1</v>
      </c>
      <c r="D215" s="9">
        <v>862.3499999999981</v>
      </c>
      <c r="E215" s="9">
        <v>195.5356598984771</v>
      </c>
      <c r="F215" s="9">
        <v>642.8177828384661</v>
      </c>
      <c r="G215" s="9">
        <v>3257.299492385787</v>
      </c>
      <c r="H215" s="9">
        <v>3.0318104128803</v>
      </c>
      <c r="I215" s="9">
        <v>4.410193007494047</v>
      </c>
      <c r="J215" s="9">
        <v>0</v>
      </c>
      <c r="K215" s="7" t="b">
        <v>0</v>
      </c>
    </row>
    <row r="216" spans="1:11" ht="25" customHeight="1">
      <c r="A216" s="3" t="s">
        <v>68</v>
      </c>
      <c r="B216" s="4" t="s">
        <v>409</v>
      </c>
      <c r="C216" s="24">
        <v>2</v>
      </c>
      <c r="D216" s="10">
        <v>895.7407500000004</v>
      </c>
      <c r="E216" s="10">
        <v>239.0381979695431</v>
      </c>
      <c r="F216" s="10">
        <v>362.3983551887031</v>
      </c>
      <c r="G216" s="10">
        <v>3214.497461928934</v>
      </c>
      <c r="H216" s="10">
        <v>3.184067607441361</v>
      </c>
      <c r="I216" s="10">
        <v>3.747270342600769</v>
      </c>
      <c r="J216" s="10">
        <v>0</v>
      </c>
      <c r="K216" s="4" t="b">
        <v>0</v>
      </c>
    </row>
    <row r="217" spans="1:11" ht="25" customHeight="1">
      <c r="A217" s="6" t="s">
        <v>68</v>
      </c>
      <c r="B217" s="7" t="s">
        <v>409</v>
      </c>
      <c r="C217" s="23">
        <v>3</v>
      </c>
      <c r="D217" s="9">
        <v>930.2029087499984</v>
      </c>
      <c r="E217" s="9">
        <v>230.6997461928934</v>
      </c>
      <c r="F217" s="9">
        <v>0</v>
      </c>
      <c r="G217" s="9">
        <v>3029.869653818549</v>
      </c>
      <c r="H217" s="9">
        <v>3.25721369533242</v>
      </c>
      <c r="I217" s="9">
        <v>4.032093333870572</v>
      </c>
      <c r="J217" s="9">
        <v>208.1742223464674</v>
      </c>
      <c r="K217" s="7" t="b">
        <v>0</v>
      </c>
    </row>
    <row r="218" spans="1:11" ht="25" customHeight="1">
      <c r="A218" s="3" t="s">
        <v>68</v>
      </c>
      <c r="B218" s="4" t="s">
        <v>409</v>
      </c>
      <c r="C218" s="24">
        <v>4</v>
      </c>
      <c r="D218" s="10">
        <v>965.7679942687492</v>
      </c>
      <c r="E218" s="10">
        <v>221.8899253076501</v>
      </c>
      <c r="F218" s="10">
        <v>-137.0493152502264</v>
      </c>
      <c r="G218" s="10">
        <v>3029.869653818549</v>
      </c>
      <c r="H218" s="10">
        <v>3.279171589721889</v>
      </c>
      <c r="I218" s="10">
        <v>4.352464371375641</v>
      </c>
      <c r="J218" s="10">
        <v>1124.174222346468</v>
      </c>
      <c r="K218" s="4" t="b">
        <v>0</v>
      </c>
    </row>
    <row r="219" spans="1:11" ht="25" customHeight="1">
      <c r="A219" s="6" t="s">
        <v>68</v>
      </c>
      <c r="B219" s="7" t="s">
        <v>409</v>
      </c>
      <c r="C219" s="23">
        <v>5</v>
      </c>
      <c r="D219" s="9">
        <v>1002.468407181467</v>
      </c>
      <c r="E219" s="9">
        <v>221.8899253076501</v>
      </c>
      <c r="F219" s="9">
        <v>-259.4472674901913</v>
      </c>
      <c r="G219" s="9">
        <v>3029.869653818549</v>
      </c>
      <c r="H219" s="9">
        <v>3.281217540368141</v>
      </c>
      <c r="I219" s="9">
        <v>4.517863556858408</v>
      </c>
      <c r="J219" s="9">
        <v>3029.869653818549</v>
      </c>
      <c r="K219" s="7" t="b">
        <v>0</v>
      </c>
    </row>
    <row r="220" spans="1:11" ht="25" customHeight="1">
      <c r="A220" s="3" t="s">
        <v>78</v>
      </c>
      <c r="B220" s="4" t="s">
        <v>409</v>
      </c>
      <c r="C220" s="24">
        <v>1</v>
      </c>
      <c r="D220" s="10">
        <v>862.3499999999981</v>
      </c>
      <c r="E220" s="10">
        <v>288.2767766497462</v>
      </c>
      <c r="F220" s="10">
        <v>750</v>
      </c>
      <c r="G220" s="10">
        <v>3447.28627807524</v>
      </c>
      <c r="H220" s="10">
        <v>3.127832409201885</v>
      </c>
      <c r="I220" s="10">
        <v>2.991396011922757</v>
      </c>
      <c r="J220" s="10">
        <v>0</v>
      </c>
      <c r="K220" s="4" t="b">
        <v>0</v>
      </c>
    </row>
    <row r="221" spans="1:11" ht="25" customHeight="1">
      <c r="A221" s="6" t="s">
        <v>78</v>
      </c>
      <c r="B221" s="7" t="s">
        <v>409</v>
      </c>
      <c r="C221" s="23">
        <v>2</v>
      </c>
      <c r="D221" s="9">
        <v>895.7407500000004</v>
      </c>
      <c r="E221" s="9">
        <v>272.6868435027121</v>
      </c>
      <c r="F221" s="9">
        <v>750</v>
      </c>
      <c r="G221" s="9">
        <v>3710.140159418027</v>
      </c>
      <c r="H221" s="9">
        <v>3.304684038789154</v>
      </c>
      <c r="I221" s="9">
        <v>3.284869700694202</v>
      </c>
      <c r="J221" s="9">
        <v>0</v>
      </c>
      <c r="K221" s="7" t="b">
        <v>0</v>
      </c>
    </row>
    <row r="222" spans="1:11" ht="25" customHeight="1">
      <c r="A222" s="3" t="s">
        <v>78</v>
      </c>
      <c r="B222" s="4" t="s">
        <v>409</v>
      </c>
      <c r="C222" s="24">
        <v>3</v>
      </c>
      <c r="D222" s="10">
        <v>930.2029087499984</v>
      </c>
      <c r="E222" s="10">
        <v>287.1642959973768</v>
      </c>
      <c r="F222" s="10">
        <v>426.0931490732485</v>
      </c>
      <c r="G222" s="10">
        <v>3606.352267922955</v>
      </c>
      <c r="H222" s="10">
        <v>3.418887523285991</v>
      </c>
      <c r="I222" s="10">
        <v>3.239270764909074</v>
      </c>
      <c r="J222" s="10">
        <v>0</v>
      </c>
      <c r="K222" s="4" t="b">
        <v>0</v>
      </c>
    </row>
    <row r="223" spans="1:11" ht="25" customHeight="1">
      <c r="A223" s="6" t="s">
        <v>78</v>
      </c>
      <c r="B223" s="7" t="s">
        <v>409</v>
      </c>
      <c r="C223" s="23">
        <v>4</v>
      </c>
      <c r="D223" s="9">
        <v>965.7679942687492</v>
      </c>
      <c r="E223" s="9">
        <v>289.0602267922956</v>
      </c>
      <c r="F223" s="9">
        <v>0</v>
      </c>
      <c r="G223" s="9">
        <v>3367.686160213418</v>
      </c>
      <c r="H223" s="9">
        <v>3.487055048623069</v>
      </c>
      <c r="I223" s="9">
        <v>3.34106149775736</v>
      </c>
      <c r="J223" s="9">
        <v>721.8008973666042</v>
      </c>
      <c r="K223" s="7" t="b">
        <v>0</v>
      </c>
    </row>
    <row r="224" spans="1:11" ht="25" customHeight="1">
      <c r="A224" s="3" t="s">
        <v>78</v>
      </c>
      <c r="B224" s="4" t="s">
        <v>409</v>
      </c>
      <c r="C224" s="24">
        <v>5</v>
      </c>
      <c r="D224" s="10">
        <v>1002.468407181467</v>
      </c>
      <c r="E224" s="10">
        <v>279.9909146993331</v>
      </c>
      <c r="F224" s="10">
        <v>-165.9736942837272</v>
      </c>
      <c r="G224" s="10">
        <v>3367.686160213418</v>
      </c>
      <c r="H224" s="10">
        <v>3.524958820829436</v>
      </c>
      <c r="I224" s="10">
        <v>3.580360485117748</v>
      </c>
      <c r="J224" s="10">
        <v>3367.686160213418</v>
      </c>
      <c r="K224" s="4" t="b">
        <v>0</v>
      </c>
    </row>
    <row r="225" spans="1:11" ht="25" customHeight="1">
      <c r="A225" s="6" t="s">
        <v>79</v>
      </c>
      <c r="B225" s="7" t="s">
        <v>409</v>
      </c>
      <c r="C225" s="23">
        <v>1</v>
      </c>
      <c r="D225" s="9">
        <v>862.3499999999981</v>
      </c>
      <c r="E225" s="9">
        <v>86.80469543147208</v>
      </c>
      <c r="F225" s="9">
        <v>745.0766660871971</v>
      </c>
      <c r="G225" s="9">
        <v>2242.477157360406</v>
      </c>
      <c r="H225" s="9">
        <v>1.736418497446759</v>
      </c>
      <c r="I225" s="9">
        <v>9.934370435995364</v>
      </c>
      <c r="J225" s="9">
        <v>0</v>
      </c>
      <c r="K225" s="7" t="b">
        <v>0</v>
      </c>
    </row>
    <row r="226" spans="1:11" ht="25" customHeight="1">
      <c r="A226" s="3" t="s">
        <v>79</v>
      </c>
      <c r="B226" s="4" t="s">
        <v>409</v>
      </c>
      <c r="C226" s="24">
        <v>2</v>
      </c>
      <c r="D226" s="10">
        <v>895.7407500000004</v>
      </c>
      <c r="E226" s="10">
        <v>135.0189086294416</v>
      </c>
      <c r="F226" s="10">
        <v>563.3823653409875</v>
      </c>
      <c r="G226" s="10">
        <v>2220.38578680203</v>
      </c>
      <c r="H226" s="10">
        <v>1.849869419763522</v>
      </c>
      <c r="I226" s="10">
        <v>6.634187456353644</v>
      </c>
      <c r="J226" s="10">
        <v>0</v>
      </c>
      <c r="K226" s="4" t="b">
        <v>0</v>
      </c>
    </row>
    <row r="227" spans="1:11" ht="25" customHeight="1">
      <c r="A227" s="6" t="s">
        <v>79</v>
      </c>
      <c r="B227" s="7" t="s">
        <v>409</v>
      </c>
      <c r="C227" s="23">
        <v>3</v>
      </c>
      <c r="D227" s="9">
        <v>930.2029087499984</v>
      </c>
      <c r="E227" s="9">
        <v>131.2885786802031</v>
      </c>
      <c r="F227" s="9">
        <v>88.07882333881194</v>
      </c>
      <c r="G227" s="9">
        <v>1848.294416243655</v>
      </c>
      <c r="H227" s="9">
        <v>1.892292075575437</v>
      </c>
      <c r="I227" s="9">
        <v>7.085177691014665</v>
      </c>
      <c r="J227" s="9">
        <v>0</v>
      </c>
      <c r="K227" s="7" t="b">
        <v>0</v>
      </c>
    </row>
    <row r="228" spans="1:11" ht="25" customHeight="1">
      <c r="A228" s="3" t="s">
        <v>79</v>
      </c>
      <c r="B228" s="4" t="s">
        <v>409</v>
      </c>
      <c r="C228" s="24">
        <v>4</v>
      </c>
      <c r="D228" s="10">
        <v>965.7679942687492</v>
      </c>
      <c r="E228" s="10">
        <v>113.2544416243655</v>
      </c>
      <c r="F228" s="10">
        <v>0</v>
      </c>
      <c r="G228" s="10">
        <v>1815.788295392606</v>
      </c>
      <c r="H228" s="10">
        <v>1.880149586824387</v>
      </c>
      <c r="I228" s="10">
        <v>8.527418266490082</v>
      </c>
      <c r="J228" s="10">
        <v>889.5852497073266</v>
      </c>
      <c r="K228" s="4" t="b">
        <v>0</v>
      </c>
    </row>
    <row r="229" spans="1:11" ht="25" customHeight="1">
      <c r="A229" s="6" t="s">
        <v>79</v>
      </c>
      <c r="B229" s="7" t="s">
        <v>409</v>
      </c>
      <c r="C229" s="23">
        <v>5</v>
      </c>
      <c r="D229" s="9">
        <v>1002.468407181467</v>
      </c>
      <c r="E229" s="9">
        <v>112.0192090320257</v>
      </c>
      <c r="F229" s="9">
        <v>-39.99491503324649</v>
      </c>
      <c r="G229" s="9">
        <v>1815.788295392606</v>
      </c>
      <c r="H229" s="9">
        <v>1.851213661329797</v>
      </c>
      <c r="I229" s="9">
        <v>8.949075929422662</v>
      </c>
      <c r="J229" s="9">
        <v>1815.788295392606</v>
      </c>
      <c r="K229" s="7" t="b">
        <v>0</v>
      </c>
    </row>
    <row r="230" spans="1:11" ht="40" customHeight="1">
      <c r="A230" s="3" t="s">
        <v>68</v>
      </c>
      <c r="B230" s="4" t="s">
        <v>410</v>
      </c>
      <c r="C230" s="24">
        <v>1</v>
      </c>
      <c r="D230" s="10">
        <v>1577.299999999999</v>
      </c>
      <c r="E230" s="10">
        <v>141.9315989847716</v>
      </c>
      <c r="F230" s="10">
        <v>750</v>
      </c>
      <c r="G230" s="10">
        <v>2368.686009752451</v>
      </c>
      <c r="H230" s="10">
        <v>1.026238515027232</v>
      </c>
      <c r="I230" s="10">
        <v>11.11309962885174</v>
      </c>
      <c r="J230" s="10">
        <v>0</v>
      </c>
      <c r="K230" s="4" t="b">
        <v>1</v>
      </c>
    </row>
    <row r="231" spans="1:11" ht="40" customHeight="1">
      <c r="A231" s="6" t="s">
        <v>68</v>
      </c>
      <c r="B231" s="7" t="s">
        <v>410</v>
      </c>
      <c r="C231" s="23">
        <v>2</v>
      </c>
      <c r="D231" s="9">
        <v>1668.064499999997</v>
      </c>
      <c r="E231" s="9">
        <v>119.9428756095282</v>
      </c>
      <c r="F231" s="9">
        <v>750</v>
      </c>
      <c r="G231" s="9">
        <v>1975.583348822613</v>
      </c>
      <c r="H231" s="9">
        <v>0.7347337880655184</v>
      </c>
      <c r="I231" s="9">
        <v>13.90715781594523</v>
      </c>
      <c r="J231" s="9">
        <v>0</v>
      </c>
      <c r="K231" s="7" t="b">
        <v>1</v>
      </c>
    </row>
    <row r="232" spans="1:11" ht="40" customHeight="1">
      <c r="A232" s="3" t="s">
        <v>68</v>
      </c>
      <c r="B232" s="4" t="s">
        <v>410</v>
      </c>
      <c r="C232" s="24">
        <v>3</v>
      </c>
      <c r="D232" s="10">
        <v>1760.334752499998</v>
      </c>
      <c r="E232" s="10">
        <v>93.88000092935678</v>
      </c>
      <c r="F232" s="10">
        <v>750</v>
      </c>
      <c r="G232" s="10">
        <v>1472.18055644172</v>
      </c>
      <c r="H232" s="10">
        <v>0.4102518315996953</v>
      </c>
      <c r="I232" s="10">
        <v>18.75090258919599</v>
      </c>
      <c r="J232" s="10">
        <v>0</v>
      </c>
      <c r="K232" s="4" t="b">
        <v>1</v>
      </c>
    </row>
    <row r="233" spans="1:11" ht="40" customHeight="1">
      <c r="A233" s="6" t="s">
        <v>68</v>
      </c>
      <c r="B233" s="7" t="s">
        <v>410</v>
      </c>
      <c r="C233" s="23">
        <v>4</v>
      </c>
      <c r="D233" s="9">
        <v>1814.153134112497</v>
      </c>
      <c r="E233" s="9">
        <v>68.21083338650323</v>
      </c>
      <c r="F233" s="9">
        <v>750</v>
      </c>
      <c r="G233" s="9">
        <v>910.9418089767412</v>
      </c>
      <c r="H233" s="9">
        <v>0.08871456656577979</v>
      </c>
      <c r="I233" s="9">
        <v>26.5962610929111</v>
      </c>
      <c r="J233" s="9">
        <v>0</v>
      </c>
      <c r="K233" s="7" t="b">
        <v>1</v>
      </c>
    </row>
    <row r="234" spans="1:11" ht="40" customHeight="1">
      <c r="A234" s="3" t="s">
        <v>68</v>
      </c>
      <c r="B234" s="4" t="s">
        <v>410</v>
      </c>
      <c r="C234" s="24">
        <v>5</v>
      </c>
      <c r="D234" s="10">
        <v>1869.56317552131</v>
      </c>
      <c r="E234" s="10">
        <v>54.49650853860447</v>
      </c>
      <c r="F234" s="10">
        <v>750</v>
      </c>
      <c r="G234" s="10">
        <v>298.2277362712155</v>
      </c>
      <c r="H234" s="10">
        <v>-0.2416458933530353</v>
      </c>
      <c r="I234" s="10">
        <v>34.30610924729133</v>
      </c>
      <c r="J234" s="10">
        <v>0</v>
      </c>
      <c r="K234" s="4" t="b">
        <v>1</v>
      </c>
    </row>
    <row r="235" spans="1:11" ht="40" customHeight="1">
      <c r="A235" s="6" t="s">
        <v>78</v>
      </c>
      <c r="B235" s="7" t="s">
        <v>410</v>
      </c>
      <c r="C235" s="23">
        <v>1</v>
      </c>
      <c r="D235" s="9">
        <v>1577.299999999999</v>
      </c>
      <c r="E235" s="9">
        <v>199.3427664974619</v>
      </c>
      <c r="F235" s="9">
        <v>750</v>
      </c>
      <c r="G235" s="9">
        <v>2424.993116351437</v>
      </c>
      <c r="H235" s="9">
        <v>1.061936927884003</v>
      </c>
      <c r="I235" s="9">
        <v>7.912501806380227</v>
      </c>
      <c r="J235" s="9">
        <v>0</v>
      </c>
      <c r="K235" s="7" t="b">
        <v>1</v>
      </c>
    </row>
    <row r="236" spans="1:11" ht="40" customHeight="1">
      <c r="A236" s="3" t="s">
        <v>78</v>
      </c>
      <c r="B236" s="4" t="s">
        <v>410</v>
      </c>
      <c r="C236" s="24">
        <v>2</v>
      </c>
      <c r="D236" s="10">
        <v>1668.064499999997</v>
      </c>
      <c r="E236" s="10">
        <v>123.4620697719648</v>
      </c>
      <c r="F236" s="10">
        <v>750</v>
      </c>
      <c r="G236" s="10">
        <v>2034.529851043425</v>
      </c>
      <c r="H236" s="10">
        <v>0.7700720511967177</v>
      </c>
      <c r="I236" s="10">
        <v>13.51074466093857</v>
      </c>
      <c r="J236" s="10">
        <v>0</v>
      </c>
      <c r="K236" s="4" t="b">
        <v>1</v>
      </c>
    </row>
    <row r="237" spans="1:11" ht="40" customHeight="1">
      <c r="A237" s="6" t="s">
        <v>78</v>
      </c>
      <c r="B237" s="7" t="s">
        <v>410</v>
      </c>
      <c r="C237" s="23">
        <v>3</v>
      </c>
      <c r="D237" s="9">
        <v>1760.334752499998</v>
      </c>
      <c r="E237" s="9">
        <v>97.41679106260553</v>
      </c>
      <c r="F237" s="9">
        <v>750</v>
      </c>
      <c r="G237" s="9">
        <v>1533.779651262469</v>
      </c>
      <c r="H237" s="9">
        <v>0.4452446616470865</v>
      </c>
      <c r="I237" s="9">
        <v>18.07013691683508</v>
      </c>
      <c r="J237" s="9">
        <v>0</v>
      </c>
      <c r="K237" s="7" t="b">
        <v>1</v>
      </c>
    </row>
    <row r="238" spans="1:11" ht="40" customHeight="1">
      <c r="A238" s="3" t="s">
        <v>78</v>
      </c>
      <c r="B238" s="4" t="s">
        <v>410</v>
      </c>
      <c r="C238" s="24">
        <v>4</v>
      </c>
      <c r="D238" s="10">
        <v>1814.153134112497</v>
      </c>
      <c r="E238" s="10">
        <v>71.90677907574815</v>
      </c>
      <c r="F238" s="10">
        <v>750</v>
      </c>
      <c r="G238" s="10">
        <v>975.3128630644237</v>
      </c>
      <c r="H238" s="10">
        <v>0.1241972680407981</v>
      </c>
      <c r="I238" s="10">
        <v>25.22923648410714</v>
      </c>
      <c r="J238" s="10">
        <v>0</v>
      </c>
      <c r="K238" s="4" t="b">
        <v>1</v>
      </c>
    </row>
    <row r="239" spans="1:11" ht="40" customHeight="1">
      <c r="A239" s="6" t="s">
        <v>78</v>
      </c>
      <c r="B239" s="7" t="s">
        <v>410</v>
      </c>
      <c r="C239" s="23">
        <v>5</v>
      </c>
      <c r="D239" s="9">
        <v>1869.56317552131</v>
      </c>
      <c r="E239" s="9">
        <v>58.35877178386544</v>
      </c>
      <c r="F239" s="9">
        <v>750</v>
      </c>
      <c r="G239" s="9">
        <v>365.4954877928437</v>
      </c>
      <c r="H239" s="9">
        <v>-0.2056654288240037</v>
      </c>
      <c r="I239" s="9">
        <v>32.03568406897473</v>
      </c>
      <c r="J239" s="9">
        <v>0</v>
      </c>
      <c r="K239" s="7" t="b">
        <v>1</v>
      </c>
    </row>
    <row r="240" spans="1:11" ht="40" customHeight="1">
      <c r="A240" s="3" t="s">
        <v>79</v>
      </c>
      <c r="B240" s="4" t="s">
        <v>410</v>
      </c>
      <c r="C240" s="24">
        <v>1</v>
      </c>
      <c r="D240" s="10">
        <v>1577.299999999999</v>
      </c>
      <c r="E240" s="10">
        <v>74.62195431472081</v>
      </c>
      <c r="F240" s="10">
        <v>750</v>
      </c>
      <c r="G240" s="10">
        <v>1282.670781326056</v>
      </c>
      <c r="H240" s="10">
        <v>0.3377105061345693</v>
      </c>
      <c r="I240" s="10">
        <v>21.13721108599862</v>
      </c>
      <c r="J240" s="10">
        <v>0</v>
      </c>
      <c r="K240" s="4" t="b">
        <v>1</v>
      </c>
    </row>
    <row r="241" spans="1:11" ht="40" customHeight="1">
      <c r="A241" s="6" t="s">
        <v>79</v>
      </c>
      <c r="B241" s="7" t="s">
        <v>410</v>
      </c>
      <c r="C241" s="23">
        <v>2</v>
      </c>
      <c r="D241" s="9">
        <v>1668.064499999997</v>
      </c>
      <c r="E241" s="9">
        <v>52.45853906630279</v>
      </c>
      <c r="F241" s="9">
        <v>750</v>
      </c>
      <c r="G241" s="9">
        <v>838.9548679887987</v>
      </c>
      <c r="H241" s="9">
        <v>0.05332819443660532</v>
      </c>
      <c r="I241" s="9">
        <v>31.79776886069428</v>
      </c>
      <c r="J241" s="9">
        <v>0</v>
      </c>
      <c r="K241" s="7" t="b">
        <v>1</v>
      </c>
    </row>
    <row r="242" spans="1:11" ht="40" customHeight="1">
      <c r="A242" s="3" t="s">
        <v>79</v>
      </c>
      <c r="B242" s="4" t="s">
        <v>410</v>
      </c>
      <c r="C242" s="24">
        <v>3</v>
      </c>
      <c r="D242" s="10">
        <v>1760.334752499998</v>
      </c>
      <c r="E242" s="10">
        <v>31.88028498357435</v>
      </c>
      <c r="F242" s="10">
        <v>750</v>
      </c>
      <c r="G242" s="10">
        <v>283.8022886485692</v>
      </c>
      <c r="H242" s="10">
        <v>-0.2648346916342728</v>
      </c>
      <c r="I242" s="10">
        <v>55.21703314154731</v>
      </c>
      <c r="J242" s="10">
        <v>0</v>
      </c>
      <c r="K242" s="4" t="b">
        <v>1</v>
      </c>
    </row>
    <row r="243" spans="1:11" ht="40" customHeight="1">
      <c r="A243" s="6" t="s">
        <v>79</v>
      </c>
      <c r="B243" s="7" t="s">
        <v>410</v>
      </c>
      <c r="C243" s="23">
        <v>4</v>
      </c>
      <c r="D243" s="9">
        <v>1814.153134112497</v>
      </c>
      <c r="E243" s="9">
        <v>10.78448696864563</v>
      </c>
      <c r="F243" s="9">
        <v>1079.749184300075</v>
      </c>
      <c r="G243" s="9">
        <v>0</v>
      </c>
      <c r="H243" s="9">
        <v>-0.59518083892532</v>
      </c>
      <c r="I243" s="9">
        <v>168.2187701081091</v>
      </c>
      <c r="J243" s="9">
        <v>0</v>
      </c>
      <c r="K243" s="7" t="b">
        <v>1</v>
      </c>
    </row>
    <row r="244" spans="1:11" ht="40" customHeight="1">
      <c r="A244" s="3" t="s">
        <v>79</v>
      </c>
      <c r="B244" s="4" t="s">
        <v>410</v>
      </c>
      <c r="C244" s="24">
        <v>5</v>
      </c>
      <c r="D244" s="10">
        <v>1869.56317552131</v>
      </c>
      <c r="E244" s="10">
        <v>0</v>
      </c>
      <c r="F244" s="10">
        <v>1733.335638409554</v>
      </c>
      <c r="G244" s="10">
        <v>0</v>
      </c>
      <c r="H244" s="10">
        <v>-0.9271340284749829</v>
      </c>
      <c r="I244" s="4"/>
      <c r="J244" s="10">
        <v>0</v>
      </c>
      <c r="K244" s="4" t="b">
        <v>1</v>
      </c>
    </row>
  </sheetData>
  <autoFilter ref="A4:K24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&amp;LScenarios&amp;RPage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3C5658"/>
  </sheetPr>
  <dimension ref="A1:M2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13" width="18.7109375" customWidth="1"/>
  </cols>
  <sheetData>
    <row r="1" spans="1:13" ht="9" customHeight="1"/>
    <row r="2" spans="1:13" ht="42" customHeight="1">
      <c r="A2" s="1" t="s">
        <v>418</v>
      </c>
      <c r="B2" s="1"/>
      <c r="C2" s="1"/>
      <c r="D2" s="1"/>
      <c r="E2" s="1"/>
      <c r="F2" s="1"/>
      <c r="G2" s="8"/>
      <c r="H2" s="8"/>
      <c r="I2" s="8"/>
      <c r="J2" s="8"/>
      <c r="K2" s="8"/>
      <c r="L2" s="8"/>
      <c r="M2" s="8"/>
    </row>
    <row r="3" spans="1:13" ht="30" customHeight="1">
      <c r="A3" s="2" t="s">
        <v>125</v>
      </c>
      <c r="B3" s="2"/>
      <c r="C3" s="2"/>
      <c r="D3" s="2"/>
      <c r="E3" s="2"/>
      <c r="F3" s="2"/>
      <c r="G3" s="8"/>
      <c r="H3" s="8"/>
      <c r="I3" s="8"/>
      <c r="J3" s="8"/>
      <c r="K3" s="8"/>
      <c r="L3" s="8"/>
      <c r="M3" s="8"/>
    </row>
    <row r="4" spans="1:13" ht="34" customHeight="1">
      <c r="A4" s="5" t="s">
        <v>65</v>
      </c>
      <c r="B4" s="5" t="s">
        <v>354</v>
      </c>
      <c r="C4" s="5" t="s">
        <v>419</v>
      </c>
      <c r="D4" s="5" t="s">
        <v>355</v>
      </c>
      <c r="E4" s="5" t="s">
        <v>360</v>
      </c>
      <c r="F4" s="5" t="s">
        <v>363</v>
      </c>
      <c r="G4" s="5" t="s">
        <v>370</v>
      </c>
      <c r="H4" s="5" t="s">
        <v>373</v>
      </c>
      <c r="I4" s="5" t="s">
        <v>369</v>
      </c>
      <c r="J4" s="5" t="s">
        <v>420</v>
      </c>
      <c r="K4" s="5" t="s">
        <v>421</v>
      </c>
      <c r="L4" s="5" t="s">
        <v>422</v>
      </c>
      <c r="M4" s="5" t="s">
        <v>382</v>
      </c>
    </row>
    <row r="5" spans="1:13" ht="25" customHeight="1">
      <c r="A5" s="6" t="s">
        <v>68</v>
      </c>
      <c r="B5" s="23">
        <v>1</v>
      </c>
      <c r="C5" s="23">
        <v>1</v>
      </c>
      <c r="D5" s="9">
        <v>3698.199999999999</v>
      </c>
      <c r="E5" s="9">
        <v>276.6140000000001</v>
      </c>
      <c r="F5" s="9">
        <v>2394.557260273972</v>
      </c>
      <c r="G5" s="9">
        <v>123.9216438356166</v>
      </c>
      <c r="H5" s="9">
        <v>35.48289974619289</v>
      </c>
      <c r="I5" s="9">
        <v>34.01715006345182</v>
      </c>
      <c r="J5" s="9">
        <v>750</v>
      </c>
      <c r="K5" s="9">
        <v>2781.346216487901</v>
      </c>
      <c r="L5" s="9">
        <v>10.72667405207878</v>
      </c>
      <c r="M5" s="9">
        <v>0</v>
      </c>
    </row>
    <row r="6" spans="1:13" ht="25" customHeight="1">
      <c r="A6" s="3" t="s">
        <v>68</v>
      </c>
      <c r="B6" s="24">
        <v>1</v>
      </c>
      <c r="C6" s="24">
        <v>2</v>
      </c>
      <c r="D6" s="10">
        <v>3866.299999999999</v>
      </c>
      <c r="E6" s="10">
        <v>315.8510000000002</v>
      </c>
      <c r="F6" s="10">
        <v>2486.655616438356</v>
      </c>
      <c r="G6" s="10">
        <v>92.0983561643834</v>
      </c>
      <c r="H6" s="10">
        <v>37.22941026714122</v>
      </c>
      <c r="I6" s="10">
        <v>43.38977243321476</v>
      </c>
      <c r="J6" s="10">
        <v>750</v>
      </c>
      <c r="K6" s="10">
        <v>2838.53325535264</v>
      </c>
      <c r="L6" s="10">
        <v>10.7035442301583</v>
      </c>
      <c r="M6" s="10">
        <v>0</v>
      </c>
    </row>
    <row r="7" spans="1:13" ht="25" customHeight="1">
      <c r="A7" s="6" t="s">
        <v>68</v>
      </c>
      <c r="B7" s="23">
        <v>1</v>
      </c>
      <c r="C7" s="23">
        <v>3</v>
      </c>
      <c r="D7" s="9">
        <v>4034.399999999999</v>
      </c>
      <c r="E7" s="9">
        <v>355.0880000000003</v>
      </c>
      <c r="F7" s="9">
        <v>2716.901506849314</v>
      </c>
      <c r="G7" s="9">
        <v>230.2458904109585</v>
      </c>
      <c r="H7" s="9">
        <v>38.13126993214388</v>
      </c>
      <c r="I7" s="9">
        <v>52.97355751696411</v>
      </c>
      <c r="J7" s="9">
        <v>750</v>
      </c>
      <c r="K7" s="9">
        <v>3010.999973212706</v>
      </c>
      <c r="L7" s="9">
        <v>10.6216797074253</v>
      </c>
      <c r="M7" s="9">
        <v>0</v>
      </c>
    </row>
    <row r="8" spans="1:13" ht="25" customHeight="1">
      <c r="A8" s="3" t="s">
        <v>68</v>
      </c>
      <c r="B8" s="24">
        <v>1</v>
      </c>
      <c r="C8" s="24">
        <v>4</v>
      </c>
      <c r="D8" s="10">
        <v>5211.099999999999</v>
      </c>
      <c r="E8" s="10">
        <v>629.7470000000004</v>
      </c>
      <c r="F8" s="10">
        <v>2302.458904109588</v>
      </c>
      <c r="G8" s="10">
        <v>-414.4426027397258</v>
      </c>
      <c r="H8" s="10">
        <v>40.83437458144853</v>
      </c>
      <c r="I8" s="10">
        <v>120.962531354638</v>
      </c>
      <c r="J8" s="10">
        <v>750</v>
      </c>
      <c r="K8" s="10">
        <v>2375.995776409066</v>
      </c>
      <c r="L8" s="10">
        <v>10.39900626903557</v>
      </c>
      <c r="M8" s="10">
        <v>0</v>
      </c>
    </row>
    <row r="9" spans="1:13" ht="25" customHeight="1">
      <c r="A9" s="6" t="s">
        <v>68</v>
      </c>
      <c r="B9" s="23">
        <v>2</v>
      </c>
      <c r="C9" s="23">
        <v>1</v>
      </c>
      <c r="D9" s="9">
        <v>3790.654999999999</v>
      </c>
      <c r="E9" s="9">
        <v>296.3623499999999</v>
      </c>
      <c r="F9" s="9">
        <v>2454.421191780821</v>
      </c>
      <c r="G9" s="9">
        <v>127.0196849315068</v>
      </c>
      <c r="H9" s="9">
        <v>30.09993400639166</v>
      </c>
      <c r="I9" s="9">
        <v>39.64333837340206</v>
      </c>
      <c r="J9" s="9">
        <v>750</v>
      </c>
      <c r="K9" s="9">
        <v>2469.069308720367</v>
      </c>
      <c r="L9" s="9">
        <v>10.9166305916594</v>
      </c>
      <c r="M9" s="9">
        <v>0</v>
      </c>
    </row>
    <row r="10" spans="1:13" ht="25" customHeight="1">
      <c r="A10" s="3" t="s">
        <v>68</v>
      </c>
      <c r="B10" s="24">
        <v>2</v>
      </c>
      <c r="C10" s="24">
        <v>2</v>
      </c>
      <c r="D10" s="10">
        <v>3962.957499999999</v>
      </c>
      <c r="E10" s="10">
        <v>336.5802749999993</v>
      </c>
      <c r="F10" s="10">
        <v>2548.822006849314</v>
      </c>
      <c r="G10" s="10">
        <v>94.4008150684931</v>
      </c>
      <c r="H10" s="10">
        <v>31.50184917380228</v>
      </c>
      <c r="I10" s="10">
        <v>49.34734083154927</v>
      </c>
      <c r="J10" s="10">
        <v>750</v>
      </c>
      <c r="K10" s="10">
        <v>2506.442551294213</v>
      </c>
      <c r="L10" s="10">
        <v>11.50890822676349</v>
      </c>
      <c r="M10" s="10">
        <v>0</v>
      </c>
    </row>
    <row r="11" spans="1:13" ht="25" customHeight="1">
      <c r="A11" s="6" t="s">
        <v>68</v>
      </c>
      <c r="B11" s="23">
        <v>2</v>
      </c>
      <c r="C11" s="23">
        <v>3</v>
      </c>
      <c r="D11" s="9">
        <v>4135.259999999998</v>
      </c>
      <c r="E11" s="9">
        <v>376.7981999999998</v>
      </c>
      <c r="F11" s="9">
        <v>2784.824044520547</v>
      </c>
      <c r="G11" s="9">
        <v>236.0020376712323</v>
      </c>
      <c r="H11" s="9">
        <v>32.06825999515108</v>
      </c>
      <c r="I11" s="9">
        <v>59.26021937621219</v>
      </c>
      <c r="J11" s="9">
        <v>750</v>
      </c>
      <c r="K11" s="9">
        <v>2661.708968336808</v>
      </c>
      <c r="L11" s="9">
        <v>12.18910019717321</v>
      </c>
      <c r="M11" s="9">
        <v>0</v>
      </c>
    </row>
    <row r="12" spans="1:13" ht="25" customHeight="1">
      <c r="A12" s="3" t="s">
        <v>68</v>
      </c>
      <c r="B12" s="24">
        <v>2</v>
      </c>
      <c r="C12" s="24">
        <v>4</v>
      </c>
      <c r="D12" s="10">
        <v>5341.377499999999</v>
      </c>
      <c r="E12" s="10">
        <v>658.3236750000003</v>
      </c>
      <c r="F12" s="10">
        <v>2360.020376712328</v>
      </c>
      <c r="G12" s="10">
        <v>-424.8036678082185</v>
      </c>
      <c r="H12" s="10">
        <v>34.40306843353114</v>
      </c>
      <c r="I12" s="10">
        <v>129.0578860166173</v>
      </c>
      <c r="J12" s="10">
        <v>750</v>
      </c>
      <c r="K12" s="10">
        <v>1988.990792478738</v>
      </c>
      <c r="L12" s="10">
        <v>13.0243146203406</v>
      </c>
      <c r="M12" s="10">
        <v>0</v>
      </c>
    </row>
    <row r="13" spans="1:13" ht="25" customHeight="1">
      <c r="A13" s="6" t="s">
        <v>78</v>
      </c>
      <c r="B13" s="23">
        <v>1</v>
      </c>
      <c r="C13" s="23">
        <v>1</v>
      </c>
      <c r="D13" s="9">
        <v>3698.199999999999</v>
      </c>
      <c r="E13" s="9">
        <v>276.6140000000001</v>
      </c>
      <c r="F13" s="9">
        <v>2394.557260273972</v>
      </c>
      <c r="G13" s="9">
        <v>123.9216438356166</v>
      </c>
      <c r="H13" s="9">
        <v>49.83569162436548</v>
      </c>
      <c r="I13" s="9">
        <v>30.42895209390867</v>
      </c>
      <c r="J13" s="9">
        <v>750</v>
      </c>
      <c r="K13" s="9">
        <v>2805.359541360997</v>
      </c>
      <c r="L13" s="9">
        <v>7.637367669518043</v>
      </c>
      <c r="M13" s="9">
        <v>0</v>
      </c>
    </row>
    <row r="14" spans="1:13" ht="25" customHeight="1">
      <c r="A14" s="3" t="s">
        <v>78</v>
      </c>
      <c r="B14" s="24">
        <v>1</v>
      </c>
      <c r="C14" s="24">
        <v>2</v>
      </c>
      <c r="D14" s="10">
        <v>3866.299999999999</v>
      </c>
      <c r="E14" s="10">
        <v>315.8510000000002</v>
      </c>
      <c r="F14" s="10">
        <v>2486.655616438356</v>
      </c>
      <c r="G14" s="10">
        <v>92.0983561643834</v>
      </c>
      <c r="H14" s="10">
        <v>37.69584254711621</v>
      </c>
      <c r="I14" s="10">
        <v>43.27316436322101</v>
      </c>
      <c r="J14" s="10">
        <v>750</v>
      </c>
      <c r="K14" s="10">
        <v>2862.896404435718</v>
      </c>
      <c r="L14" s="10">
        <v>8.214962785798734</v>
      </c>
      <c r="M14" s="10">
        <v>0</v>
      </c>
    </row>
    <row r="15" spans="1:13" ht="25" customHeight="1">
      <c r="A15" s="6" t="s">
        <v>78</v>
      </c>
      <c r="B15" s="23">
        <v>1</v>
      </c>
      <c r="C15" s="23">
        <v>3</v>
      </c>
      <c r="D15" s="9">
        <v>4034.399999999999</v>
      </c>
      <c r="E15" s="9">
        <v>355.0880000000003</v>
      </c>
      <c r="F15" s="9">
        <v>2716.901506849314</v>
      </c>
      <c r="G15" s="9">
        <v>230.2458904109585</v>
      </c>
      <c r="H15" s="9">
        <v>38.60040806311557</v>
      </c>
      <c r="I15" s="9">
        <v>52.85627298422119</v>
      </c>
      <c r="J15" s="9">
        <v>750</v>
      </c>
      <c r="K15" s="9">
        <v>3035.714975894012</v>
      </c>
      <c r="L15" s="9">
        <v>8.832493600759054</v>
      </c>
      <c r="M15" s="9">
        <v>0</v>
      </c>
    </row>
    <row r="16" spans="1:13" ht="25" customHeight="1">
      <c r="A16" s="3" t="s">
        <v>78</v>
      </c>
      <c r="B16" s="24">
        <v>1</v>
      </c>
      <c r="C16" s="24">
        <v>4</v>
      </c>
      <c r="D16" s="10">
        <v>5211.099999999999</v>
      </c>
      <c r="E16" s="10">
        <v>629.7470000000004</v>
      </c>
      <c r="F16" s="10">
        <v>2302.458904109588</v>
      </c>
      <c r="G16" s="10">
        <v>-414.4426027397258</v>
      </c>
      <c r="H16" s="10">
        <v>41.30625027260828</v>
      </c>
      <c r="I16" s="10">
        <v>120.844562431848</v>
      </c>
      <c r="J16" s="10">
        <v>750</v>
      </c>
      <c r="K16" s="10">
        <v>2401.064685858742</v>
      </c>
      <c r="L16" s="10">
        <v>9.420192468526102</v>
      </c>
      <c r="M16" s="10">
        <v>0</v>
      </c>
    </row>
    <row r="17" spans="1:13" ht="25" customHeight="1">
      <c r="A17" s="6" t="s">
        <v>78</v>
      </c>
      <c r="B17" s="23">
        <v>2</v>
      </c>
      <c r="C17" s="23">
        <v>1</v>
      </c>
      <c r="D17" s="9">
        <v>3790.654999999999</v>
      </c>
      <c r="E17" s="9">
        <v>296.3623499999999</v>
      </c>
      <c r="F17" s="9">
        <v>2454.421191780821</v>
      </c>
      <c r="G17" s="9">
        <v>127.0196849315068</v>
      </c>
      <c r="H17" s="9">
        <v>30.49163571654285</v>
      </c>
      <c r="I17" s="9">
        <v>39.54541294586426</v>
      </c>
      <c r="J17" s="9">
        <v>750</v>
      </c>
      <c r="K17" s="9">
        <v>2494.431994452656</v>
      </c>
      <c r="L17" s="9">
        <v>10.78400797406489</v>
      </c>
      <c r="M17" s="9">
        <v>0</v>
      </c>
    </row>
    <row r="18" spans="1:13" ht="25" customHeight="1">
      <c r="A18" s="3" t="s">
        <v>78</v>
      </c>
      <c r="B18" s="24">
        <v>2</v>
      </c>
      <c r="C18" s="24">
        <v>2</v>
      </c>
      <c r="D18" s="10">
        <v>3962.957499999999</v>
      </c>
      <c r="E18" s="10">
        <v>336.5802749999993</v>
      </c>
      <c r="F18" s="10">
        <v>2548.822006849314</v>
      </c>
      <c r="G18" s="10">
        <v>94.4008150684931</v>
      </c>
      <c r="H18" s="10">
        <v>31.89519737590841</v>
      </c>
      <c r="I18" s="10">
        <v>49.24900378102274</v>
      </c>
      <c r="J18" s="10">
        <v>750</v>
      </c>
      <c r="K18" s="10">
        <v>2532.100248178082</v>
      </c>
      <c r="L18" s="10">
        <v>11.36930163679762</v>
      </c>
      <c r="M18" s="10">
        <v>0</v>
      </c>
    </row>
    <row r="19" spans="1:13" ht="25" customHeight="1">
      <c r="A19" s="6" t="s">
        <v>78</v>
      </c>
      <c r="B19" s="23">
        <v>2</v>
      </c>
      <c r="C19" s="23">
        <v>3</v>
      </c>
      <c r="D19" s="9">
        <v>4135.259999999998</v>
      </c>
      <c r="E19" s="9">
        <v>376.7981999999998</v>
      </c>
      <c r="F19" s="9">
        <v>2784.824044520547</v>
      </c>
      <c r="G19" s="9">
        <v>236.0020376712323</v>
      </c>
      <c r="H19" s="9">
        <v>32.46327321224663</v>
      </c>
      <c r="I19" s="9">
        <v>59.16146607193831</v>
      </c>
      <c r="J19" s="9">
        <v>750</v>
      </c>
      <c r="K19" s="9">
        <v>2687.662925133498</v>
      </c>
      <c r="L19" s="9">
        <v>12.04121398525481</v>
      </c>
      <c r="M19" s="9">
        <v>0</v>
      </c>
    </row>
    <row r="20" spans="1:13" ht="25" customHeight="1">
      <c r="A20" s="3" t="s">
        <v>78</v>
      </c>
      <c r="B20" s="24">
        <v>2</v>
      </c>
      <c r="C20" s="24">
        <v>4</v>
      </c>
      <c r="D20" s="10">
        <v>5341.377499999999</v>
      </c>
      <c r="E20" s="10">
        <v>658.3236750000003</v>
      </c>
      <c r="F20" s="10">
        <v>2360.020376712328</v>
      </c>
      <c r="G20" s="10">
        <v>-424.8036678082185</v>
      </c>
      <c r="H20" s="10">
        <v>34.79976539703475</v>
      </c>
      <c r="I20" s="10">
        <v>128.9587117757414</v>
      </c>
      <c r="J20" s="10">
        <v>749.9999999999999</v>
      </c>
      <c r="K20" s="10">
        <v>2015.242271998056</v>
      </c>
      <c r="L20" s="10">
        <v>12.86591708966348</v>
      </c>
      <c r="M20" s="10">
        <v>0</v>
      </c>
    </row>
    <row r="21" spans="1:13" ht="25" customHeight="1">
      <c r="A21" s="6" t="s">
        <v>79</v>
      </c>
      <c r="B21" s="23">
        <v>1</v>
      </c>
      <c r="C21" s="23">
        <v>1</v>
      </c>
      <c r="D21" s="9">
        <v>3698.199999999999</v>
      </c>
      <c r="E21" s="9">
        <v>276.6140000000001</v>
      </c>
      <c r="F21" s="9">
        <v>2394.557260273972</v>
      </c>
      <c r="G21" s="9">
        <v>123.9216438356166</v>
      </c>
      <c r="H21" s="9">
        <v>18.6554885786802</v>
      </c>
      <c r="I21" s="9">
        <v>38.22400285532999</v>
      </c>
      <c r="J21" s="9">
        <v>750</v>
      </c>
      <c r="K21" s="9">
        <v>1733.192663188408</v>
      </c>
      <c r="L21" s="9">
        <v>20.40222631504658</v>
      </c>
      <c r="M21" s="9">
        <v>0</v>
      </c>
    </row>
    <row r="22" spans="1:13" ht="25" customHeight="1">
      <c r="A22" s="3" t="s">
        <v>79</v>
      </c>
      <c r="B22" s="24">
        <v>1</v>
      </c>
      <c r="C22" s="24">
        <v>2</v>
      </c>
      <c r="D22" s="10">
        <v>3866.299999999999</v>
      </c>
      <c r="E22" s="10">
        <v>315.8510000000002</v>
      </c>
      <c r="F22" s="10">
        <v>2486.655616438356</v>
      </c>
      <c r="G22" s="10">
        <v>92.0983561643834</v>
      </c>
      <c r="H22" s="10">
        <v>20.20803891561837</v>
      </c>
      <c r="I22" s="10">
        <v>47.64511527109547</v>
      </c>
      <c r="J22" s="10">
        <v>750</v>
      </c>
      <c r="K22" s="10">
        <v>1777.613673539505</v>
      </c>
      <c r="L22" s="10">
        <v>20.1887102125909</v>
      </c>
      <c r="M22" s="10">
        <v>0</v>
      </c>
    </row>
    <row r="23" spans="1:13" ht="25" customHeight="1">
      <c r="A23" s="6" t="s">
        <v>79</v>
      </c>
      <c r="B23" s="23">
        <v>1</v>
      </c>
      <c r="C23" s="23">
        <v>3</v>
      </c>
      <c r="D23" s="9">
        <v>4034.399999999999</v>
      </c>
      <c r="E23" s="9">
        <v>355.0880000000003</v>
      </c>
      <c r="F23" s="9">
        <v>2716.901506849314</v>
      </c>
      <c r="G23" s="9">
        <v>230.2458904109585</v>
      </c>
      <c r="H23" s="9">
        <v>20.91366542570452</v>
      </c>
      <c r="I23" s="9">
        <v>57.27795864357395</v>
      </c>
      <c r="J23" s="9">
        <v>750</v>
      </c>
      <c r="K23" s="9">
        <v>1937.167188019742</v>
      </c>
      <c r="L23" s="9">
        <v>19.8161400362946</v>
      </c>
      <c r="M23" s="9">
        <v>0</v>
      </c>
    </row>
    <row r="24" spans="1:13" ht="25" customHeight="1">
      <c r="A24" s="3" t="s">
        <v>79</v>
      </c>
      <c r="B24" s="24">
        <v>1</v>
      </c>
      <c r="C24" s="24">
        <v>4</v>
      </c>
      <c r="D24" s="10">
        <v>5211.099999999999</v>
      </c>
      <c r="E24" s="10">
        <v>629.7470000000004</v>
      </c>
      <c r="F24" s="10">
        <v>2302.458904109588</v>
      </c>
      <c r="G24" s="10">
        <v>-414.4426027397258</v>
      </c>
      <c r="H24" s="10">
        <v>23.41823731280847</v>
      </c>
      <c r="I24" s="10">
        <v>125.316565671798</v>
      </c>
      <c r="J24" s="10">
        <v>750.0000000000002</v>
      </c>
      <c r="K24" s="10">
        <v>1289.100888264622</v>
      </c>
      <c r="L24" s="10">
        <v>18.95897401559356</v>
      </c>
      <c r="M24" s="10">
        <v>0</v>
      </c>
    </row>
    <row r="25" spans="1:13" ht="25" customHeight="1">
      <c r="A25" s="6" t="s">
        <v>79</v>
      </c>
      <c r="B25" s="23">
        <v>2</v>
      </c>
      <c r="C25" s="23">
        <v>1</v>
      </c>
      <c r="D25" s="9">
        <v>3790.654999999999</v>
      </c>
      <c r="E25" s="9">
        <v>296.3623499999999</v>
      </c>
      <c r="F25" s="9">
        <v>2454.421191780821</v>
      </c>
      <c r="G25" s="9">
        <v>127.0196849315068</v>
      </c>
      <c r="H25" s="9">
        <v>13.19501110330778</v>
      </c>
      <c r="I25" s="9">
        <v>43.86956909917303</v>
      </c>
      <c r="J25" s="9">
        <v>750</v>
      </c>
      <c r="K25" s="9">
        <v>1369.49572839861</v>
      </c>
      <c r="L25" s="9">
        <v>20.54479089970458</v>
      </c>
      <c r="M25" s="9">
        <v>0</v>
      </c>
    </row>
    <row r="26" spans="1:13" ht="25" customHeight="1">
      <c r="A26" s="3" t="s">
        <v>79</v>
      </c>
      <c r="B26" s="24">
        <v>2</v>
      </c>
      <c r="C26" s="24">
        <v>2</v>
      </c>
      <c r="D26" s="10">
        <v>3962.957499999999</v>
      </c>
      <c r="E26" s="10">
        <v>336.5802749999993</v>
      </c>
      <c r="F26" s="10">
        <v>2548.822006849314</v>
      </c>
      <c r="G26" s="10">
        <v>94.4008150684931</v>
      </c>
      <c r="H26" s="10">
        <v>14.41093370531759</v>
      </c>
      <c r="I26" s="10">
        <v>53.62006969867044</v>
      </c>
      <c r="J26" s="10">
        <v>750</v>
      </c>
      <c r="K26" s="10">
        <v>1394.050784371092</v>
      </c>
      <c r="L26" s="10">
        <v>22.48854643503097</v>
      </c>
      <c r="M26" s="10">
        <v>0</v>
      </c>
    </row>
    <row r="27" spans="1:13" ht="25" customHeight="1">
      <c r="A27" s="6" t="s">
        <v>79</v>
      </c>
      <c r="B27" s="23">
        <v>2</v>
      </c>
      <c r="C27" s="23">
        <v>3</v>
      </c>
      <c r="D27" s="9">
        <v>4135.259999999998</v>
      </c>
      <c r="E27" s="9">
        <v>376.7981999999998</v>
      </c>
      <c r="F27" s="9">
        <v>2784.824044520547</v>
      </c>
      <c r="G27" s="9">
        <v>236.0020376712323</v>
      </c>
      <c r="H27" s="9">
        <v>14.78925954490482</v>
      </c>
      <c r="I27" s="9">
        <v>63.57996948877376</v>
      </c>
      <c r="J27" s="9">
        <v>750</v>
      </c>
      <c r="K27" s="9">
        <v>1536.357951076003</v>
      </c>
      <c r="L27" s="9">
        <v>24.91113947986315</v>
      </c>
      <c r="M27" s="9">
        <v>0</v>
      </c>
    </row>
    <row r="28" spans="1:13" ht="25" customHeight="1">
      <c r="A28" s="3" t="s">
        <v>79</v>
      </c>
      <c r="B28" s="24">
        <v>2</v>
      </c>
      <c r="C28" s="24">
        <v>4</v>
      </c>
      <c r="D28" s="10">
        <v>5341.377499999999</v>
      </c>
      <c r="E28" s="10">
        <v>658.3236750000003</v>
      </c>
      <c r="F28" s="10">
        <v>2360.020376712328</v>
      </c>
      <c r="G28" s="10">
        <v>-424.8036678082185</v>
      </c>
      <c r="H28" s="10">
        <v>16.93386704547848</v>
      </c>
      <c r="I28" s="10">
        <v>133.4251863636305</v>
      </c>
      <c r="J28" s="10">
        <v>749.9999999999998</v>
      </c>
      <c r="K28" s="10">
        <v>850.5378741768925</v>
      </c>
      <c r="L28" s="10">
        <v>28.11546617309556</v>
      </c>
      <c r="M28" s="10">
        <v>0</v>
      </c>
    </row>
  </sheetData>
  <autoFilter ref="A4:M28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&amp;LQuarterly&amp;RPage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3C5658"/>
  </sheetPr>
  <dimension ref="A1:H7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3" width="25.7109375" customWidth="1"/>
    <col min="4" max="4" width="20.7109375" customWidth="1"/>
    <col min="5" max="5" width="18.7109375" customWidth="1"/>
    <col min="6" max="6" width="70.7109375" customWidth="1"/>
    <col min="7" max="7" width="22.7109375" customWidth="1"/>
    <col min="8" max="8" width="35.7109375" customWidth="1"/>
  </cols>
  <sheetData>
    <row r="1" spans="1:8" ht="9" customHeight="1"/>
    <row r="2" spans="1:8" ht="42" customHeight="1">
      <c r="A2" s="1" t="s">
        <v>423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125</v>
      </c>
      <c r="B3" s="2"/>
      <c r="C3" s="2"/>
      <c r="D3" s="2"/>
      <c r="E3" s="2"/>
      <c r="F3" s="2"/>
      <c r="G3" s="8"/>
      <c r="H3" s="8"/>
    </row>
    <row r="4" spans="1:8" ht="40" customHeight="1">
      <c r="A4" s="5" t="s">
        <v>65</v>
      </c>
      <c r="B4" s="5" t="s">
        <v>424</v>
      </c>
      <c r="C4" s="5" t="s">
        <v>425</v>
      </c>
      <c r="D4" s="5" t="s">
        <v>426</v>
      </c>
      <c r="E4" s="5" t="s">
        <v>427</v>
      </c>
      <c r="F4" s="5" t="s">
        <v>428</v>
      </c>
      <c r="G4" s="5" t="s">
        <v>429</v>
      </c>
      <c r="H4" s="5" t="s">
        <v>430</v>
      </c>
    </row>
    <row r="5" spans="1:8" ht="25" customHeight="1">
      <c r="A5" s="6" t="s">
        <v>68</v>
      </c>
      <c r="B5" s="9">
        <v>948</v>
      </c>
      <c r="C5" s="9">
        <v>222</v>
      </c>
      <c r="D5" s="9">
        <v>1170</v>
      </c>
      <c r="E5" s="7" t="b">
        <v>0</v>
      </c>
      <c r="F5" s="7" t="s">
        <v>91</v>
      </c>
      <c r="G5" s="9">
        <v>1</v>
      </c>
      <c r="H5" s="7" t="s">
        <v>431</v>
      </c>
    </row>
    <row r="6" spans="1:8" ht="25" customHeight="1">
      <c r="A6" s="3" t="s">
        <v>78</v>
      </c>
      <c r="B6" s="10">
        <v>1764</v>
      </c>
      <c r="C6" s="10">
        <v>276</v>
      </c>
      <c r="D6" s="10">
        <v>2040</v>
      </c>
      <c r="E6" s="4" t="b">
        <v>0</v>
      </c>
      <c r="F6" s="4" t="s">
        <v>91</v>
      </c>
      <c r="G6" s="10">
        <v>1</v>
      </c>
      <c r="H6" s="4" t="s">
        <v>432</v>
      </c>
    </row>
    <row r="7" spans="1:8" ht="25" customHeight="1">
      <c r="A7" s="6" t="s">
        <v>79</v>
      </c>
      <c r="B7" s="9">
        <v>150</v>
      </c>
      <c r="C7" s="9">
        <v>0</v>
      </c>
      <c r="D7" s="9">
        <v>150</v>
      </c>
      <c r="E7" s="7" t="b">
        <v>1</v>
      </c>
      <c r="F7" s="7"/>
      <c r="G7" s="9">
        <v>1</v>
      </c>
      <c r="H7" s="7" t="s">
        <v>433</v>
      </c>
    </row>
  </sheetData>
  <autoFilter ref="A4:H7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&amp;LCapacity&amp;RPage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3C5658"/>
  </sheetPr>
  <dimension ref="A1:D36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5.7109375" customWidth="1"/>
    <col min="3" max="3" width="18.7109375" customWidth="1"/>
    <col min="4" max="4" width="80.7109375" customWidth="1"/>
  </cols>
  <sheetData>
    <row r="1" spans="1:4" ht="9" customHeight="1"/>
    <row r="2" spans="1:4" ht="42" customHeight="1">
      <c r="A2" s="1" t="s">
        <v>434</v>
      </c>
      <c r="B2" s="1"/>
      <c r="C2" s="1"/>
      <c r="D2" s="1"/>
    </row>
    <row r="3" spans="1:4" ht="30" customHeight="1">
      <c r="A3" s="2" t="s">
        <v>125</v>
      </c>
      <c r="B3" s="2"/>
      <c r="C3" s="2"/>
      <c r="D3" s="2"/>
    </row>
    <row r="4" spans="1:4" ht="34" customHeight="1">
      <c r="A4" s="5" t="s">
        <v>65</v>
      </c>
      <c r="B4" s="5" t="s">
        <v>435</v>
      </c>
      <c r="C4" s="5" t="s">
        <v>436</v>
      </c>
      <c r="D4" s="5" t="s">
        <v>107</v>
      </c>
    </row>
    <row r="5" spans="1:4" ht="25" customHeight="1">
      <c r="A5" s="6" t="s">
        <v>68</v>
      </c>
      <c r="B5" s="9">
        <v>0</v>
      </c>
      <c r="C5" s="7" t="b">
        <v>1</v>
      </c>
      <c r="D5" s="7"/>
    </row>
    <row r="6" spans="1:4" ht="25" customHeight="1">
      <c r="A6" s="3" t="s">
        <v>68</v>
      </c>
      <c r="B6" s="10">
        <v>10</v>
      </c>
      <c r="C6" s="4" t="b">
        <v>1</v>
      </c>
      <c r="D6" s="4"/>
    </row>
    <row r="7" spans="1:4" ht="25" customHeight="1">
      <c r="A7" s="6" t="s">
        <v>68</v>
      </c>
      <c r="B7" s="9">
        <v>20</v>
      </c>
      <c r="C7" s="7" t="b">
        <v>1</v>
      </c>
      <c r="D7" s="7"/>
    </row>
    <row r="8" spans="1:4" ht="25" customHeight="1">
      <c r="A8" s="3" t="s">
        <v>68</v>
      </c>
      <c r="B8" s="10">
        <v>30</v>
      </c>
      <c r="C8" s="4" t="b">
        <v>1</v>
      </c>
      <c r="D8" s="4"/>
    </row>
    <row r="9" spans="1:4" ht="25" customHeight="1">
      <c r="A9" s="6" t="s">
        <v>68</v>
      </c>
      <c r="B9" s="9">
        <v>40</v>
      </c>
      <c r="C9" s="7" t="b">
        <v>1</v>
      </c>
      <c r="D9" s="7"/>
    </row>
    <row r="10" spans="1:4" ht="25" customHeight="1">
      <c r="A10" s="3" t="s">
        <v>68</v>
      </c>
      <c r="B10" s="10">
        <v>50</v>
      </c>
      <c r="C10" s="4" t="b">
        <v>1</v>
      </c>
      <c r="D10" s="4"/>
    </row>
    <row r="11" spans="1:4" ht="25" customHeight="1">
      <c r="A11" s="6" t="s">
        <v>68</v>
      </c>
      <c r="B11" s="9">
        <v>60</v>
      </c>
      <c r="C11" s="7" t="b">
        <v>1</v>
      </c>
      <c r="D11" s="7"/>
    </row>
    <row r="12" spans="1:4" ht="25" customHeight="1">
      <c r="A12" s="3" t="s">
        <v>68</v>
      </c>
      <c r="B12" s="10">
        <v>70</v>
      </c>
      <c r="C12" s="4" t="b">
        <v>1</v>
      </c>
      <c r="D12" s="4"/>
    </row>
    <row r="13" spans="1:4" ht="25" customHeight="1">
      <c r="A13" s="6" t="s">
        <v>68</v>
      </c>
      <c r="B13" s="9">
        <v>80</v>
      </c>
      <c r="C13" s="7" t="b">
        <v>1</v>
      </c>
      <c r="D13" s="7"/>
    </row>
    <row r="14" spans="1:4" ht="25" customHeight="1">
      <c r="A14" s="3" t="s">
        <v>68</v>
      </c>
      <c r="B14" s="10">
        <v>90</v>
      </c>
      <c r="C14" s="4" t="b">
        <v>1</v>
      </c>
      <c r="D14" s="4"/>
    </row>
    <row r="15" spans="1:4" ht="25" customHeight="1">
      <c r="A15" s="6" t="s">
        <v>68</v>
      </c>
      <c r="B15" s="9">
        <v>100</v>
      </c>
      <c r="C15" s="7" t="b">
        <v>1</v>
      </c>
      <c r="D15" s="7"/>
    </row>
    <row r="16" spans="1:4" ht="25" customHeight="1">
      <c r="A16" s="3" t="s">
        <v>68</v>
      </c>
      <c r="B16" s="10">
        <v>110</v>
      </c>
      <c r="C16" s="4" t="b">
        <v>1</v>
      </c>
      <c r="D16" s="4"/>
    </row>
    <row r="17" spans="1:4" ht="25" customHeight="1">
      <c r="A17" s="6" t="s">
        <v>68</v>
      </c>
      <c r="B17" s="9">
        <v>120</v>
      </c>
      <c r="C17" s="7" t="b">
        <v>1</v>
      </c>
      <c r="D17" s="7"/>
    </row>
    <row r="18" spans="1:4" ht="25" customHeight="1">
      <c r="A18" s="3" t="s">
        <v>68</v>
      </c>
      <c r="B18" s="10">
        <v>130</v>
      </c>
      <c r="C18" s="4" t="b">
        <v>1</v>
      </c>
      <c r="D18" s="4"/>
    </row>
    <row r="19" spans="1:4" ht="25" customHeight="1">
      <c r="A19" s="6" t="s">
        <v>68</v>
      </c>
      <c r="B19" s="9">
        <v>140</v>
      </c>
      <c r="C19" s="7" t="b">
        <v>1</v>
      </c>
      <c r="D19" s="7"/>
    </row>
    <row r="20" spans="1:4" ht="25" customHeight="1">
      <c r="A20" s="3" t="s">
        <v>68</v>
      </c>
      <c r="B20" s="10">
        <v>150</v>
      </c>
      <c r="C20" s="4" t="b">
        <v>1</v>
      </c>
      <c r="D20" s="4"/>
    </row>
    <row r="21" spans="1:4" ht="25" customHeight="1">
      <c r="A21" s="6" t="s">
        <v>68</v>
      </c>
      <c r="B21" s="9">
        <v>160</v>
      </c>
      <c r="C21" s="7" t="b">
        <v>1</v>
      </c>
      <c r="D21" s="7"/>
    </row>
    <row r="22" spans="1:4" ht="25" customHeight="1">
      <c r="A22" s="3" t="s">
        <v>68</v>
      </c>
      <c r="B22" s="10">
        <v>170</v>
      </c>
      <c r="C22" s="4" t="b">
        <v>1</v>
      </c>
      <c r="D22" s="4"/>
    </row>
    <row r="23" spans="1:4" ht="25" customHeight="1">
      <c r="A23" s="6" t="s">
        <v>68</v>
      </c>
      <c r="B23" s="9">
        <v>180</v>
      </c>
      <c r="C23" s="7" t="b">
        <v>1</v>
      </c>
      <c r="D23" s="7"/>
    </row>
    <row r="24" spans="1:4" ht="25" customHeight="1">
      <c r="A24" s="3" t="s">
        <v>68</v>
      </c>
      <c r="B24" s="10">
        <v>190</v>
      </c>
      <c r="C24" s="4" t="b">
        <v>1</v>
      </c>
      <c r="D24" s="4"/>
    </row>
    <row r="25" spans="1:4" ht="25" customHeight="1">
      <c r="A25" s="6" t="s">
        <v>68</v>
      </c>
      <c r="B25" s="9">
        <v>200</v>
      </c>
      <c r="C25" s="7" t="b">
        <v>1</v>
      </c>
      <c r="D25" s="7"/>
    </row>
    <row r="26" spans="1:4" ht="25" customHeight="1">
      <c r="A26" s="3" t="s">
        <v>68</v>
      </c>
      <c r="B26" s="10">
        <v>210</v>
      </c>
      <c r="C26" s="4" t="b">
        <v>1</v>
      </c>
      <c r="D26" s="4"/>
    </row>
    <row r="27" spans="1:4" ht="25" customHeight="1">
      <c r="A27" s="6" t="s">
        <v>68</v>
      </c>
      <c r="B27" s="9">
        <v>220</v>
      </c>
      <c r="C27" s="7" t="b">
        <v>1</v>
      </c>
      <c r="D27" s="7"/>
    </row>
    <row r="28" spans="1:4" ht="25" customHeight="1">
      <c r="A28" s="3" t="s">
        <v>68</v>
      </c>
      <c r="B28" s="10">
        <v>230</v>
      </c>
      <c r="C28" s="4" t="b">
        <v>1</v>
      </c>
      <c r="D28" s="4"/>
    </row>
    <row r="29" spans="1:4" ht="25" customHeight="1">
      <c r="A29" s="6" t="s">
        <v>68</v>
      </c>
      <c r="B29" s="9">
        <v>240</v>
      </c>
      <c r="C29" s="7" t="b">
        <v>1</v>
      </c>
      <c r="D29" s="7"/>
    </row>
    <row r="30" spans="1:4" ht="25" customHeight="1">
      <c r="A30" s="3" t="s">
        <v>68</v>
      </c>
      <c r="B30" s="10">
        <v>250</v>
      </c>
      <c r="C30" s="4" t="b">
        <v>1</v>
      </c>
      <c r="D30" s="4"/>
    </row>
    <row r="31" spans="1:4" ht="25" customHeight="1">
      <c r="A31" s="6" t="s">
        <v>68</v>
      </c>
      <c r="B31" s="9">
        <v>260</v>
      </c>
      <c r="C31" s="7" t="b">
        <v>1</v>
      </c>
      <c r="D31" s="7"/>
    </row>
    <row r="32" spans="1:4" ht="25" customHeight="1">
      <c r="A32" s="3" t="s">
        <v>68</v>
      </c>
      <c r="B32" s="10">
        <v>270</v>
      </c>
      <c r="C32" s="4" t="b">
        <v>1</v>
      </c>
      <c r="D32" s="4"/>
    </row>
    <row r="33" spans="1:4" ht="25" customHeight="1">
      <c r="A33" s="6" t="s">
        <v>68</v>
      </c>
      <c r="B33" s="9">
        <v>280</v>
      </c>
      <c r="C33" s="7" t="b">
        <v>1</v>
      </c>
      <c r="D33" s="7"/>
    </row>
    <row r="34" spans="1:4" ht="25" customHeight="1">
      <c r="A34" s="3" t="s">
        <v>68</v>
      </c>
      <c r="B34" s="10">
        <v>290</v>
      </c>
      <c r="C34" s="4" t="b">
        <v>1</v>
      </c>
      <c r="D34" s="4"/>
    </row>
    <row r="35" spans="1:4" ht="25" customHeight="1">
      <c r="A35" s="6" t="s">
        <v>68</v>
      </c>
      <c r="B35" s="9">
        <v>300</v>
      </c>
      <c r="C35" s="7" t="b">
        <v>1</v>
      </c>
      <c r="D35" s="7"/>
    </row>
    <row r="36" spans="1:4" ht="25" customHeight="1">
      <c r="A36" s="3" t="s">
        <v>68</v>
      </c>
      <c r="B36" s="10">
        <v>310</v>
      </c>
      <c r="C36" s="4" t="b">
        <v>1</v>
      </c>
      <c r="D36" s="4"/>
    </row>
    <row r="37" spans="1:4" ht="25" customHeight="1">
      <c r="A37" s="6" t="s">
        <v>68</v>
      </c>
      <c r="B37" s="9">
        <v>320</v>
      </c>
      <c r="C37" s="7" t="b">
        <v>1</v>
      </c>
      <c r="D37" s="7"/>
    </row>
    <row r="38" spans="1:4" ht="25" customHeight="1">
      <c r="A38" s="3" t="s">
        <v>68</v>
      </c>
      <c r="B38" s="10">
        <v>330</v>
      </c>
      <c r="C38" s="4" t="b">
        <v>1</v>
      </c>
      <c r="D38" s="4"/>
    </row>
    <row r="39" spans="1:4" ht="25" customHeight="1">
      <c r="A39" s="6" t="s">
        <v>68</v>
      </c>
      <c r="B39" s="9">
        <v>340</v>
      </c>
      <c r="C39" s="7" t="b">
        <v>1</v>
      </c>
      <c r="D39" s="7"/>
    </row>
    <row r="40" spans="1:4" ht="25" customHeight="1">
      <c r="A40" s="3" t="s">
        <v>68</v>
      </c>
      <c r="B40" s="10">
        <v>350</v>
      </c>
      <c r="C40" s="4" t="b">
        <v>1</v>
      </c>
      <c r="D40" s="4"/>
    </row>
    <row r="41" spans="1:4" ht="25" customHeight="1">
      <c r="A41" s="6" t="s">
        <v>68</v>
      </c>
      <c r="B41" s="9">
        <v>360</v>
      </c>
      <c r="C41" s="7" t="b">
        <v>1</v>
      </c>
      <c r="D41" s="7"/>
    </row>
    <row r="42" spans="1:4" ht="25" customHeight="1">
      <c r="A42" s="3" t="s">
        <v>68</v>
      </c>
      <c r="B42" s="10">
        <v>370</v>
      </c>
      <c r="C42" s="4" t="b">
        <v>1</v>
      </c>
      <c r="D42" s="4"/>
    </row>
    <row r="43" spans="1:4" ht="25" customHeight="1">
      <c r="A43" s="6" t="s">
        <v>68</v>
      </c>
      <c r="B43" s="9">
        <v>380</v>
      </c>
      <c r="C43" s="7" t="b">
        <v>1</v>
      </c>
      <c r="D43" s="7"/>
    </row>
    <row r="44" spans="1:4" ht="25" customHeight="1">
      <c r="A44" s="3" t="s">
        <v>68</v>
      </c>
      <c r="B44" s="10">
        <v>390</v>
      </c>
      <c r="C44" s="4" t="b">
        <v>1</v>
      </c>
      <c r="D44" s="4"/>
    </row>
    <row r="45" spans="1:4" ht="25" customHeight="1">
      <c r="A45" s="6" t="s">
        <v>68</v>
      </c>
      <c r="B45" s="9">
        <v>400</v>
      </c>
      <c r="C45" s="7" t="b">
        <v>1</v>
      </c>
      <c r="D45" s="7"/>
    </row>
    <row r="46" spans="1:4" ht="25" customHeight="1">
      <c r="A46" s="3" t="s">
        <v>68</v>
      </c>
      <c r="B46" s="10">
        <v>410</v>
      </c>
      <c r="C46" s="4" t="b">
        <v>1</v>
      </c>
      <c r="D46" s="4"/>
    </row>
    <row r="47" spans="1:4" ht="25" customHeight="1">
      <c r="A47" s="6" t="s">
        <v>68</v>
      </c>
      <c r="B47" s="9">
        <v>420</v>
      </c>
      <c r="C47" s="7" t="b">
        <v>1</v>
      </c>
      <c r="D47" s="7"/>
    </row>
    <row r="48" spans="1:4" ht="25" customHeight="1">
      <c r="A48" s="3" t="s">
        <v>68</v>
      </c>
      <c r="B48" s="10">
        <v>430</v>
      </c>
      <c r="C48" s="4" t="b">
        <v>1</v>
      </c>
      <c r="D48" s="4"/>
    </row>
    <row r="49" spans="1:4" ht="25" customHeight="1">
      <c r="A49" s="6" t="s">
        <v>68</v>
      </c>
      <c r="B49" s="9">
        <v>440</v>
      </c>
      <c r="C49" s="7" t="b">
        <v>1</v>
      </c>
      <c r="D49" s="7"/>
    </row>
    <row r="50" spans="1:4" ht="25" customHeight="1">
      <c r="A50" s="3" t="s">
        <v>68</v>
      </c>
      <c r="B50" s="10">
        <v>450</v>
      </c>
      <c r="C50" s="4" t="b">
        <v>1</v>
      </c>
      <c r="D50" s="4"/>
    </row>
    <row r="51" spans="1:4" ht="25" customHeight="1">
      <c r="A51" s="6" t="s">
        <v>68</v>
      </c>
      <c r="B51" s="9">
        <v>460</v>
      </c>
      <c r="C51" s="7" t="b">
        <v>1</v>
      </c>
      <c r="D51" s="7"/>
    </row>
    <row r="52" spans="1:4" ht="25" customHeight="1">
      <c r="A52" s="3" t="s">
        <v>68</v>
      </c>
      <c r="B52" s="10">
        <v>470</v>
      </c>
      <c r="C52" s="4" t="b">
        <v>1</v>
      </c>
      <c r="D52" s="4"/>
    </row>
    <row r="53" spans="1:4" ht="25" customHeight="1">
      <c r="A53" s="6" t="s">
        <v>68</v>
      </c>
      <c r="B53" s="9">
        <v>480</v>
      </c>
      <c r="C53" s="7" t="b">
        <v>1</v>
      </c>
      <c r="D53" s="7"/>
    </row>
    <row r="54" spans="1:4" ht="25" customHeight="1">
      <c r="A54" s="3" t="s">
        <v>68</v>
      </c>
      <c r="B54" s="10">
        <v>490</v>
      </c>
      <c r="C54" s="4" t="b">
        <v>1</v>
      </c>
      <c r="D54" s="4"/>
    </row>
    <row r="55" spans="1:4" ht="25" customHeight="1">
      <c r="A55" s="6" t="s">
        <v>68</v>
      </c>
      <c r="B55" s="9">
        <v>500</v>
      </c>
      <c r="C55" s="7" t="b">
        <v>1</v>
      </c>
      <c r="D55" s="7"/>
    </row>
    <row r="56" spans="1:4" ht="25" customHeight="1">
      <c r="A56" s="3" t="s">
        <v>68</v>
      </c>
      <c r="B56" s="10">
        <v>510</v>
      </c>
      <c r="C56" s="4" t="b">
        <v>1</v>
      </c>
      <c r="D56" s="4"/>
    </row>
    <row r="57" spans="1:4" ht="25" customHeight="1">
      <c r="A57" s="6" t="s">
        <v>68</v>
      </c>
      <c r="B57" s="9">
        <v>520</v>
      </c>
      <c r="C57" s="7" t="b">
        <v>1</v>
      </c>
      <c r="D57" s="7"/>
    </row>
    <row r="58" spans="1:4" ht="25" customHeight="1">
      <c r="A58" s="3" t="s">
        <v>68</v>
      </c>
      <c r="B58" s="10">
        <v>530</v>
      </c>
      <c r="C58" s="4" t="b">
        <v>1</v>
      </c>
      <c r="D58" s="4"/>
    </row>
    <row r="59" spans="1:4" ht="25" customHeight="1">
      <c r="A59" s="6" t="s">
        <v>68</v>
      </c>
      <c r="B59" s="9">
        <v>540</v>
      </c>
      <c r="C59" s="7" t="b">
        <v>1</v>
      </c>
      <c r="D59" s="7"/>
    </row>
    <row r="60" spans="1:4" ht="25" customHeight="1">
      <c r="A60" s="3" t="s">
        <v>68</v>
      </c>
      <c r="B60" s="10">
        <v>550</v>
      </c>
      <c r="C60" s="4" t="b">
        <v>1</v>
      </c>
      <c r="D60" s="4"/>
    </row>
    <row r="61" spans="1:4" ht="25" customHeight="1">
      <c r="A61" s="6" t="s">
        <v>68</v>
      </c>
      <c r="B61" s="9">
        <v>560</v>
      </c>
      <c r="C61" s="7" t="b">
        <v>1</v>
      </c>
      <c r="D61" s="7"/>
    </row>
    <row r="62" spans="1:4" ht="25" customHeight="1">
      <c r="A62" s="3" t="s">
        <v>68</v>
      </c>
      <c r="B62" s="10">
        <v>570</v>
      </c>
      <c r="C62" s="4" t="b">
        <v>1</v>
      </c>
      <c r="D62" s="4"/>
    </row>
    <row r="63" spans="1:4" ht="25" customHeight="1">
      <c r="A63" s="6" t="s">
        <v>68</v>
      </c>
      <c r="B63" s="9">
        <v>580</v>
      </c>
      <c r="C63" s="7" t="b">
        <v>1</v>
      </c>
      <c r="D63" s="7"/>
    </row>
    <row r="64" spans="1:4" ht="25" customHeight="1">
      <c r="A64" s="3" t="s">
        <v>68</v>
      </c>
      <c r="B64" s="10">
        <v>590</v>
      </c>
      <c r="C64" s="4" t="b">
        <v>1</v>
      </c>
      <c r="D64" s="4"/>
    </row>
    <row r="65" spans="1:4" ht="25" customHeight="1">
      <c r="A65" s="6" t="s">
        <v>68</v>
      </c>
      <c r="B65" s="9">
        <v>600</v>
      </c>
      <c r="C65" s="7" t="b">
        <v>1</v>
      </c>
      <c r="D65" s="7"/>
    </row>
    <row r="66" spans="1:4" ht="25" customHeight="1">
      <c r="A66" s="3" t="s">
        <v>68</v>
      </c>
      <c r="B66" s="10">
        <v>610</v>
      </c>
      <c r="C66" s="4" t="b">
        <v>1</v>
      </c>
      <c r="D66" s="4"/>
    </row>
    <row r="67" spans="1:4" ht="25" customHeight="1">
      <c r="A67" s="6" t="s">
        <v>68</v>
      </c>
      <c r="B67" s="9">
        <v>620</v>
      </c>
      <c r="C67" s="7" t="b">
        <v>1</v>
      </c>
      <c r="D67" s="7"/>
    </row>
    <row r="68" spans="1:4" ht="25" customHeight="1">
      <c r="A68" s="3" t="s">
        <v>68</v>
      </c>
      <c r="B68" s="10">
        <v>630</v>
      </c>
      <c r="C68" s="4" t="b">
        <v>1</v>
      </c>
      <c r="D68" s="4"/>
    </row>
    <row r="69" spans="1:4" ht="25" customHeight="1">
      <c r="A69" s="6" t="s">
        <v>68</v>
      </c>
      <c r="B69" s="9">
        <v>640</v>
      </c>
      <c r="C69" s="7" t="b">
        <v>1</v>
      </c>
      <c r="D69" s="7"/>
    </row>
    <row r="70" spans="1:4" ht="25" customHeight="1">
      <c r="A70" s="3" t="s">
        <v>68</v>
      </c>
      <c r="B70" s="10">
        <v>650</v>
      </c>
      <c r="C70" s="4" t="b">
        <v>1</v>
      </c>
      <c r="D70" s="4"/>
    </row>
    <row r="71" spans="1:4" ht="25" customHeight="1">
      <c r="A71" s="6" t="s">
        <v>68</v>
      </c>
      <c r="B71" s="9">
        <v>660</v>
      </c>
      <c r="C71" s="7" t="b">
        <v>1</v>
      </c>
      <c r="D71" s="7"/>
    </row>
    <row r="72" spans="1:4" ht="25" customHeight="1">
      <c r="A72" s="3" t="s">
        <v>68</v>
      </c>
      <c r="B72" s="10">
        <v>670</v>
      </c>
      <c r="C72" s="4" t="b">
        <v>1</v>
      </c>
      <c r="D72" s="4"/>
    </row>
    <row r="73" spans="1:4" ht="25" customHeight="1">
      <c r="A73" s="6" t="s">
        <v>68</v>
      </c>
      <c r="B73" s="9">
        <v>680</v>
      </c>
      <c r="C73" s="7" t="b">
        <v>1</v>
      </c>
      <c r="D73" s="7"/>
    </row>
    <row r="74" spans="1:4" ht="25" customHeight="1">
      <c r="A74" s="3" t="s">
        <v>68</v>
      </c>
      <c r="B74" s="10">
        <v>690</v>
      </c>
      <c r="C74" s="4" t="b">
        <v>1</v>
      </c>
      <c r="D74" s="4"/>
    </row>
    <row r="75" spans="1:4" ht="25" customHeight="1">
      <c r="A75" s="6" t="s">
        <v>68</v>
      </c>
      <c r="B75" s="9">
        <v>700</v>
      </c>
      <c r="C75" s="7" t="b">
        <v>1</v>
      </c>
      <c r="D75" s="7"/>
    </row>
    <row r="76" spans="1:4" ht="25" customHeight="1">
      <c r="A76" s="3" t="s">
        <v>68</v>
      </c>
      <c r="B76" s="10">
        <v>710</v>
      </c>
      <c r="C76" s="4" t="b">
        <v>1</v>
      </c>
      <c r="D76" s="4"/>
    </row>
    <row r="77" spans="1:4" ht="25" customHeight="1">
      <c r="A77" s="6" t="s">
        <v>68</v>
      </c>
      <c r="B77" s="9">
        <v>720</v>
      </c>
      <c r="C77" s="7" t="b">
        <v>1</v>
      </c>
      <c r="D77" s="7"/>
    </row>
    <row r="78" spans="1:4" ht="25" customHeight="1">
      <c r="A78" s="3" t="s">
        <v>68</v>
      </c>
      <c r="B78" s="10">
        <v>730</v>
      </c>
      <c r="C78" s="4" t="b">
        <v>1</v>
      </c>
      <c r="D78" s="4"/>
    </row>
    <row r="79" spans="1:4" ht="25" customHeight="1">
      <c r="A79" s="6" t="s">
        <v>68</v>
      </c>
      <c r="B79" s="9">
        <v>740</v>
      </c>
      <c r="C79" s="7" t="b">
        <v>1</v>
      </c>
      <c r="D79" s="7"/>
    </row>
    <row r="80" spans="1:4" ht="25" customHeight="1">
      <c r="A80" s="3" t="s">
        <v>68</v>
      </c>
      <c r="B80" s="10">
        <v>750</v>
      </c>
      <c r="C80" s="4" t="b">
        <v>1</v>
      </c>
      <c r="D80" s="4"/>
    </row>
    <row r="81" spans="1:4" ht="25" customHeight="1">
      <c r="A81" s="6" t="s">
        <v>68</v>
      </c>
      <c r="B81" s="9">
        <v>760</v>
      </c>
      <c r="C81" s="7" t="b">
        <v>1</v>
      </c>
      <c r="D81" s="7"/>
    </row>
    <row r="82" spans="1:4" ht="25" customHeight="1">
      <c r="A82" s="3" t="s">
        <v>68</v>
      </c>
      <c r="B82" s="10">
        <v>770</v>
      </c>
      <c r="C82" s="4" t="b">
        <v>1</v>
      </c>
      <c r="D82" s="4"/>
    </row>
    <row r="83" spans="1:4" ht="25" customHeight="1">
      <c r="A83" s="6" t="s">
        <v>68</v>
      </c>
      <c r="B83" s="9">
        <v>780</v>
      </c>
      <c r="C83" s="7" t="b">
        <v>1</v>
      </c>
      <c r="D83" s="7"/>
    </row>
    <row r="84" spans="1:4" ht="25" customHeight="1">
      <c r="A84" s="3" t="s">
        <v>68</v>
      </c>
      <c r="B84" s="10">
        <v>790</v>
      </c>
      <c r="C84" s="4" t="b">
        <v>1</v>
      </c>
      <c r="D84" s="4"/>
    </row>
    <row r="85" spans="1:4" ht="25" customHeight="1">
      <c r="A85" s="6" t="s">
        <v>68</v>
      </c>
      <c r="B85" s="9">
        <v>800</v>
      </c>
      <c r="C85" s="7" t="b">
        <v>1</v>
      </c>
      <c r="D85" s="7"/>
    </row>
    <row r="86" spans="1:4" ht="25" customHeight="1">
      <c r="A86" s="3" t="s">
        <v>68</v>
      </c>
      <c r="B86" s="10">
        <v>810</v>
      </c>
      <c r="C86" s="4" t="b">
        <v>1</v>
      </c>
      <c r="D86" s="4"/>
    </row>
    <row r="87" spans="1:4" ht="25" customHeight="1">
      <c r="A87" s="6" t="s">
        <v>68</v>
      </c>
      <c r="B87" s="9">
        <v>820</v>
      </c>
      <c r="C87" s="7" t="b">
        <v>1</v>
      </c>
      <c r="D87" s="7"/>
    </row>
    <row r="88" spans="1:4" ht="25" customHeight="1">
      <c r="A88" s="3" t="s">
        <v>68</v>
      </c>
      <c r="B88" s="10">
        <v>830</v>
      </c>
      <c r="C88" s="4" t="b">
        <v>1</v>
      </c>
      <c r="D88" s="4"/>
    </row>
    <row r="89" spans="1:4" ht="25" customHeight="1">
      <c r="A89" s="6" t="s">
        <v>68</v>
      </c>
      <c r="B89" s="9">
        <v>840</v>
      </c>
      <c r="C89" s="7" t="b">
        <v>1</v>
      </c>
      <c r="D89" s="7"/>
    </row>
    <row r="90" spans="1:4" ht="25" customHeight="1">
      <c r="A90" s="3" t="s">
        <v>68</v>
      </c>
      <c r="B90" s="10">
        <v>850</v>
      </c>
      <c r="C90" s="4" t="b">
        <v>1</v>
      </c>
      <c r="D90" s="4"/>
    </row>
    <row r="91" spans="1:4" ht="25" customHeight="1">
      <c r="A91" s="6" t="s">
        <v>68</v>
      </c>
      <c r="B91" s="9">
        <v>860</v>
      </c>
      <c r="C91" s="7" t="b">
        <v>1</v>
      </c>
      <c r="D91" s="7"/>
    </row>
    <row r="92" spans="1:4" ht="25" customHeight="1">
      <c r="A92" s="3" t="s">
        <v>68</v>
      </c>
      <c r="B92" s="10">
        <v>870</v>
      </c>
      <c r="C92" s="4" t="b">
        <v>1</v>
      </c>
      <c r="D92" s="4"/>
    </row>
    <row r="93" spans="1:4" ht="25" customHeight="1">
      <c r="A93" s="6" t="s">
        <v>68</v>
      </c>
      <c r="B93" s="9">
        <v>880</v>
      </c>
      <c r="C93" s="7" t="b">
        <v>1</v>
      </c>
      <c r="D93" s="7"/>
    </row>
    <row r="94" spans="1:4" ht="25" customHeight="1">
      <c r="A94" s="3" t="s">
        <v>68</v>
      </c>
      <c r="B94" s="10">
        <v>890</v>
      </c>
      <c r="C94" s="4" t="b">
        <v>1</v>
      </c>
      <c r="D94" s="4"/>
    </row>
    <row r="95" spans="1:4" ht="25" customHeight="1">
      <c r="A95" s="6" t="s">
        <v>68</v>
      </c>
      <c r="B95" s="9">
        <v>900</v>
      </c>
      <c r="C95" s="7" t="b">
        <v>1</v>
      </c>
      <c r="D95" s="7"/>
    </row>
    <row r="96" spans="1:4" ht="25" customHeight="1">
      <c r="A96" s="3" t="s">
        <v>68</v>
      </c>
      <c r="B96" s="10">
        <v>910</v>
      </c>
      <c r="C96" s="4" t="b">
        <v>1</v>
      </c>
      <c r="D96" s="4"/>
    </row>
    <row r="97" spans="1:4" ht="25" customHeight="1">
      <c r="A97" s="6" t="s">
        <v>68</v>
      </c>
      <c r="B97" s="9">
        <v>920</v>
      </c>
      <c r="C97" s="7" t="b">
        <v>1</v>
      </c>
      <c r="D97" s="7"/>
    </row>
    <row r="98" spans="1:4" ht="25" customHeight="1">
      <c r="A98" s="3" t="s">
        <v>68</v>
      </c>
      <c r="B98" s="10">
        <v>930</v>
      </c>
      <c r="C98" s="4" t="b">
        <v>1</v>
      </c>
      <c r="D98" s="4"/>
    </row>
    <row r="99" spans="1:4" ht="25" customHeight="1">
      <c r="A99" s="6" t="s">
        <v>68</v>
      </c>
      <c r="B99" s="9">
        <v>940</v>
      </c>
      <c r="C99" s="7" t="b">
        <v>1</v>
      </c>
      <c r="D99" s="7"/>
    </row>
    <row r="100" spans="1:4" ht="25" customHeight="1">
      <c r="A100" s="3" t="s">
        <v>68</v>
      </c>
      <c r="B100" s="10">
        <v>941</v>
      </c>
      <c r="C100" s="4" t="b">
        <v>1</v>
      </c>
      <c r="D100" s="4"/>
    </row>
    <row r="101" spans="1:4" ht="25" customHeight="1">
      <c r="A101" s="6" t="s">
        <v>68</v>
      </c>
      <c r="B101" s="9">
        <v>942</v>
      </c>
      <c r="C101" s="7" t="b">
        <v>1</v>
      </c>
      <c r="D101" s="7"/>
    </row>
    <row r="102" spans="1:4" ht="25" customHeight="1">
      <c r="A102" s="3" t="s">
        <v>68</v>
      </c>
      <c r="B102" s="10">
        <v>943</v>
      </c>
      <c r="C102" s="4" t="b">
        <v>1</v>
      </c>
      <c r="D102" s="4"/>
    </row>
    <row r="103" spans="1:4" ht="25" customHeight="1">
      <c r="A103" s="6" t="s">
        <v>68</v>
      </c>
      <c r="B103" s="9">
        <v>944</v>
      </c>
      <c r="C103" s="7" t="b">
        <v>1</v>
      </c>
      <c r="D103" s="7"/>
    </row>
    <row r="104" spans="1:4" ht="25" customHeight="1">
      <c r="A104" s="3" t="s">
        <v>68</v>
      </c>
      <c r="B104" s="10">
        <v>945</v>
      </c>
      <c r="C104" s="4" t="b">
        <v>1</v>
      </c>
      <c r="D104" s="4"/>
    </row>
    <row r="105" spans="1:4" ht="25" customHeight="1">
      <c r="A105" s="6" t="s">
        <v>68</v>
      </c>
      <c r="B105" s="9">
        <v>946</v>
      </c>
      <c r="C105" s="7" t="b">
        <v>1</v>
      </c>
      <c r="D105" s="7"/>
    </row>
    <row r="106" spans="1:4" ht="25" customHeight="1">
      <c r="A106" s="3" t="s">
        <v>68</v>
      </c>
      <c r="B106" s="10">
        <v>947</v>
      </c>
      <c r="C106" s="4" t="b">
        <v>1</v>
      </c>
      <c r="D106" s="4"/>
    </row>
    <row r="107" spans="1:4" ht="25" customHeight="1">
      <c r="A107" s="6" t="s">
        <v>68</v>
      </c>
      <c r="B107" s="9">
        <v>948</v>
      </c>
      <c r="C107" s="7" t="b">
        <v>1</v>
      </c>
      <c r="D107" s="7"/>
    </row>
    <row r="108" spans="1:4" ht="25" customHeight="1">
      <c r="A108" s="3" t="s">
        <v>68</v>
      </c>
      <c r="B108" s="10">
        <v>949</v>
      </c>
      <c r="C108" s="4" t="b">
        <v>0</v>
      </c>
      <c r="D108" s="4" t="s">
        <v>91</v>
      </c>
    </row>
    <row r="109" spans="1:4" ht="25" customHeight="1">
      <c r="A109" s="6" t="s">
        <v>68</v>
      </c>
      <c r="B109" s="9">
        <v>950</v>
      </c>
      <c r="C109" s="7" t="b">
        <v>0</v>
      </c>
      <c r="D109" s="7" t="s">
        <v>91</v>
      </c>
    </row>
    <row r="110" spans="1:4" ht="25" customHeight="1">
      <c r="A110" s="3" t="s">
        <v>68</v>
      </c>
      <c r="B110" s="10">
        <v>960</v>
      </c>
      <c r="C110" s="4" t="b">
        <v>0</v>
      </c>
      <c r="D110" s="4" t="s">
        <v>91</v>
      </c>
    </row>
    <row r="111" spans="1:4" ht="25" customHeight="1">
      <c r="A111" s="6" t="s">
        <v>68</v>
      </c>
      <c r="B111" s="9">
        <v>970</v>
      </c>
      <c r="C111" s="7" t="b">
        <v>0</v>
      </c>
      <c r="D111" s="7" t="s">
        <v>91</v>
      </c>
    </row>
    <row r="112" spans="1:4" ht="25" customHeight="1">
      <c r="A112" s="3" t="s">
        <v>68</v>
      </c>
      <c r="B112" s="10">
        <v>980</v>
      </c>
      <c r="C112" s="4" t="b">
        <v>0</v>
      </c>
      <c r="D112" s="4" t="s">
        <v>91</v>
      </c>
    </row>
    <row r="113" spans="1:4" ht="25" customHeight="1">
      <c r="A113" s="6" t="s">
        <v>68</v>
      </c>
      <c r="B113" s="9">
        <v>990</v>
      </c>
      <c r="C113" s="7" t="b">
        <v>0</v>
      </c>
      <c r="D113" s="7" t="s">
        <v>91</v>
      </c>
    </row>
    <row r="114" spans="1:4" ht="25" customHeight="1">
      <c r="A114" s="3" t="s">
        <v>68</v>
      </c>
      <c r="B114" s="10">
        <v>1000</v>
      </c>
      <c r="C114" s="4" t="b">
        <v>0</v>
      </c>
      <c r="D114" s="4" t="s">
        <v>91</v>
      </c>
    </row>
    <row r="115" spans="1:4" ht="25" customHeight="1">
      <c r="A115" s="6" t="s">
        <v>68</v>
      </c>
      <c r="B115" s="9">
        <v>1010</v>
      </c>
      <c r="C115" s="7" t="b">
        <v>0</v>
      </c>
      <c r="D115" s="7" t="s">
        <v>91</v>
      </c>
    </row>
    <row r="116" spans="1:4" ht="25" customHeight="1">
      <c r="A116" s="3" t="s">
        <v>68</v>
      </c>
      <c r="B116" s="10">
        <v>1020</v>
      </c>
      <c r="C116" s="4" t="b">
        <v>0</v>
      </c>
      <c r="D116" s="4" t="s">
        <v>91</v>
      </c>
    </row>
    <row r="117" spans="1:4" ht="25" customHeight="1">
      <c r="A117" s="6" t="s">
        <v>68</v>
      </c>
      <c r="B117" s="9">
        <v>1030</v>
      </c>
      <c r="C117" s="7" t="b">
        <v>0</v>
      </c>
      <c r="D117" s="7" t="s">
        <v>91</v>
      </c>
    </row>
    <row r="118" spans="1:4" ht="25" customHeight="1">
      <c r="A118" s="3" t="s">
        <v>68</v>
      </c>
      <c r="B118" s="10">
        <v>1040</v>
      </c>
      <c r="C118" s="4" t="b">
        <v>0</v>
      </c>
      <c r="D118" s="4" t="s">
        <v>91</v>
      </c>
    </row>
    <row r="119" spans="1:4" ht="25" customHeight="1">
      <c r="A119" s="6" t="s">
        <v>68</v>
      </c>
      <c r="B119" s="9">
        <v>1050</v>
      </c>
      <c r="C119" s="7" t="b">
        <v>0</v>
      </c>
      <c r="D119" s="7" t="s">
        <v>91</v>
      </c>
    </row>
    <row r="120" spans="1:4" ht="25" customHeight="1">
      <c r="A120" s="3" t="s">
        <v>68</v>
      </c>
      <c r="B120" s="10">
        <v>1060</v>
      </c>
      <c r="C120" s="4" t="b">
        <v>0</v>
      </c>
      <c r="D120" s="4" t="s">
        <v>91</v>
      </c>
    </row>
    <row r="121" spans="1:4" ht="25" customHeight="1">
      <c r="A121" s="6" t="s">
        <v>68</v>
      </c>
      <c r="B121" s="9">
        <v>1070</v>
      </c>
      <c r="C121" s="7" t="b">
        <v>0</v>
      </c>
      <c r="D121" s="7" t="s">
        <v>91</v>
      </c>
    </row>
    <row r="122" spans="1:4" ht="25" customHeight="1">
      <c r="A122" s="3" t="s">
        <v>68</v>
      </c>
      <c r="B122" s="10">
        <v>1080</v>
      </c>
      <c r="C122" s="4" t="b">
        <v>0</v>
      </c>
      <c r="D122" s="4" t="s">
        <v>91</v>
      </c>
    </row>
    <row r="123" spans="1:4" ht="25" customHeight="1">
      <c r="A123" s="6" t="s">
        <v>68</v>
      </c>
      <c r="B123" s="9">
        <v>1090</v>
      </c>
      <c r="C123" s="7" t="b">
        <v>0</v>
      </c>
      <c r="D123" s="7" t="s">
        <v>91</v>
      </c>
    </row>
    <row r="124" spans="1:4" ht="25" customHeight="1">
      <c r="A124" s="3" t="s">
        <v>68</v>
      </c>
      <c r="B124" s="10">
        <v>1100</v>
      </c>
      <c r="C124" s="4" t="b">
        <v>0</v>
      </c>
      <c r="D124" s="4" t="s">
        <v>91</v>
      </c>
    </row>
    <row r="125" spans="1:4" ht="25" customHeight="1">
      <c r="A125" s="6" t="s">
        <v>68</v>
      </c>
      <c r="B125" s="9">
        <v>1110</v>
      </c>
      <c r="C125" s="7" t="b">
        <v>0</v>
      </c>
      <c r="D125" s="7" t="s">
        <v>91</v>
      </c>
    </row>
    <row r="126" spans="1:4" ht="25" customHeight="1">
      <c r="A126" s="3" t="s">
        <v>68</v>
      </c>
      <c r="B126" s="10">
        <v>1120</v>
      </c>
      <c r="C126" s="4" t="b">
        <v>0</v>
      </c>
      <c r="D126" s="4" t="s">
        <v>91</v>
      </c>
    </row>
    <row r="127" spans="1:4" ht="25" customHeight="1">
      <c r="A127" s="6" t="s">
        <v>68</v>
      </c>
      <c r="B127" s="9">
        <v>1130</v>
      </c>
      <c r="C127" s="7" t="b">
        <v>0</v>
      </c>
      <c r="D127" s="7" t="s">
        <v>91</v>
      </c>
    </row>
    <row r="128" spans="1:4" ht="25" customHeight="1">
      <c r="A128" s="3" t="s">
        <v>68</v>
      </c>
      <c r="B128" s="10">
        <v>1140</v>
      </c>
      <c r="C128" s="4" t="b">
        <v>0</v>
      </c>
      <c r="D128" s="4" t="s">
        <v>91</v>
      </c>
    </row>
    <row r="129" spans="1:4" ht="25" customHeight="1">
      <c r="A129" s="6" t="s">
        <v>68</v>
      </c>
      <c r="B129" s="9">
        <v>1150</v>
      </c>
      <c r="C129" s="7" t="b">
        <v>0</v>
      </c>
      <c r="D129" s="7" t="s">
        <v>91</v>
      </c>
    </row>
    <row r="130" spans="1:4" ht="25" customHeight="1">
      <c r="A130" s="3" t="s">
        <v>68</v>
      </c>
      <c r="B130" s="10">
        <v>1160</v>
      </c>
      <c r="C130" s="4" t="b">
        <v>0</v>
      </c>
      <c r="D130" s="4" t="s">
        <v>91</v>
      </c>
    </row>
    <row r="131" spans="1:4" ht="25" customHeight="1">
      <c r="A131" s="6" t="s">
        <v>68</v>
      </c>
      <c r="B131" s="9">
        <v>1170</v>
      </c>
      <c r="C131" s="7" t="b">
        <v>0</v>
      </c>
      <c r="D131" s="7" t="s">
        <v>91</v>
      </c>
    </row>
    <row r="132" spans="1:4" ht="25" customHeight="1">
      <c r="A132" s="3" t="s">
        <v>78</v>
      </c>
      <c r="B132" s="10">
        <v>0</v>
      </c>
      <c r="C132" s="4" t="b">
        <v>1</v>
      </c>
      <c r="D132" s="4"/>
    </row>
    <row r="133" spans="1:4" ht="25" customHeight="1">
      <c r="A133" s="6" t="s">
        <v>78</v>
      </c>
      <c r="B133" s="9">
        <v>10</v>
      </c>
      <c r="C133" s="7" t="b">
        <v>1</v>
      </c>
      <c r="D133" s="7"/>
    </row>
    <row r="134" spans="1:4" ht="25" customHeight="1">
      <c r="A134" s="3" t="s">
        <v>78</v>
      </c>
      <c r="B134" s="10">
        <v>20</v>
      </c>
      <c r="C134" s="4" t="b">
        <v>1</v>
      </c>
      <c r="D134" s="4"/>
    </row>
    <row r="135" spans="1:4" ht="25" customHeight="1">
      <c r="A135" s="6" t="s">
        <v>78</v>
      </c>
      <c r="B135" s="9">
        <v>30</v>
      </c>
      <c r="C135" s="7" t="b">
        <v>1</v>
      </c>
      <c r="D135" s="7"/>
    </row>
    <row r="136" spans="1:4" ht="25" customHeight="1">
      <c r="A136" s="3" t="s">
        <v>78</v>
      </c>
      <c r="B136" s="10">
        <v>40</v>
      </c>
      <c r="C136" s="4" t="b">
        <v>1</v>
      </c>
      <c r="D136" s="4"/>
    </row>
    <row r="137" spans="1:4" ht="25" customHeight="1">
      <c r="A137" s="6" t="s">
        <v>78</v>
      </c>
      <c r="B137" s="9">
        <v>50</v>
      </c>
      <c r="C137" s="7" t="b">
        <v>1</v>
      </c>
      <c r="D137" s="7"/>
    </row>
    <row r="138" spans="1:4" ht="25" customHeight="1">
      <c r="A138" s="3" t="s">
        <v>78</v>
      </c>
      <c r="B138" s="10">
        <v>60</v>
      </c>
      <c r="C138" s="4" t="b">
        <v>1</v>
      </c>
      <c r="D138" s="4"/>
    </row>
    <row r="139" spans="1:4" ht="25" customHeight="1">
      <c r="A139" s="6" t="s">
        <v>78</v>
      </c>
      <c r="B139" s="9">
        <v>70</v>
      </c>
      <c r="C139" s="7" t="b">
        <v>1</v>
      </c>
      <c r="D139" s="7"/>
    </row>
    <row r="140" spans="1:4" ht="25" customHeight="1">
      <c r="A140" s="3" t="s">
        <v>78</v>
      </c>
      <c r="B140" s="10">
        <v>80</v>
      </c>
      <c r="C140" s="4" t="b">
        <v>1</v>
      </c>
      <c r="D140" s="4"/>
    </row>
    <row r="141" spans="1:4" ht="25" customHeight="1">
      <c r="A141" s="6" t="s">
        <v>78</v>
      </c>
      <c r="B141" s="9">
        <v>90</v>
      </c>
      <c r="C141" s="7" t="b">
        <v>1</v>
      </c>
      <c r="D141" s="7"/>
    </row>
    <row r="142" spans="1:4" ht="25" customHeight="1">
      <c r="A142" s="3" t="s">
        <v>78</v>
      </c>
      <c r="B142" s="10">
        <v>100</v>
      </c>
      <c r="C142" s="4" t="b">
        <v>1</v>
      </c>
      <c r="D142" s="4"/>
    </row>
    <row r="143" spans="1:4" ht="25" customHeight="1">
      <c r="A143" s="6" t="s">
        <v>78</v>
      </c>
      <c r="B143" s="9">
        <v>110</v>
      </c>
      <c r="C143" s="7" t="b">
        <v>1</v>
      </c>
      <c r="D143" s="7"/>
    </row>
    <row r="144" spans="1:4" ht="25" customHeight="1">
      <c r="A144" s="3" t="s">
        <v>78</v>
      </c>
      <c r="B144" s="10">
        <v>120</v>
      </c>
      <c r="C144" s="4" t="b">
        <v>1</v>
      </c>
      <c r="D144" s="4"/>
    </row>
    <row r="145" spans="1:4" ht="25" customHeight="1">
      <c r="A145" s="6" t="s">
        <v>78</v>
      </c>
      <c r="B145" s="9">
        <v>130</v>
      </c>
      <c r="C145" s="7" t="b">
        <v>1</v>
      </c>
      <c r="D145" s="7"/>
    </row>
    <row r="146" spans="1:4" ht="25" customHeight="1">
      <c r="A146" s="3" t="s">
        <v>78</v>
      </c>
      <c r="B146" s="10">
        <v>140</v>
      </c>
      <c r="C146" s="4" t="b">
        <v>1</v>
      </c>
      <c r="D146" s="4"/>
    </row>
    <row r="147" spans="1:4" ht="25" customHeight="1">
      <c r="A147" s="6" t="s">
        <v>78</v>
      </c>
      <c r="B147" s="9">
        <v>150</v>
      </c>
      <c r="C147" s="7" t="b">
        <v>1</v>
      </c>
      <c r="D147" s="7"/>
    </row>
    <row r="148" spans="1:4" ht="25" customHeight="1">
      <c r="A148" s="3" t="s">
        <v>78</v>
      </c>
      <c r="B148" s="10">
        <v>160</v>
      </c>
      <c r="C148" s="4" t="b">
        <v>1</v>
      </c>
      <c r="D148" s="4"/>
    </row>
    <row r="149" spans="1:4" ht="25" customHeight="1">
      <c r="A149" s="6" t="s">
        <v>78</v>
      </c>
      <c r="B149" s="9">
        <v>170</v>
      </c>
      <c r="C149" s="7" t="b">
        <v>1</v>
      </c>
      <c r="D149" s="7"/>
    </row>
    <row r="150" spans="1:4" ht="25" customHeight="1">
      <c r="A150" s="3" t="s">
        <v>78</v>
      </c>
      <c r="B150" s="10">
        <v>180</v>
      </c>
      <c r="C150" s="4" t="b">
        <v>1</v>
      </c>
      <c r="D150" s="4"/>
    </row>
    <row r="151" spans="1:4" ht="25" customHeight="1">
      <c r="A151" s="6" t="s">
        <v>78</v>
      </c>
      <c r="B151" s="9">
        <v>190</v>
      </c>
      <c r="C151" s="7" t="b">
        <v>1</v>
      </c>
      <c r="D151" s="7"/>
    </row>
    <row r="152" spans="1:4" ht="25" customHeight="1">
      <c r="A152" s="3" t="s">
        <v>78</v>
      </c>
      <c r="B152" s="10">
        <v>200</v>
      </c>
      <c r="C152" s="4" t="b">
        <v>1</v>
      </c>
      <c r="D152" s="4"/>
    </row>
    <row r="153" spans="1:4" ht="25" customHeight="1">
      <c r="A153" s="6" t="s">
        <v>78</v>
      </c>
      <c r="B153" s="9">
        <v>210</v>
      </c>
      <c r="C153" s="7" t="b">
        <v>1</v>
      </c>
      <c r="D153" s="7"/>
    </row>
    <row r="154" spans="1:4" ht="25" customHeight="1">
      <c r="A154" s="3" t="s">
        <v>78</v>
      </c>
      <c r="B154" s="10">
        <v>220</v>
      </c>
      <c r="C154" s="4" t="b">
        <v>1</v>
      </c>
      <c r="D154" s="4"/>
    </row>
    <row r="155" spans="1:4" ht="25" customHeight="1">
      <c r="A155" s="6" t="s">
        <v>78</v>
      </c>
      <c r="B155" s="9">
        <v>230</v>
      </c>
      <c r="C155" s="7" t="b">
        <v>1</v>
      </c>
      <c r="D155" s="7"/>
    </row>
    <row r="156" spans="1:4" ht="25" customHeight="1">
      <c r="A156" s="3" t="s">
        <v>78</v>
      </c>
      <c r="B156" s="10">
        <v>240</v>
      </c>
      <c r="C156" s="4" t="b">
        <v>1</v>
      </c>
      <c r="D156" s="4"/>
    </row>
    <row r="157" spans="1:4" ht="25" customHeight="1">
      <c r="A157" s="6" t="s">
        <v>78</v>
      </c>
      <c r="B157" s="9">
        <v>250</v>
      </c>
      <c r="C157" s="7" t="b">
        <v>1</v>
      </c>
      <c r="D157" s="7"/>
    </row>
    <row r="158" spans="1:4" ht="25" customHeight="1">
      <c r="A158" s="3" t="s">
        <v>78</v>
      </c>
      <c r="B158" s="10">
        <v>260</v>
      </c>
      <c r="C158" s="4" t="b">
        <v>1</v>
      </c>
      <c r="D158" s="4"/>
    </row>
    <row r="159" spans="1:4" ht="25" customHeight="1">
      <c r="A159" s="6" t="s">
        <v>78</v>
      </c>
      <c r="B159" s="9">
        <v>270</v>
      </c>
      <c r="C159" s="7" t="b">
        <v>1</v>
      </c>
      <c r="D159" s="7"/>
    </row>
    <row r="160" spans="1:4" ht="25" customHeight="1">
      <c r="A160" s="3" t="s">
        <v>78</v>
      </c>
      <c r="B160" s="10">
        <v>280</v>
      </c>
      <c r="C160" s="4" t="b">
        <v>1</v>
      </c>
      <c r="D160" s="4"/>
    </row>
    <row r="161" spans="1:4" ht="25" customHeight="1">
      <c r="A161" s="6" t="s">
        <v>78</v>
      </c>
      <c r="B161" s="9">
        <v>290</v>
      </c>
      <c r="C161" s="7" t="b">
        <v>1</v>
      </c>
      <c r="D161" s="7"/>
    </row>
    <row r="162" spans="1:4" ht="25" customHeight="1">
      <c r="A162" s="3" t="s">
        <v>78</v>
      </c>
      <c r="B162" s="10">
        <v>300</v>
      </c>
      <c r="C162" s="4" t="b">
        <v>1</v>
      </c>
      <c r="D162" s="4"/>
    </row>
    <row r="163" spans="1:4" ht="25" customHeight="1">
      <c r="A163" s="6" t="s">
        <v>78</v>
      </c>
      <c r="B163" s="9">
        <v>310</v>
      </c>
      <c r="C163" s="7" t="b">
        <v>1</v>
      </c>
      <c r="D163" s="7"/>
    </row>
    <row r="164" spans="1:4" ht="25" customHeight="1">
      <c r="A164" s="3" t="s">
        <v>78</v>
      </c>
      <c r="B164" s="10">
        <v>320</v>
      </c>
      <c r="C164" s="4" t="b">
        <v>1</v>
      </c>
      <c r="D164" s="4"/>
    </row>
    <row r="165" spans="1:4" ht="25" customHeight="1">
      <c r="A165" s="6" t="s">
        <v>78</v>
      </c>
      <c r="B165" s="9">
        <v>330</v>
      </c>
      <c r="C165" s="7" t="b">
        <v>1</v>
      </c>
      <c r="D165" s="7"/>
    </row>
    <row r="166" spans="1:4" ht="25" customHeight="1">
      <c r="A166" s="3" t="s">
        <v>78</v>
      </c>
      <c r="B166" s="10">
        <v>340</v>
      </c>
      <c r="C166" s="4" t="b">
        <v>1</v>
      </c>
      <c r="D166" s="4"/>
    </row>
    <row r="167" spans="1:4" ht="25" customHeight="1">
      <c r="A167" s="6" t="s">
        <v>78</v>
      </c>
      <c r="B167" s="9">
        <v>350</v>
      </c>
      <c r="C167" s="7" t="b">
        <v>1</v>
      </c>
      <c r="D167" s="7"/>
    </row>
    <row r="168" spans="1:4" ht="25" customHeight="1">
      <c r="A168" s="3" t="s">
        <v>78</v>
      </c>
      <c r="B168" s="10">
        <v>360</v>
      </c>
      <c r="C168" s="4" t="b">
        <v>1</v>
      </c>
      <c r="D168" s="4"/>
    </row>
    <row r="169" spans="1:4" ht="25" customHeight="1">
      <c r="A169" s="6" t="s">
        <v>78</v>
      </c>
      <c r="B169" s="9">
        <v>370</v>
      </c>
      <c r="C169" s="7" t="b">
        <v>1</v>
      </c>
      <c r="D169" s="7"/>
    </row>
    <row r="170" spans="1:4" ht="25" customHeight="1">
      <c r="A170" s="3" t="s">
        <v>78</v>
      </c>
      <c r="B170" s="10">
        <v>380</v>
      </c>
      <c r="C170" s="4" t="b">
        <v>1</v>
      </c>
      <c r="D170" s="4"/>
    </row>
    <row r="171" spans="1:4" ht="25" customHeight="1">
      <c r="A171" s="6" t="s">
        <v>78</v>
      </c>
      <c r="B171" s="9">
        <v>390</v>
      </c>
      <c r="C171" s="7" t="b">
        <v>1</v>
      </c>
      <c r="D171" s="7"/>
    </row>
    <row r="172" spans="1:4" ht="25" customHeight="1">
      <c r="A172" s="3" t="s">
        <v>78</v>
      </c>
      <c r="B172" s="10">
        <v>400</v>
      </c>
      <c r="C172" s="4" t="b">
        <v>1</v>
      </c>
      <c r="D172" s="4"/>
    </row>
    <row r="173" spans="1:4" ht="25" customHeight="1">
      <c r="A173" s="6" t="s">
        <v>78</v>
      </c>
      <c r="B173" s="9">
        <v>410</v>
      </c>
      <c r="C173" s="7" t="b">
        <v>1</v>
      </c>
      <c r="D173" s="7"/>
    </row>
    <row r="174" spans="1:4" ht="25" customHeight="1">
      <c r="A174" s="3" t="s">
        <v>78</v>
      </c>
      <c r="B174" s="10">
        <v>420</v>
      </c>
      <c r="C174" s="4" t="b">
        <v>1</v>
      </c>
      <c r="D174" s="4"/>
    </row>
    <row r="175" spans="1:4" ht="25" customHeight="1">
      <c r="A175" s="6" t="s">
        <v>78</v>
      </c>
      <c r="B175" s="9">
        <v>430</v>
      </c>
      <c r="C175" s="7" t="b">
        <v>1</v>
      </c>
      <c r="D175" s="7"/>
    </row>
    <row r="176" spans="1:4" ht="25" customHeight="1">
      <c r="A176" s="3" t="s">
        <v>78</v>
      </c>
      <c r="B176" s="10">
        <v>440</v>
      </c>
      <c r="C176" s="4" t="b">
        <v>1</v>
      </c>
      <c r="D176" s="4"/>
    </row>
    <row r="177" spans="1:4" ht="25" customHeight="1">
      <c r="A177" s="6" t="s">
        <v>78</v>
      </c>
      <c r="B177" s="9">
        <v>450</v>
      </c>
      <c r="C177" s="7" t="b">
        <v>1</v>
      </c>
      <c r="D177" s="7"/>
    </row>
    <row r="178" spans="1:4" ht="25" customHeight="1">
      <c r="A178" s="3" t="s">
        <v>78</v>
      </c>
      <c r="B178" s="10">
        <v>460</v>
      </c>
      <c r="C178" s="4" t="b">
        <v>1</v>
      </c>
      <c r="D178" s="4"/>
    </row>
    <row r="179" spans="1:4" ht="25" customHeight="1">
      <c r="A179" s="6" t="s">
        <v>78</v>
      </c>
      <c r="B179" s="9">
        <v>470</v>
      </c>
      <c r="C179" s="7" t="b">
        <v>1</v>
      </c>
      <c r="D179" s="7"/>
    </row>
    <row r="180" spans="1:4" ht="25" customHeight="1">
      <c r="A180" s="3" t="s">
        <v>78</v>
      </c>
      <c r="B180" s="10">
        <v>480</v>
      </c>
      <c r="C180" s="4" t="b">
        <v>1</v>
      </c>
      <c r="D180" s="4"/>
    </row>
    <row r="181" spans="1:4" ht="25" customHeight="1">
      <c r="A181" s="6" t="s">
        <v>78</v>
      </c>
      <c r="B181" s="9">
        <v>490</v>
      </c>
      <c r="C181" s="7" t="b">
        <v>1</v>
      </c>
      <c r="D181" s="7"/>
    </row>
    <row r="182" spans="1:4" ht="25" customHeight="1">
      <c r="A182" s="3" t="s">
        <v>78</v>
      </c>
      <c r="B182" s="10">
        <v>500</v>
      </c>
      <c r="C182" s="4" t="b">
        <v>1</v>
      </c>
      <c r="D182" s="4"/>
    </row>
    <row r="183" spans="1:4" ht="25" customHeight="1">
      <c r="A183" s="6" t="s">
        <v>78</v>
      </c>
      <c r="B183" s="9">
        <v>510</v>
      </c>
      <c r="C183" s="7" t="b">
        <v>1</v>
      </c>
      <c r="D183" s="7"/>
    </row>
    <row r="184" spans="1:4" ht="25" customHeight="1">
      <c r="A184" s="3" t="s">
        <v>78</v>
      </c>
      <c r="B184" s="10">
        <v>520</v>
      </c>
      <c r="C184" s="4" t="b">
        <v>1</v>
      </c>
      <c r="D184" s="4"/>
    </row>
    <row r="185" spans="1:4" ht="25" customHeight="1">
      <c r="A185" s="6" t="s">
        <v>78</v>
      </c>
      <c r="B185" s="9">
        <v>530</v>
      </c>
      <c r="C185" s="7" t="b">
        <v>1</v>
      </c>
      <c r="D185" s="7"/>
    </row>
    <row r="186" spans="1:4" ht="25" customHeight="1">
      <c r="A186" s="3" t="s">
        <v>78</v>
      </c>
      <c r="B186" s="10">
        <v>540</v>
      </c>
      <c r="C186" s="4" t="b">
        <v>1</v>
      </c>
      <c r="D186" s="4"/>
    </row>
    <row r="187" spans="1:4" ht="25" customHeight="1">
      <c r="A187" s="6" t="s">
        <v>78</v>
      </c>
      <c r="B187" s="9">
        <v>550</v>
      </c>
      <c r="C187" s="7" t="b">
        <v>1</v>
      </c>
      <c r="D187" s="7"/>
    </row>
    <row r="188" spans="1:4" ht="25" customHeight="1">
      <c r="A188" s="3" t="s">
        <v>78</v>
      </c>
      <c r="B188" s="10">
        <v>560</v>
      </c>
      <c r="C188" s="4" t="b">
        <v>1</v>
      </c>
      <c r="D188" s="4"/>
    </row>
    <row r="189" spans="1:4" ht="25" customHeight="1">
      <c r="A189" s="6" t="s">
        <v>78</v>
      </c>
      <c r="B189" s="9">
        <v>570</v>
      </c>
      <c r="C189" s="7" t="b">
        <v>1</v>
      </c>
      <c r="D189" s="7"/>
    </row>
    <row r="190" spans="1:4" ht="25" customHeight="1">
      <c r="A190" s="3" t="s">
        <v>78</v>
      </c>
      <c r="B190" s="10">
        <v>580</v>
      </c>
      <c r="C190" s="4" t="b">
        <v>1</v>
      </c>
      <c r="D190" s="4"/>
    </row>
    <row r="191" spans="1:4" ht="25" customHeight="1">
      <c r="A191" s="6" t="s">
        <v>78</v>
      </c>
      <c r="B191" s="9">
        <v>590</v>
      </c>
      <c r="C191" s="7" t="b">
        <v>1</v>
      </c>
      <c r="D191" s="7"/>
    </row>
    <row r="192" spans="1:4" ht="25" customHeight="1">
      <c r="A192" s="3" t="s">
        <v>78</v>
      </c>
      <c r="B192" s="10">
        <v>600</v>
      </c>
      <c r="C192" s="4" t="b">
        <v>1</v>
      </c>
      <c r="D192" s="4"/>
    </row>
    <row r="193" spans="1:4" ht="25" customHeight="1">
      <c r="A193" s="6" t="s">
        <v>78</v>
      </c>
      <c r="B193" s="9">
        <v>610</v>
      </c>
      <c r="C193" s="7" t="b">
        <v>1</v>
      </c>
      <c r="D193" s="7"/>
    </row>
    <row r="194" spans="1:4" ht="25" customHeight="1">
      <c r="A194" s="3" t="s">
        <v>78</v>
      </c>
      <c r="B194" s="10">
        <v>620</v>
      </c>
      <c r="C194" s="4" t="b">
        <v>1</v>
      </c>
      <c r="D194" s="4"/>
    </row>
    <row r="195" spans="1:4" ht="25" customHeight="1">
      <c r="A195" s="6" t="s">
        <v>78</v>
      </c>
      <c r="B195" s="9">
        <v>630</v>
      </c>
      <c r="C195" s="7" t="b">
        <v>1</v>
      </c>
      <c r="D195" s="7"/>
    </row>
    <row r="196" spans="1:4" ht="25" customHeight="1">
      <c r="A196" s="3" t="s">
        <v>78</v>
      </c>
      <c r="B196" s="10">
        <v>640</v>
      </c>
      <c r="C196" s="4" t="b">
        <v>1</v>
      </c>
      <c r="D196" s="4"/>
    </row>
    <row r="197" spans="1:4" ht="25" customHeight="1">
      <c r="A197" s="6" t="s">
        <v>78</v>
      </c>
      <c r="B197" s="9">
        <v>650</v>
      </c>
      <c r="C197" s="7" t="b">
        <v>1</v>
      </c>
      <c r="D197" s="7"/>
    </row>
    <row r="198" spans="1:4" ht="25" customHeight="1">
      <c r="A198" s="3" t="s">
        <v>78</v>
      </c>
      <c r="B198" s="10">
        <v>660</v>
      </c>
      <c r="C198" s="4" t="b">
        <v>1</v>
      </c>
      <c r="D198" s="4"/>
    </row>
    <row r="199" spans="1:4" ht="25" customHeight="1">
      <c r="A199" s="6" t="s">
        <v>78</v>
      </c>
      <c r="B199" s="9">
        <v>670</v>
      </c>
      <c r="C199" s="7" t="b">
        <v>1</v>
      </c>
      <c r="D199" s="7"/>
    </row>
    <row r="200" spans="1:4" ht="25" customHeight="1">
      <c r="A200" s="3" t="s">
        <v>78</v>
      </c>
      <c r="B200" s="10">
        <v>680</v>
      </c>
      <c r="C200" s="4" t="b">
        <v>1</v>
      </c>
      <c r="D200" s="4"/>
    </row>
    <row r="201" spans="1:4" ht="25" customHeight="1">
      <c r="A201" s="6" t="s">
        <v>78</v>
      </c>
      <c r="B201" s="9">
        <v>690</v>
      </c>
      <c r="C201" s="7" t="b">
        <v>1</v>
      </c>
      <c r="D201" s="7"/>
    </row>
    <row r="202" spans="1:4" ht="25" customHeight="1">
      <c r="A202" s="3" t="s">
        <v>78</v>
      </c>
      <c r="B202" s="10">
        <v>700</v>
      </c>
      <c r="C202" s="4" t="b">
        <v>1</v>
      </c>
      <c r="D202" s="4"/>
    </row>
    <row r="203" spans="1:4" ht="25" customHeight="1">
      <c r="A203" s="6" t="s">
        <v>78</v>
      </c>
      <c r="B203" s="9">
        <v>710</v>
      </c>
      <c r="C203" s="7" t="b">
        <v>1</v>
      </c>
      <c r="D203" s="7"/>
    </row>
    <row r="204" spans="1:4" ht="25" customHeight="1">
      <c r="A204" s="3" t="s">
        <v>78</v>
      </c>
      <c r="B204" s="10">
        <v>720</v>
      </c>
      <c r="C204" s="4" t="b">
        <v>1</v>
      </c>
      <c r="D204" s="4"/>
    </row>
    <row r="205" spans="1:4" ht="25" customHeight="1">
      <c r="A205" s="6" t="s">
        <v>78</v>
      </c>
      <c r="B205" s="9">
        <v>730</v>
      </c>
      <c r="C205" s="7" t="b">
        <v>1</v>
      </c>
      <c r="D205" s="7"/>
    </row>
    <row r="206" spans="1:4" ht="25" customHeight="1">
      <c r="A206" s="3" t="s">
        <v>78</v>
      </c>
      <c r="B206" s="10">
        <v>740</v>
      </c>
      <c r="C206" s="4" t="b">
        <v>1</v>
      </c>
      <c r="D206" s="4"/>
    </row>
    <row r="207" spans="1:4" ht="25" customHeight="1">
      <c r="A207" s="6" t="s">
        <v>78</v>
      </c>
      <c r="B207" s="9">
        <v>750</v>
      </c>
      <c r="C207" s="7" t="b">
        <v>1</v>
      </c>
      <c r="D207" s="7"/>
    </row>
    <row r="208" spans="1:4" ht="25" customHeight="1">
      <c r="A208" s="3" t="s">
        <v>78</v>
      </c>
      <c r="B208" s="10">
        <v>760</v>
      </c>
      <c r="C208" s="4" t="b">
        <v>1</v>
      </c>
      <c r="D208" s="4"/>
    </row>
    <row r="209" spans="1:4" ht="25" customHeight="1">
      <c r="A209" s="6" t="s">
        <v>78</v>
      </c>
      <c r="B209" s="9">
        <v>770</v>
      </c>
      <c r="C209" s="7" t="b">
        <v>1</v>
      </c>
      <c r="D209" s="7"/>
    </row>
    <row r="210" spans="1:4" ht="25" customHeight="1">
      <c r="A210" s="3" t="s">
        <v>78</v>
      </c>
      <c r="B210" s="10">
        <v>780</v>
      </c>
      <c r="C210" s="4" t="b">
        <v>1</v>
      </c>
      <c r="D210" s="4"/>
    </row>
    <row r="211" spans="1:4" ht="25" customHeight="1">
      <c r="A211" s="6" t="s">
        <v>78</v>
      </c>
      <c r="B211" s="9">
        <v>790</v>
      </c>
      <c r="C211" s="7" t="b">
        <v>1</v>
      </c>
      <c r="D211" s="7"/>
    </row>
    <row r="212" spans="1:4" ht="25" customHeight="1">
      <c r="A212" s="3" t="s">
        <v>78</v>
      </c>
      <c r="B212" s="10">
        <v>800</v>
      </c>
      <c r="C212" s="4" t="b">
        <v>1</v>
      </c>
      <c r="D212" s="4"/>
    </row>
    <row r="213" spans="1:4" ht="25" customHeight="1">
      <c r="A213" s="6" t="s">
        <v>78</v>
      </c>
      <c r="B213" s="9">
        <v>810</v>
      </c>
      <c r="C213" s="7" t="b">
        <v>1</v>
      </c>
      <c r="D213" s="7"/>
    </row>
    <row r="214" spans="1:4" ht="25" customHeight="1">
      <c r="A214" s="3" t="s">
        <v>78</v>
      </c>
      <c r="B214" s="10">
        <v>820</v>
      </c>
      <c r="C214" s="4" t="b">
        <v>1</v>
      </c>
      <c r="D214" s="4"/>
    </row>
    <row r="215" spans="1:4" ht="25" customHeight="1">
      <c r="A215" s="6" t="s">
        <v>78</v>
      </c>
      <c r="B215" s="9">
        <v>830</v>
      </c>
      <c r="C215" s="7" t="b">
        <v>1</v>
      </c>
      <c r="D215" s="7"/>
    </row>
    <row r="216" spans="1:4" ht="25" customHeight="1">
      <c r="A216" s="3" t="s">
        <v>78</v>
      </c>
      <c r="B216" s="10">
        <v>840</v>
      </c>
      <c r="C216" s="4" t="b">
        <v>1</v>
      </c>
      <c r="D216" s="4"/>
    </row>
    <row r="217" spans="1:4" ht="25" customHeight="1">
      <c r="A217" s="6" t="s">
        <v>78</v>
      </c>
      <c r="B217" s="9">
        <v>850</v>
      </c>
      <c r="C217" s="7" t="b">
        <v>1</v>
      </c>
      <c r="D217" s="7"/>
    </row>
    <row r="218" spans="1:4" ht="25" customHeight="1">
      <c r="A218" s="3" t="s">
        <v>78</v>
      </c>
      <c r="B218" s="10">
        <v>860</v>
      </c>
      <c r="C218" s="4" t="b">
        <v>1</v>
      </c>
      <c r="D218" s="4"/>
    </row>
    <row r="219" spans="1:4" ht="25" customHeight="1">
      <c r="A219" s="6" t="s">
        <v>78</v>
      </c>
      <c r="B219" s="9">
        <v>870</v>
      </c>
      <c r="C219" s="7" t="b">
        <v>1</v>
      </c>
      <c r="D219" s="7"/>
    </row>
    <row r="220" spans="1:4" ht="25" customHeight="1">
      <c r="A220" s="3" t="s">
        <v>78</v>
      </c>
      <c r="B220" s="10">
        <v>880</v>
      </c>
      <c r="C220" s="4" t="b">
        <v>1</v>
      </c>
      <c r="D220" s="4"/>
    </row>
    <row r="221" spans="1:4" ht="25" customHeight="1">
      <c r="A221" s="6" t="s">
        <v>78</v>
      </c>
      <c r="B221" s="9">
        <v>890</v>
      </c>
      <c r="C221" s="7" t="b">
        <v>1</v>
      </c>
      <c r="D221" s="7"/>
    </row>
    <row r="222" spans="1:4" ht="25" customHeight="1">
      <c r="A222" s="3" t="s">
        <v>78</v>
      </c>
      <c r="B222" s="10">
        <v>900</v>
      </c>
      <c r="C222" s="4" t="b">
        <v>1</v>
      </c>
      <c r="D222" s="4"/>
    </row>
    <row r="223" spans="1:4" ht="25" customHeight="1">
      <c r="A223" s="6" t="s">
        <v>78</v>
      </c>
      <c r="B223" s="9">
        <v>910</v>
      </c>
      <c r="C223" s="7" t="b">
        <v>1</v>
      </c>
      <c r="D223" s="7"/>
    </row>
    <row r="224" spans="1:4" ht="25" customHeight="1">
      <c r="A224" s="3" t="s">
        <v>78</v>
      </c>
      <c r="B224" s="10">
        <v>920</v>
      </c>
      <c r="C224" s="4" t="b">
        <v>1</v>
      </c>
      <c r="D224" s="4"/>
    </row>
    <row r="225" spans="1:4" ht="25" customHeight="1">
      <c r="A225" s="6" t="s">
        <v>78</v>
      </c>
      <c r="B225" s="9">
        <v>930</v>
      </c>
      <c r="C225" s="7" t="b">
        <v>1</v>
      </c>
      <c r="D225" s="7"/>
    </row>
    <row r="226" spans="1:4" ht="25" customHeight="1">
      <c r="A226" s="3" t="s">
        <v>78</v>
      </c>
      <c r="B226" s="10">
        <v>940</v>
      </c>
      <c r="C226" s="4" t="b">
        <v>1</v>
      </c>
      <c r="D226" s="4"/>
    </row>
    <row r="227" spans="1:4" ht="25" customHeight="1">
      <c r="A227" s="6" t="s">
        <v>78</v>
      </c>
      <c r="B227" s="9">
        <v>950</v>
      </c>
      <c r="C227" s="7" t="b">
        <v>1</v>
      </c>
      <c r="D227" s="7"/>
    </row>
    <row r="228" spans="1:4" ht="25" customHeight="1">
      <c r="A228" s="3" t="s">
        <v>78</v>
      </c>
      <c r="B228" s="10">
        <v>960</v>
      </c>
      <c r="C228" s="4" t="b">
        <v>1</v>
      </c>
      <c r="D228" s="4"/>
    </row>
    <row r="229" spans="1:4" ht="25" customHeight="1">
      <c r="A229" s="6" t="s">
        <v>78</v>
      </c>
      <c r="B229" s="9">
        <v>970</v>
      </c>
      <c r="C229" s="7" t="b">
        <v>1</v>
      </c>
      <c r="D229" s="7"/>
    </row>
    <row r="230" spans="1:4" ht="25" customHeight="1">
      <c r="A230" s="3" t="s">
        <v>78</v>
      </c>
      <c r="B230" s="10">
        <v>980</v>
      </c>
      <c r="C230" s="4" t="b">
        <v>1</v>
      </c>
      <c r="D230" s="4"/>
    </row>
    <row r="231" spans="1:4" ht="25" customHeight="1">
      <c r="A231" s="6" t="s">
        <v>78</v>
      </c>
      <c r="B231" s="9">
        <v>990</v>
      </c>
      <c r="C231" s="7" t="b">
        <v>1</v>
      </c>
      <c r="D231" s="7"/>
    </row>
    <row r="232" spans="1:4" ht="25" customHeight="1">
      <c r="A232" s="3" t="s">
        <v>78</v>
      </c>
      <c r="B232" s="10">
        <v>1000</v>
      </c>
      <c r="C232" s="4" t="b">
        <v>1</v>
      </c>
      <c r="D232" s="4"/>
    </row>
    <row r="233" spans="1:4" ht="25" customHeight="1">
      <c r="A233" s="6" t="s">
        <v>78</v>
      </c>
      <c r="B233" s="9">
        <v>1010</v>
      </c>
      <c r="C233" s="7" t="b">
        <v>1</v>
      </c>
      <c r="D233" s="7"/>
    </row>
    <row r="234" spans="1:4" ht="25" customHeight="1">
      <c r="A234" s="3" t="s">
        <v>78</v>
      </c>
      <c r="B234" s="10">
        <v>1020</v>
      </c>
      <c r="C234" s="4" t="b">
        <v>1</v>
      </c>
      <c r="D234" s="4"/>
    </row>
    <row r="235" spans="1:4" ht="25" customHeight="1">
      <c r="A235" s="6" t="s">
        <v>78</v>
      </c>
      <c r="B235" s="9">
        <v>1030</v>
      </c>
      <c r="C235" s="7" t="b">
        <v>1</v>
      </c>
      <c r="D235" s="7"/>
    </row>
    <row r="236" spans="1:4" ht="25" customHeight="1">
      <c r="A236" s="3" t="s">
        <v>78</v>
      </c>
      <c r="B236" s="10">
        <v>1040</v>
      </c>
      <c r="C236" s="4" t="b">
        <v>1</v>
      </c>
      <c r="D236" s="4"/>
    </row>
    <row r="237" spans="1:4" ht="25" customHeight="1">
      <c r="A237" s="6" t="s">
        <v>78</v>
      </c>
      <c r="B237" s="9">
        <v>1050</v>
      </c>
      <c r="C237" s="7" t="b">
        <v>1</v>
      </c>
      <c r="D237" s="7"/>
    </row>
    <row r="238" spans="1:4" ht="25" customHeight="1">
      <c r="A238" s="3" t="s">
        <v>78</v>
      </c>
      <c r="B238" s="10">
        <v>1060</v>
      </c>
      <c r="C238" s="4" t="b">
        <v>1</v>
      </c>
      <c r="D238" s="4"/>
    </row>
    <row r="239" spans="1:4" ht="25" customHeight="1">
      <c r="A239" s="6" t="s">
        <v>78</v>
      </c>
      <c r="B239" s="9">
        <v>1070</v>
      </c>
      <c r="C239" s="7" t="b">
        <v>1</v>
      </c>
      <c r="D239" s="7"/>
    </row>
    <row r="240" spans="1:4" ht="25" customHeight="1">
      <c r="A240" s="3" t="s">
        <v>78</v>
      </c>
      <c r="B240" s="10">
        <v>1080</v>
      </c>
      <c r="C240" s="4" t="b">
        <v>1</v>
      </c>
      <c r="D240" s="4"/>
    </row>
    <row r="241" spans="1:4" ht="25" customHeight="1">
      <c r="A241" s="6" t="s">
        <v>78</v>
      </c>
      <c r="B241" s="9">
        <v>1090</v>
      </c>
      <c r="C241" s="7" t="b">
        <v>1</v>
      </c>
      <c r="D241" s="7"/>
    </row>
    <row r="242" spans="1:4" ht="25" customHeight="1">
      <c r="A242" s="3" t="s">
        <v>78</v>
      </c>
      <c r="B242" s="10">
        <v>1100</v>
      </c>
      <c r="C242" s="4" t="b">
        <v>1</v>
      </c>
      <c r="D242" s="4"/>
    </row>
    <row r="243" spans="1:4" ht="25" customHeight="1">
      <c r="A243" s="6" t="s">
        <v>78</v>
      </c>
      <c r="B243" s="9">
        <v>1110</v>
      </c>
      <c r="C243" s="7" t="b">
        <v>1</v>
      </c>
      <c r="D243" s="7"/>
    </row>
    <row r="244" spans="1:4" ht="25" customHeight="1">
      <c r="A244" s="3" t="s">
        <v>78</v>
      </c>
      <c r="B244" s="10">
        <v>1120</v>
      </c>
      <c r="C244" s="4" t="b">
        <v>1</v>
      </c>
      <c r="D244" s="4"/>
    </row>
    <row r="245" spans="1:4" ht="25" customHeight="1">
      <c r="A245" s="6" t="s">
        <v>78</v>
      </c>
      <c r="B245" s="9">
        <v>1130</v>
      </c>
      <c r="C245" s="7" t="b">
        <v>1</v>
      </c>
      <c r="D245" s="7"/>
    </row>
    <row r="246" spans="1:4" ht="25" customHeight="1">
      <c r="A246" s="3" t="s">
        <v>78</v>
      </c>
      <c r="B246" s="10">
        <v>1140</v>
      </c>
      <c r="C246" s="4" t="b">
        <v>1</v>
      </c>
      <c r="D246" s="4"/>
    </row>
    <row r="247" spans="1:4" ht="25" customHeight="1">
      <c r="A247" s="6" t="s">
        <v>78</v>
      </c>
      <c r="B247" s="9">
        <v>1150</v>
      </c>
      <c r="C247" s="7" t="b">
        <v>1</v>
      </c>
      <c r="D247" s="7"/>
    </row>
    <row r="248" spans="1:4" ht="25" customHeight="1">
      <c r="A248" s="3" t="s">
        <v>78</v>
      </c>
      <c r="B248" s="10">
        <v>1160</v>
      </c>
      <c r="C248" s="4" t="b">
        <v>1</v>
      </c>
      <c r="D248" s="4"/>
    </row>
    <row r="249" spans="1:4" ht="25" customHeight="1">
      <c r="A249" s="6" t="s">
        <v>78</v>
      </c>
      <c r="B249" s="9">
        <v>1170</v>
      </c>
      <c r="C249" s="7" t="b">
        <v>1</v>
      </c>
      <c r="D249" s="7"/>
    </row>
    <row r="250" spans="1:4" ht="25" customHeight="1">
      <c r="A250" s="3" t="s">
        <v>78</v>
      </c>
      <c r="B250" s="10">
        <v>1180</v>
      </c>
      <c r="C250" s="4" t="b">
        <v>1</v>
      </c>
      <c r="D250" s="4"/>
    </row>
    <row r="251" spans="1:4" ht="25" customHeight="1">
      <c r="A251" s="6" t="s">
        <v>78</v>
      </c>
      <c r="B251" s="9">
        <v>1190</v>
      </c>
      <c r="C251" s="7" t="b">
        <v>1</v>
      </c>
      <c r="D251" s="7"/>
    </row>
    <row r="252" spans="1:4" ht="25" customHeight="1">
      <c r="A252" s="3" t="s">
        <v>78</v>
      </c>
      <c r="B252" s="10">
        <v>1200</v>
      </c>
      <c r="C252" s="4" t="b">
        <v>1</v>
      </c>
      <c r="D252" s="4"/>
    </row>
    <row r="253" spans="1:4" ht="25" customHeight="1">
      <c r="A253" s="6" t="s">
        <v>78</v>
      </c>
      <c r="B253" s="9">
        <v>1210</v>
      </c>
      <c r="C253" s="7" t="b">
        <v>1</v>
      </c>
      <c r="D253" s="7"/>
    </row>
    <row r="254" spans="1:4" ht="25" customHeight="1">
      <c r="A254" s="3" t="s">
        <v>78</v>
      </c>
      <c r="B254" s="10">
        <v>1220</v>
      </c>
      <c r="C254" s="4" t="b">
        <v>1</v>
      </c>
      <c r="D254" s="4"/>
    </row>
    <row r="255" spans="1:4" ht="25" customHeight="1">
      <c r="A255" s="6" t="s">
        <v>78</v>
      </c>
      <c r="B255" s="9">
        <v>1230</v>
      </c>
      <c r="C255" s="7" t="b">
        <v>1</v>
      </c>
      <c r="D255" s="7"/>
    </row>
    <row r="256" spans="1:4" ht="25" customHeight="1">
      <c r="A256" s="3" t="s">
        <v>78</v>
      </c>
      <c r="B256" s="10">
        <v>1240</v>
      </c>
      <c r="C256" s="4" t="b">
        <v>1</v>
      </c>
      <c r="D256" s="4"/>
    </row>
    <row r="257" spans="1:4" ht="25" customHeight="1">
      <c r="A257" s="6" t="s">
        <v>78</v>
      </c>
      <c r="B257" s="9">
        <v>1250</v>
      </c>
      <c r="C257" s="7" t="b">
        <v>1</v>
      </c>
      <c r="D257" s="7"/>
    </row>
    <row r="258" spans="1:4" ht="25" customHeight="1">
      <c r="A258" s="3" t="s">
        <v>78</v>
      </c>
      <c r="B258" s="10">
        <v>1260</v>
      </c>
      <c r="C258" s="4" t="b">
        <v>1</v>
      </c>
      <c r="D258" s="4"/>
    </row>
    <row r="259" spans="1:4" ht="25" customHeight="1">
      <c r="A259" s="6" t="s">
        <v>78</v>
      </c>
      <c r="B259" s="9">
        <v>1270</v>
      </c>
      <c r="C259" s="7" t="b">
        <v>1</v>
      </c>
      <c r="D259" s="7"/>
    </row>
    <row r="260" spans="1:4" ht="25" customHeight="1">
      <c r="A260" s="3" t="s">
        <v>78</v>
      </c>
      <c r="B260" s="10">
        <v>1280</v>
      </c>
      <c r="C260" s="4" t="b">
        <v>1</v>
      </c>
      <c r="D260" s="4"/>
    </row>
    <row r="261" spans="1:4" ht="25" customHeight="1">
      <c r="A261" s="6" t="s">
        <v>78</v>
      </c>
      <c r="B261" s="9">
        <v>1290</v>
      </c>
      <c r="C261" s="7" t="b">
        <v>1</v>
      </c>
      <c r="D261" s="7"/>
    </row>
    <row r="262" spans="1:4" ht="25" customHeight="1">
      <c r="A262" s="3" t="s">
        <v>78</v>
      </c>
      <c r="B262" s="10">
        <v>1300</v>
      </c>
      <c r="C262" s="4" t="b">
        <v>1</v>
      </c>
      <c r="D262" s="4"/>
    </row>
    <row r="263" spans="1:4" ht="25" customHeight="1">
      <c r="A263" s="6" t="s">
        <v>78</v>
      </c>
      <c r="B263" s="9">
        <v>1310</v>
      </c>
      <c r="C263" s="7" t="b">
        <v>1</v>
      </c>
      <c r="D263" s="7"/>
    </row>
    <row r="264" spans="1:4" ht="25" customHeight="1">
      <c r="A264" s="3" t="s">
        <v>78</v>
      </c>
      <c r="B264" s="10">
        <v>1320</v>
      </c>
      <c r="C264" s="4" t="b">
        <v>1</v>
      </c>
      <c r="D264" s="4"/>
    </row>
    <row r="265" spans="1:4" ht="25" customHeight="1">
      <c r="A265" s="6" t="s">
        <v>78</v>
      </c>
      <c r="B265" s="9">
        <v>1330</v>
      </c>
      <c r="C265" s="7" t="b">
        <v>1</v>
      </c>
      <c r="D265" s="7"/>
    </row>
    <row r="266" spans="1:4" ht="25" customHeight="1">
      <c r="A266" s="3" t="s">
        <v>78</v>
      </c>
      <c r="B266" s="10">
        <v>1340</v>
      </c>
      <c r="C266" s="4" t="b">
        <v>1</v>
      </c>
      <c r="D266" s="4"/>
    </row>
    <row r="267" spans="1:4" ht="25" customHeight="1">
      <c r="A267" s="6" t="s">
        <v>78</v>
      </c>
      <c r="B267" s="9">
        <v>1350</v>
      </c>
      <c r="C267" s="7" t="b">
        <v>1</v>
      </c>
      <c r="D267" s="7"/>
    </row>
    <row r="268" spans="1:4" ht="25" customHeight="1">
      <c r="A268" s="3" t="s">
        <v>78</v>
      </c>
      <c r="B268" s="10">
        <v>1360</v>
      </c>
      <c r="C268" s="4" t="b">
        <v>1</v>
      </c>
      <c r="D268" s="4"/>
    </row>
    <row r="269" spans="1:4" ht="25" customHeight="1">
      <c r="A269" s="6" t="s">
        <v>78</v>
      </c>
      <c r="B269" s="9">
        <v>1370</v>
      </c>
      <c r="C269" s="7" t="b">
        <v>1</v>
      </c>
      <c r="D269" s="7"/>
    </row>
    <row r="270" spans="1:4" ht="25" customHeight="1">
      <c r="A270" s="3" t="s">
        <v>78</v>
      </c>
      <c r="B270" s="10">
        <v>1380</v>
      </c>
      <c r="C270" s="4" t="b">
        <v>1</v>
      </c>
      <c r="D270" s="4"/>
    </row>
    <row r="271" spans="1:4" ht="25" customHeight="1">
      <c r="A271" s="6" t="s">
        <v>78</v>
      </c>
      <c r="B271" s="9">
        <v>1390</v>
      </c>
      <c r="C271" s="7" t="b">
        <v>1</v>
      </c>
      <c r="D271" s="7"/>
    </row>
    <row r="272" spans="1:4" ht="25" customHeight="1">
      <c r="A272" s="3" t="s">
        <v>78</v>
      </c>
      <c r="B272" s="10">
        <v>1400</v>
      </c>
      <c r="C272" s="4" t="b">
        <v>1</v>
      </c>
      <c r="D272" s="4"/>
    </row>
    <row r="273" spans="1:4" ht="25" customHeight="1">
      <c r="A273" s="6" t="s">
        <v>78</v>
      </c>
      <c r="B273" s="9">
        <v>1410</v>
      </c>
      <c r="C273" s="7" t="b">
        <v>1</v>
      </c>
      <c r="D273" s="7"/>
    </row>
    <row r="274" spans="1:4" ht="25" customHeight="1">
      <c r="A274" s="3" t="s">
        <v>78</v>
      </c>
      <c r="B274" s="10">
        <v>1420</v>
      </c>
      <c r="C274" s="4" t="b">
        <v>1</v>
      </c>
      <c r="D274" s="4"/>
    </row>
    <row r="275" spans="1:4" ht="25" customHeight="1">
      <c r="A275" s="6" t="s">
        <v>78</v>
      </c>
      <c r="B275" s="9">
        <v>1430</v>
      </c>
      <c r="C275" s="7" t="b">
        <v>1</v>
      </c>
      <c r="D275" s="7"/>
    </row>
    <row r="276" spans="1:4" ht="25" customHeight="1">
      <c r="A276" s="3" t="s">
        <v>78</v>
      </c>
      <c r="B276" s="10">
        <v>1440</v>
      </c>
      <c r="C276" s="4" t="b">
        <v>1</v>
      </c>
      <c r="D276" s="4"/>
    </row>
    <row r="277" spans="1:4" ht="25" customHeight="1">
      <c r="A277" s="6" t="s">
        <v>78</v>
      </c>
      <c r="B277" s="9">
        <v>1450</v>
      </c>
      <c r="C277" s="7" t="b">
        <v>1</v>
      </c>
      <c r="D277" s="7"/>
    </row>
    <row r="278" spans="1:4" ht="25" customHeight="1">
      <c r="A278" s="3" t="s">
        <v>78</v>
      </c>
      <c r="B278" s="10">
        <v>1460</v>
      </c>
      <c r="C278" s="4" t="b">
        <v>1</v>
      </c>
      <c r="D278" s="4"/>
    </row>
    <row r="279" spans="1:4" ht="25" customHeight="1">
      <c r="A279" s="6" t="s">
        <v>78</v>
      </c>
      <c r="B279" s="9">
        <v>1470</v>
      </c>
      <c r="C279" s="7" t="b">
        <v>1</v>
      </c>
      <c r="D279" s="7"/>
    </row>
    <row r="280" spans="1:4" ht="25" customHeight="1">
      <c r="A280" s="3" t="s">
        <v>78</v>
      </c>
      <c r="B280" s="10">
        <v>1480</v>
      </c>
      <c r="C280" s="4" t="b">
        <v>1</v>
      </c>
      <c r="D280" s="4"/>
    </row>
    <row r="281" spans="1:4" ht="25" customHeight="1">
      <c r="A281" s="6" t="s">
        <v>78</v>
      </c>
      <c r="B281" s="9">
        <v>1490</v>
      </c>
      <c r="C281" s="7" t="b">
        <v>1</v>
      </c>
      <c r="D281" s="7"/>
    </row>
    <row r="282" spans="1:4" ht="25" customHeight="1">
      <c r="A282" s="3" t="s">
        <v>78</v>
      </c>
      <c r="B282" s="10">
        <v>1500</v>
      </c>
      <c r="C282" s="4" t="b">
        <v>1</v>
      </c>
      <c r="D282" s="4"/>
    </row>
    <row r="283" spans="1:4" ht="25" customHeight="1">
      <c r="A283" s="6" t="s">
        <v>78</v>
      </c>
      <c r="B283" s="9">
        <v>1510</v>
      </c>
      <c r="C283" s="7" t="b">
        <v>1</v>
      </c>
      <c r="D283" s="7"/>
    </row>
    <row r="284" spans="1:4" ht="25" customHeight="1">
      <c r="A284" s="3" t="s">
        <v>78</v>
      </c>
      <c r="B284" s="10">
        <v>1520</v>
      </c>
      <c r="C284" s="4" t="b">
        <v>1</v>
      </c>
      <c r="D284" s="4"/>
    </row>
    <row r="285" spans="1:4" ht="25" customHeight="1">
      <c r="A285" s="6" t="s">
        <v>78</v>
      </c>
      <c r="B285" s="9">
        <v>1530</v>
      </c>
      <c r="C285" s="7" t="b">
        <v>1</v>
      </c>
      <c r="D285" s="7"/>
    </row>
    <row r="286" spans="1:4" ht="25" customHeight="1">
      <c r="A286" s="3" t="s">
        <v>78</v>
      </c>
      <c r="B286" s="10">
        <v>1540</v>
      </c>
      <c r="C286" s="4" t="b">
        <v>1</v>
      </c>
      <c r="D286" s="4"/>
    </row>
    <row r="287" spans="1:4" ht="25" customHeight="1">
      <c r="A287" s="6" t="s">
        <v>78</v>
      </c>
      <c r="B287" s="9">
        <v>1550</v>
      </c>
      <c r="C287" s="7" t="b">
        <v>1</v>
      </c>
      <c r="D287" s="7"/>
    </row>
    <row r="288" spans="1:4" ht="25" customHeight="1">
      <c r="A288" s="3" t="s">
        <v>78</v>
      </c>
      <c r="B288" s="10">
        <v>1560</v>
      </c>
      <c r="C288" s="4" t="b">
        <v>1</v>
      </c>
      <c r="D288" s="4"/>
    </row>
    <row r="289" spans="1:4" ht="25" customHeight="1">
      <c r="A289" s="6" t="s">
        <v>78</v>
      </c>
      <c r="B289" s="9">
        <v>1570</v>
      </c>
      <c r="C289" s="7" t="b">
        <v>1</v>
      </c>
      <c r="D289" s="7"/>
    </row>
    <row r="290" spans="1:4" ht="25" customHeight="1">
      <c r="A290" s="3" t="s">
        <v>78</v>
      </c>
      <c r="B290" s="10">
        <v>1580</v>
      </c>
      <c r="C290" s="4" t="b">
        <v>1</v>
      </c>
      <c r="D290" s="4"/>
    </row>
    <row r="291" spans="1:4" ht="25" customHeight="1">
      <c r="A291" s="6" t="s">
        <v>78</v>
      </c>
      <c r="B291" s="9">
        <v>1590</v>
      </c>
      <c r="C291" s="7" t="b">
        <v>1</v>
      </c>
      <c r="D291" s="7"/>
    </row>
    <row r="292" spans="1:4" ht="25" customHeight="1">
      <c r="A292" s="3" t="s">
        <v>78</v>
      </c>
      <c r="B292" s="10">
        <v>1600</v>
      </c>
      <c r="C292" s="4" t="b">
        <v>1</v>
      </c>
      <c r="D292" s="4"/>
    </row>
    <row r="293" spans="1:4" ht="25" customHeight="1">
      <c r="A293" s="6" t="s">
        <v>78</v>
      </c>
      <c r="B293" s="9">
        <v>1610</v>
      </c>
      <c r="C293" s="7" t="b">
        <v>1</v>
      </c>
      <c r="D293" s="7"/>
    </row>
    <row r="294" spans="1:4" ht="25" customHeight="1">
      <c r="A294" s="3" t="s">
        <v>78</v>
      </c>
      <c r="B294" s="10">
        <v>1620</v>
      </c>
      <c r="C294" s="4" t="b">
        <v>1</v>
      </c>
      <c r="D294" s="4"/>
    </row>
    <row r="295" spans="1:4" ht="25" customHeight="1">
      <c r="A295" s="6" t="s">
        <v>78</v>
      </c>
      <c r="B295" s="9">
        <v>1630</v>
      </c>
      <c r="C295" s="7" t="b">
        <v>1</v>
      </c>
      <c r="D295" s="7"/>
    </row>
    <row r="296" spans="1:4" ht="25" customHeight="1">
      <c r="A296" s="3" t="s">
        <v>78</v>
      </c>
      <c r="B296" s="10">
        <v>1640</v>
      </c>
      <c r="C296" s="4" t="b">
        <v>1</v>
      </c>
      <c r="D296" s="4"/>
    </row>
    <row r="297" spans="1:4" ht="25" customHeight="1">
      <c r="A297" s="6" t="s">
        <v>78</v>
      </c>
      <c r="B297" s="9">
        <v>1650</v>
      </c>
      <c r="C297" s="7" t="b">
        <v>1</v>
      </c>
      <c r="D297" s="7"/>
    </row>
    <row r="298" spans="1:4" ht="25" customHeight="1">
      <c r="A298" s="3" t="s">
        <v>78</v>
      </c>
      <c r="B298" s="10">
        <v>1660</v>
      </c>
      <c r="C298" s="4" t="b">
        <v>1</v>
      </c>
      <c r="D298" s="4"/>
    </row>
    <row r="299" spans="1:4" ht="25" customHeight="1">
      <c r="A299" s="6" t="s">
        <v>78</v>
      </c>
      <c r="B299" s="9">
        <v>1670</v>
      </c>
      <c r="C299" s="7" t="b">
        <v>1</v>
      </c>
      <c r="D299" s="7"/>
    </row>
    <row r="300" spans="1:4" ht="25" customHeight="1">
      <c r="A300" s="3" t="s">
        <v>78</v>
      </c>
      <c r="B300" s="10">
        <v>1680</v>
      </c>
      <c r="C300" s="4" t="b">
        <v>1</v>
      </c>
      <c r="D300" s="4"/>
    </row>
    <row r="301" spans="1:4" ht="25" customHeight="1">
      <c r="A301" s="6" t="s">
        <v>78</v>
      </c>
      <c r="B301" s="9">
        <v>1690</v>
      </c>
      <c r="C301" s="7" t="b">
        <v>1</v>
      </c>
      <c r="D301" s="7"/>
    </row>
    <row r="302" spans="1:4" ht="25" customHeight="1">
      <c r="A302" s="3" t="s">
        <v>78</v>
      </c>
      <c r="B302" s="10">
        <v>1700</v>
      </c>
      <c r="C302" s="4" t="b">
        <v>1</v>
      </c>
      <c r="D302" s="4"/>
    </row>
    <row r="303" spans="1:4" ht="25" customHeight="1">
      <c r="A303" s="6" t="s">
        <v>78</v>
      </c>
      <c r="B303" s="9">
        <v>1710</v>
      </c>
      <c r="C303" s="7" t="b">
        <v>1</v>
      </c>
      <c r="D303" s="7"/>
    </row>
    <row r="304" spans="1:4" ht="25" customHeight="1">
      <c r="A304" s="3" t="s">
        <v>78</v>
      </c>
      <c r="B304" s="10">
        <v>1720</v>
      </c>
      <c r="C304" s="4" t="b">
        <v>1</v>
      </c>
      <c r="D304" s="4"/>
    </row>
    <row r="305" spans="1:4" ht="25" customHeight="1">
      <c r="A305" s="6" t="s">
        <v>78</v>
      </c>
      <c r="B305" s="9">
        <v>1730</v>
      </c>
      <c r="C305" s="7" t="b">
        <v>1</v>
      </c>
      <c r="D305" s="7"/>
    </row>
    <row r="306" spans="1:4" ht="25" customHeight="1">
      <c r="A306" s="3" t="s">
        <v>78</v>
      </c>
      <c r="B306" s="10">
        <v>1740</v>
      </c>
      <c r="C306" s="4" t="b">
        <v>1</v>
      </c>
      <c r="D306" s="4"/>
    </row>
    <row r="307" spans="1:4" ht="25" customHeight="1">
      <c r="A307" s="6" t="s">
        <v>78</v>
      </c>
      <c r="B307" s="9">
        <v>1750</v>
      </c>
      <c r="C307" s="7" t="b">
        <v>1</v>
      </c>
      <c r="D307" s="7"/>
    </row>
    <row r="308" spans="1:4" ht="25" customHeight="1">
      <c r="A308" s="3" t="s">
        <v>78</v>
      </c>
      <c r="B308" s="10">
        <v>1760</v>
      </c>
      <c r="C308" s="4" t="b">
        <v>1</v>
      </c>
      <c r="D308" s="4"/>
    </row>
    <row r="309" spans="1:4" ht="25" customHeight="1">
      <c r="A309" s="6" t="s">
        <v>78</v>
      </c>
      <c r="B309" s="9">
        <v>1761</v>
      </c>
      <c r="C309" s="7" t="b">
        <v>1</v>
      </c>
      <c r="D309" s="7"/>
    </row>
    <row r="310" spans="1:4" ht="25" customHeight="1">
      <c r="A310" s="3" t="s">
        <v>78</v>
      </c>
      <c r="B310" s="10">
        <v>1762</v>
      </c>
      <c r="C310" s="4" t="b">
        <v>1</v>
      </c>
      <c r="D310" s="4"/>
    </row>
    <row r="311" spans="1:4" ht="25" customHeight="1">
      <c r="A311" s="6" t="s">
        <v>78</v>
      </c>
      <c r="B311" s="9">
        <v>1763</v>
      </c>
      <c r="C311" s="7" t="b">
        <v>1</v>
      </c>
      <c r="D311" s="7"/>
    </row>
    <row r="312" spans="1:4" ht="25" customHeight="1">
      <c r="A312" s="3" t="s">
        <v>78</v>
      </c>
      <c r="B312" s="10">
        <v>1764</v>
      </c>
      <c r="C312" s="4" t="b">
        <v>1</v>
      </c>
      <c r="D312" s="4"/>
    </row>
    <row r="313" spans="1:4" ht="25" customHeight="1">
      <c r="A313" s="6" t="s">
        <v>78</v>
      </c>
      <c r="B313" s="9">
        <v>1765</v>
      </c>
      <c r="C313" s="7" t="b">
        <v>0</v>
      </c>
      <c r="D313" s="7" t="s">
        <v>91</v>
      </c>
    </row>
    <row r="314" spans="1:4" ht="25" customHeight="1">
      <c r="A314" s="3" t="s">
        <v>78</v>
      </c>
      <c r="B314" s="10">
        <v>1766</v>
      </c>
      <c r="C314" s="4" t="b">
        <v>0</v>
      </c>
      <c r="D314" s="4" t="s">
        <v>91</v>
      </c>
    </row>
    <row r="315" spans="1:4" ht="25" customHeight="1">
      <c r="A315" s="6" t="s">
        <v>78</v>
      </c>
      <c r="B315" s="9">
        <v>1767</v>
      </c>
      <c r="C315" s="7" t="b">
        <v>0</v>
      </c>
      <c r="D315" s="7" t="s">
        <v>91</v>
      </c>
    </row>
    <row r="316" spans="1:4" ht="25" customHeight="1">
      <c r="A316" s="3" t="s">
        <v>78</v>
      </c>
      <c r="B316" s="10">
        <v>1768</v>
      </c>
      <c r="C316" s="4" t="b">
        <v>0</v>
      </c>
      <c r="D316" s="4" t="s">
        <v>91</v>
      </c>
    </row>
    <row r="317" spans="1:4" ht="25" customHeight="1">
      <c r="A317" s="6" t="s">
        <v>78</v>
      </c>
      <c r="B317" s="9">
        <v>1769</v>
      </c>
      <c r="C317" s="7" t="b">
        <v>0</v>
      </c>
      <c r="D317" s="7" t="s">
        <v>91</v>
      </c>
    </row>
    <row r="318" spans="1:4" ht="25" customHeight="1">
      <c r="A318" s="3" t="s">
        <v>78</v>
      </c>
      <c r="B318" s="10">
        <v>1770</v>
      </c>
      <c r="C318" s="4" t="b">
        <v>0</v>
      </c>
      <c r="D318" s="4" t="s">
        <v>91</v>
      </c>
    </row>
    <row r="319" spans="1:4" ht="25" customHeight="1">
      <c r="A319" s="6" t="s">
        <v>78</v>
      </c>
      <c r="B319" s="9">
        <v>1780</v>
      </c>
      <c r="C319" s="7" t="b">
        <v>0</v>
      </c>
      <c r="D319" s="7" t="s">
        <v>91</v>
      </c>
    </row>
    <row r="320" spans="1:4" ht="25" customHeight="1">
      <c r="A320" s="3" t="s">
        <v>78</v>
      </c>
      <c r="B320" s="10">
        <v>1790</v>
      </c>
      <c r="C320" s="4" t="b">
        <v>0</v>
      </c>
      <c r="D320" s="4" t="s">
        <v>91</v>
      </c>
    </row>
    <row r="321" spans="1:4" ht="25" customHeight="1">
      <c r="A321" s="6" t="s">
        <v>78</v>
      </c>
      <c r="B321" s="9">
        <v>1800</v>
      </c>
      <c r="C321" s="7" t="b">
        <v>0</v>
      </c>
      <c r="D321" s="7" t="s">
        <v>91</v>
      </c>
    </row>
    <row r="322" spans="1:4" ht="25" customHeight="1">
      <c r="A322" s="3" t="s">
        <v>78</v>
      </c>
      <c r="B322" s="10">
        <v>1810</v>
      </c>
      <c r="C322" s="4" t="b">
        <v>0</v>
      </c>
      <c r="D322" s="4" t="s">
        <v>91</v>
      </c>
    </row>
    <row r="323" spans="1:4" ht="25" customHeight="1">
      <c r="A323" s="6" t="s">
        <v>78</v>
      </c>
      <c r="B323" s="9">
        <v>1820</v>
      </c>
      <c r="C323" s="7" t="b">
        <v>0</v>
      </c>
      <c r="D323" s="7" t="s">
        <v>91</v>
      </c>
    </row>
    <row r="324" spans="1:4" ht="25" customHeight="1">
      <c r="A324" s="3" t="s">
        <v>78</v>
      </c>
      <c r="B324" s="10">
        <v>1830</v>
      </c>
      <c r="C324" s="4" t="b">
        <v>0</v>
      </c>
      <c r="D324" s="4" t="s">
        <v>91</v>
      </c>
    </row>
    <row r="325" spans="1:4" ht="25" customHeight="1">
      <c r="A325" s="6" t="s">
        <v>78</v>
      </c>
      <c r="B325" s="9">
        <v>1840</v>
      </c>
      <c r="C325" s="7" t="b">
        <v>0</v>
      </c>
      <c r="D325" s="7" t="s">
        <v>91</v>
      </c>
    </row>
    <row r="326" spans="1:4" ht="25" customHeight="1">
      <c r="A326" s="3" t="s">
        <v>78</v>
      </c>
      <c r="B326" s="10">
        <v>1850</v>
      </c>
      <c r="C326" s="4" t="b">
        <v>0</v>
      </c>
      <c r="D326" s="4" t="s">
        <v>91</v>
      </c>
    </row>
    <row r="327" spans="1:4" ht="25" customHeight="1">
      <c r="A327" s="6" t="s">
        <v>78</v>
      </c>
      <c r="B327" s="9">
        <v>1860</v>
      </c>
      <c r="C327" s="7" t="b">
        <v>0</v>
      </c>
      <c r="D327" s="7" t="s">
        <v>91</v>
      </c>
    </row>
    <row r="328" spans="1:4" ht="25" customHeight="1">
      <c r="A328" s="3" t="s">
        <v>78</v>
      </c>
      <c r="B328" s="10">
        <v>1870</v>
      </c>
      <c r="C328" s="4" t="b">
        <v>0</v>
      </c>
      <c r="D328" s="4" t="s">
        <v>91</v>
      </c>
    </row>
    <row r="329" spans="1:4" ht="25" customHeight="1">
      <c r="A329" s="6" t="s">
        <v>78</v>
      </c>
      <c r="B329" s="9">
        <v>1880</v>
      </c>
      <c r="C329" s="7" t="b">
        <v>0</v>
      </c>
      <c r="D329" s="7" t="s">
        <v>91</v>
      </c>
    </row>
    <row r="330" spans="1:4" ht="25" customHeight="1">
      <c r="A330" s="3" t="s">
        <v>78</v>
      </c>
      <c r="B330" s="10">
        <v>1890</v>
      </c>
      <c r="C330" s="4" t="b">
        <v>0</v>
      </c>
      <c r="D330" s="4" t="s">
        <v>91</v>
      </c>
    </row>
    <row r="331" spans="1:4" ht="25" customHeight="1">
      <c r="A331" s="6" t="s">
        <v>78</v>
      </c>
      <c r="B331" s="9">
        <v>1900</v>
      </c>
      <c r="C331" s="7" t="b">
        <v>0</v>
      </c>
      <c r="D331" s="7" t="s">
        <v>91</v>
      </c>
    </row>
    <row r="332" spans="1:4" ht="25" customHeight="1">
      <c r="A332" s="3" t="s">
        <v>78</v>
      </c>
      <c r="B332" s="10">
        <v>1910</v>
      </c>
      <c r="C332" s="4" t="b">
        <v>0</v>
      </c>
      <c r="D332" s="4" t="s">
        <v>91</v>
      </c>
    </row>
    <row r="333" spans="1:4" ht="25" customHeight="1">
      <c r="A333" s="6" t="s">
        <v>78</v>
      </c>
      <c r="B333" s="9">
        <v>1920</v>
      </c>
      <c r="C333" s="7" t="b">
        <v>0</v>
      </c>
      <c r="D333" s="7" t="s">
        <v>91</v>
      </c>
    </row>
    <row r="334" spans="1:4" ht="25" customHeight="1">
      <c r="A334" s="3" t="s">
        <v>78</v>
      </c>
      <c r="B334" s="10">
        <v>1930</v>
      </c>
      <c r="C334" s="4" t="b">
        <v>0</v>
      </c>
      <c r="D334" s="4" t="s">
        <v>91</v>
      </c>
    </row>
    <row r="335" spans="1:4" ht="25" customHeight="1">
      <c r="A335" s="6" t="s">
        <v>78</v>
      </c>
      <c r="B335" s="9">
        <v>1940</v>
      </c>
      <c r="C335" s="7" t="b">
        <v>0</v>
      </c>
      <c r="D335" s="7" t="s">
        <v>91</v>
      </c>
    </row>
    <row r="336" spans="1:4" ht="25" customHeight="1">
      <c r="A336" s="3" t="s">
        <v>78</v>
      </c>
      <c r="B336" s="10">
        <v>1950</v>
      </c>
      <c r="C336" s="4" t="b">
        <v>0</v>
      </c>
      <c r="D336" s="4" t="s">
        <v>91</v>
      </c>
    </row>
    <row r="337" spans="1:4" ht="25" customHeight="1">
      <c r="A337" s="6" t="s">
        <v>78</v>
      </c>
      <c r="B337" s="9">
        <v>1960</v>
      </c>
      <c r="C337" s="7" t="b">
        <v>0</v>
      </c>
      <c r="D337" s="7" t="s">
        <v>91</v>
      </c>
    </row>
    <row r="338" spans="1:4" ht="25" customHeight="1">
      <c r="A338" s="3" t="s">
        <v>78</v>
      </c>
      <c r="B338" s="10">
        <v>1970</v>
      </c>
      <c r="C338" s="4" t="b">
        <v>0</v>
      </c>
      <c r="D338" s="4" t="s">
        <v>91</v>
      </c>
    </row>
    <row r="339" spans="1:4" ht="25" customHeight="1">
      <c r="A339" s="6" t="s">
        <v>78</v>
      </c>
      <c r="B339" s="9">
        <v>1980</v>
      </c>
      <c r="C339" s="7" t="b">
        <v>0</v>
      </c>
      <c r="D339" s="7" t="s">
        <v>91</v>
      </c>
    </row>
    <row r="340" spans="1:4" ht="25" customHeight="1">
      <c r="A340" s="3" t="s">
        <v>78</v>
      </c>
      <c r="B340" s="10">
        <v>1990</v>
      </c>
      <c r="C340" s="4" t="b">
        <v>0</v>
      </c>
      <c r="D340" s="4" t="s">
        <v>91</v>
      </c>
    </row>
    <row r="341" spans="1:4" ht="25" customHeight="1">
      <c r="A341" s="6" t="s">
        <v>78</v>
      </c>
      <c r="B341" s="9">
        <v>2000</v>
      </c>
      <c r="C341" s="7" t="b">
        <v>0</v>
      </c>
      <c r="D341" s="7" t="s">
        <v>91</v>
      </c>
    </row>
    <row r="342" spans="1:4" ht="25" customHeight="1">
      <c r="A342" s="3" t="s">
        <v>78</v>
      </c>
      <c r="B342" s="10">
        <v>2010</v>
      </c>
      <c r="C342" s="4" t="b">
        <v>0</v>
      </c>
      <c r="D342" s="4" t="s">
        <v>91</v>
      </c>
    </row>
    <row r="343" spans="1:4" ht="25" customHeight="1">
      <c r="A343" s="6" t="s">
        <v>78</v>
      </c>
      <c r="B343" s="9">
        <v>2020</v>
      </c>
      <c r="C343" s="7" t="b">
        <v>0</v>
      </c>
      <c r="D343" s="7" t="s">
        <v>91</v>
      </c>
    </row>
    <row r="344" spans="1:4" ht="25" customHeight="1">
      <c r="A344" s="3" t="s">
        <v>78</v>
      </c>
      <c r="B344" s="10">
        <v>2030</v>
      </c>
      <c r="C344" s="4" t="b">
        <v>0</v>
      </c>
      <c r="D344" s="4" t="s">
        <v>91</v>
      </c>
    </row>
    <row r="345" spans="1:4" ht="25" customHeight="1">
      <c r="A345" s="6" t="s">
        <v>78</v>
      </c>
      <c r="B345" s="9">
        <v>2040</v>
      </c>
      <c r="C345" s="7" t="b">
        <v>0</v>
      </c>
      <c r="D345" s="7" t="s">
        <v>91</v>
      </c>
    </row>
    <row r="346" spans="1:4" ht="25" customHeight="1">
      <c r="A346" s="3" t="s">
        <v>79</v>
      </c>
      <c r="B346" s="10">
        <v>0</v>
      </c>
      <c r="C346" s="4" t="b">
        <v>1</v>
      </c>
      <c r="D346" s="4"/>
    </row>
    <row r="347" spans="1:4" ht="25" customHeight="1">
      <c r="A347" s="6" t="s">
        <v>79</v>
      </c>
      <c r="B347" s="9">
        <v>10</v>
      </c>
      <c r="C347" s="7" t="b">
        <v>1</v>
      </c>
      <c r="D347" s="7"/>
    </row>
    <row r="348" spans="1:4" ht="25" customHeight="1">
      <c r="A348" s="3" t="s">
        <v>79</v>
      </c>
      <c r="B348" s="10">
        <v>20</v>
      </c>
      <c r="C348" s="4" t="b">
        <v>1</v>
      </c>
      <c r="D348" s="4"/>
    </row>
    <row r="349" spans="1:4" ht="25" customHeight="1">
      <c r="A349" s="6" t="s">
        <v>79</v>
      </c>
      <c r="B349" s="9">
        <v>30</v>
      </c>
      <c r="C349" s="7" t="b">
        <v>1</v>
      </c>
      <c r="D349" s="7"/>
    </row>
    <row r="350" spans="1:4" ht="25" customHeight="1">
      <c r="A350" s="3" t="s">
        <v>79</v>
      </c>
      <c r="B350" s="10">
        <v>40</v>
      </c>
      <c r="C350" s="4" t="b">
        <v>1</v>
      </c>
      <c r="D350" s="4"/>
    </row>
    <row r="351" spans="1:4" ht="25" customHeight="1">
      <c r="A351" s="6" t="s">
        <v>79</v>
      </c>
      <c r="B351" s="9">
        <v>50</v>
      </c>
      <c r="C351" s="7" t="b">
        <v>1</v>
      </c>
      <c r="D351" s="7"/>
    </row>
    <row r="352" spans="1:4" ht="25" customHeight="1">
      <c r="A352" s="3" t="s">
        <v>79</v>
      </c>
      <c r="B352" s="10">
        <v>60</v>
      </c>
      <c r="C352" s="4" t="b">
        <v>1</v>
      </c>
      <c r="D352" s="4"/>
    </row>
    <row r="353" spans="1:4" ht="25" customHeight="1">
      <c r="A353" s="6" t="s">
        <v>79</v>
      </c>
      <c r="B353" s="9">
        <v>70</v>
      </c>
      <c r="C353" s="7" t="b">
        <v>1</v>
      </c>
      <c r="D353" s="7"/>
    </row>
    <row r="354" spans="1:4" ht="25" customHeight="1">
      <c r="A354" s="3" t="s">
        <v>79</v>
      </c>
      <c r="B354" s="10">
        <v>80</v>
      </c>
      <c r="C354" s="4" t="b">
        <v>1</v>
      </c>
      <c r="D354" s="4"/>
    </row>
    <row r="355" spans="1:4" ht="25" customHeight="1">
      <c r="A355" s="6" t="s">
        <v>79</v>
      </c>
      <c r="B355" s="9">
        <v>90</v>
      </c>
      <c r="C355" s="7" t="b">
        <v>1</v>
      </c>
      <c r="D355" s="7"/>
    </row>
    <row r="356" spans="1:4" ht="25" customHeight="1">
      <c r="A356" s="3" t="s">
        <v>79</v>
      </c>
      <c r="B356" s="10">
        <v>100</v>
      </c>
      <c r="C356" s="4" t="b">
        <v>1</v>
      </c>
      <c r="D356" s="4"/>
    </row>
    <row r="357" spans="1:4" ht="25" customHeight="1">
      <c r="A357" s="6" t="s">
        <v>79</v>
      </c>
      <c r="B357" s="9">
        <v>110</v>
      </c>
      <c r="C357" s="7" t="b">
        <v>1</v>
      </c>
      <c r="D357" s="7"/>
    </row>
    <row r="358" spans="1:4" ht="25" customHeight="1">
      <c r="A358" s="3" t="s">
        <v>79</v>
      </c>
      <c r="B358" s="10">
        <v>120</v>
      </c>
      <c r="C358" s="4" t="b">
        <v>1</v>
      </c>
      <c r="D358" s="4"/>
    </row>
    <row r="359" spans="1:4" ht="25" customHeight="1">
      <c r="A359" s="6" t="s">
        <v>79</v>
      </c>
      <c r="B359" s="9">
        <v>130</v>
      </c>
      <c r="C359" s="7" t="b">
        <v>1</v>
      </c>
      <c r="D359" s="7"/>
    </row>
    <row r="360" spans="1:4" ht="25" customHeight="1">
      <c r="A360" s="3" t="s">
        <v>79</v>
      </c>
      <c r="B360" s="10">
        <v>140</v>
      </c>
      <c r="C360" s="4" t="b">
        <v>1</v>
      </c>
      <c r="D360" s="4"/>
    </row>
    <row r="361" spans="1:4" ht="25" customHeight="1">
      <c r="A361" s="6" t="s">
        <v>79</v>
      </c>
      <c r="B361" s="9">
        <v>150</v>
      </c>
      <c r="C361" s="7" t="b">
        <v>1</v>
      </c>
      <c r="D361" s="7"/>
    </row>
  </sheetData>
  <autoFilter ref="A4:D361"/>
  <mergeCells count="2">
    <mergeCell ref="A2:D2"/>
    <mergeCell ref="A3:D3"/>
  </mergeCells>
  <pageMargins left="0.3" right="0.3" top="0.4" bottom="0.4" header="0.3" footer="0.3"/>
  <pageSetup paperSize="9" scale="85" orientation="landscape"/>
  <headerFooter>
    <oddFooter>&amp;LCapacity Grid&amp;RPage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3C5658"/>
  </sheetPr>
  <dimension ref="A1:D1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3" width="25.7109375" customWidth="1"/>
    <col min="4" max="4" width="75.7109375" customWidth="1"/>
  </cols>
  <sheetData>
    <row r="1" spans="1:4" ht="9" customHeight="1"/>
    <row r="2" spans="1:4" ht="42" customHeight="1">
      <c r="A2" s="1" t="s">
        <v>437</v>
      </c>
      <c r="B2" s="1"/>
      <c r="C2" s="1"/>
      <c r="D2" s="1"/>
    </row>
    <row r="3" spans="1:4" ht="30" customHeight="1">
      <c r="A3" s="2" t="s">
        <v>125</v>
      </c>
      <c r="B3" s="2"/>
      <c r="C3" s="2"/>
      <c r="D3" s="2"/>
    </row>
    <row r="4" spans="1:4" ht="34" customHeight="1">
      <c r="A4" s="5" t="s">
        <v>438</v>
      </c>
      <c r="B4" s="5" t="s">
        <v>22</v>
      </c>
      <c r="C4" s="5" t="s">
        <v>87</v>
      </c>
      <c r="D4" s="5" t="s">
        <v>439</v>
      </c>
    </row>
    <row r="5" spans="1:4" ht="25" customHeight="1">
      <c r="A5" s="6" t="s">
        <v>440</v>
      </c>
      <c r="B5" s="9">
        <v>920</v>
      </c>
      <c r="C5" s="9">
        <v>0</v>
      </c>
      <c r="D5" s="7"/>
    </row>
    <row r="6" spans="1:4" ht="25" customHeight="1">
      <c r="A6" s="3" t="s">
        <v>441</v>
      </c>
      <c r="B6" s="10">
        <v>944</v>
      </c>
      <c r="C6" s="10">
        <v>476</v>
      </c>
      <c r="D6" s="4" t="s">
        <v>91</v>
      </c>
    </row>
    <row r="7" spans="1:4" ht="25" customHeight="1">
      <c r="A7" s="6" t="s">
        <v>442</v>
      </c>
      <c r="B7" s="9">
        <v>948</v>
      </c>
      <c r="C7" s="9">
        <v>222</v>
      </c>
      <c r="D7" s="7" t="s">
        <v>91</v>
      </c>
    </row>
    <row r="8" spans="1:4" ht="25" customHeight="1">
      <c r="A8" s="3" t="s">
        <v>443</v>
      </c>
      <c r="B8" s="10">
        <v>948</v>
      </c>
      <c r="C8" s="10">
        <v>222</v>
      </c>
      <c r="D8" s="4" t="s">
        <v>91</v>
      </c>
    </row>
    <row r="9" spans="1:4" ht="25" customHeight="1">
      <c r="A9" s="6" t="s">
        <v>444</v>
      </c>
      <c r="B9" s="9">
        <v>948</v>
      </c>
      <c r="C9" s="9">
        <v>222</v>
      </c>
      <c r="D9" s="7" t="s">
        <v>91</v>
      </c>
    </row>
    <row r="10" spans="1:4" ht="25" customHeight="1">
      <c r="A10" s="3" t="s">
        <v>445</v>
      </c>
      <c r="B10" s="10">
        <v>948</v>
      </c>
      <c r="C10" s="10">
        <v>222</v>
      </c>
      <c r="D10" s="4" t="s">
        <v>91</v>
      </c>
    </row>
    <row r="11" spans="1:4" ht="25" customHeight="1">
      <c r="A11" s="6" t="s">
        <v>446</v>
      </c>
      <c r="B11" s="9">
        <v>928</v>
      </c>
      <c r="C11" s="9">
        <v>242</v>
      </c>
      <c r="D11" s="7" t="s">
        <v>91</v>
      </c>
    </row>
    <row r="12" spans="1:4" ht="25" customHeight="1">
      <c r="A12" s="3" t="s">
        <v>447</v>
      </c>
      <c r="B12" s="10">
        <v>910</v>
      </c>
      <c r="C12" s="10">
        <v>260</v>
      </c>
      <c r="D12" s="4" t="s">
        <v>91</v>
      </c>
    </row>
  </sheetData>
  <autoFilter ref="A4:D12"/>
  <mergeCells count="2">
    <mergeCell ref="A2:D2"/>
    <mergeCell ref="A3:D3"/>
  </mergeCells>
  <pageMargins left="0.3" right="0.3" top="0.4" bottom="0.4" header="0.3" footer="0.3"/>
  <pageSetup paperSize="9" scale="85" orientation="landscape"/>
  <headerFooter>
    <oddFooter>&amp;LSensitivity&amp;RPage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3C5658"/>
  </sheetPr>
  <dimension ref="A1:E7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2" width="45.7109375" customWidth="1"/>
    <col min="3" max="3" width="28.7109375" customWidth="1"/>
    <col min="4" max="4" width="18.7109375" customWidth="1"/>
    <col min="5" max="5" width="75.7109375" customWidth="1"/>
  </cols>
  <sheetData>
    <row r="1" spans="1:5" ht="9" customHeight="1"/>
    <row r="2" spans="1:5" ht="42" customHeight="1">
      <c r="A2" s="1" t="s">
        <v>448</v>
      </c>
      <c r="B2" s="1"/>
      <c r="C2" s="1"/>
      <c r="D2" s="1"/>
      <c r="E2" s="1"/>
    </row>
    <row r="3" spans="1:5" ht="30" customHeight="1">
      <c r="A3" s="2" t="s">
        <v>125</v>
      </c>
      <c r="B3" s="2"/>
      <c r="C3" s="2"/>
      <c r="D3" s="2"/>
      <c r="E3" s="2"/>
    </row>
    <row r="4" spans="1:5" ht="34" customHeight="1">
      <c r="A4" s="5" t="s">
        <v>65</v>
      </c>
      <c r="B4" s="5" t="s">
        <v>449</v>
      </c>
      <c r="C4" s="5" t="s">
        <v>450</v>
      </c>
      <c r="D4" s="5" t="s">
        <v>451</v>
      </c>
      <c r="E4" s="5" t="s">
        <v>452</v>
      </c>
    </row>
    <row r="5" spans="1:5" ht="25" customHeight="1">
      <c r="A5" s="6" t="s">
        <v>68</v>
      </c>
      <c r="B5" s="7" t="s">
        <v>453</v>
      </c>
      <c r="C5" s="25">
        <v>0</v>
      </c>
      <c r="D5" s="25">
        <v>0.005</v>
      </c>
      <c r="E5" s="7" t="s">
        <v>91</v>
      </c>
    </row>
    <row r="6" spans="1:5" ht="25" customHeight="1">
      <c r="A6" s="3" t="s">
        <v>78</v>
      </c>
      <c r="B6" s="4" t="s">
        <v>453</v>
      </c>
      <c r="C6" s="26">
        <v>0</v>
      </c>
      <c r="D6" s="26">
        <v>0.005</v>
      </c>
      <c r="E6" s="4" t="s">
        <v>91</v>
      </c>
    </row>
    <row r="7" spans="1:5" ht="25" customHeight="1">
      <c r="A7" s="6" t="s">
        <v>79</v>
      </c>
      <c r="B7" s="7" t="s">
        <v>454</v>
      </c>
      <c r="C7" s="25">
        <v>0.08500000000000001</v>
      </c>
      <c r="D7" s="25">
        <v>0.005</v>
      </c>
      <c r="E7" s="7" t="s">
        <v>91</v>
      </c>
    </row>
  </sheetData>
  <autoFilter ref="A4:E7"/>
  <mergeCells count="2">
    <mergeCell ref="A2:E2"/>
    <mergeCell ref="A3:E3"/>
  </mergeCells>
  <pageMargins left="0.3" right="0.3" top="0.4" bottom="0.4" header="0.3" footer="0.3"/>
  <pageSetup paperSize="9" scale="85" orientation="landscape"/>
  <headerFooter>
    <oddFooter>&amp;LReverse Stress&amp;RPage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3C5658"/>
  </sheetPr>
  <dimension ref="A1:F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2" width="15.7109375" customWidth="1"/>
    <col min="3" max="5" width="30.7109375" customWidth="1"/>
    <col min="6" max="6" width="35.7109375" customWidth="1"/>
  </cols>
  <sheetData>
    <row r="1" spans="1:6" ht="9" customHeight="1"/>
    <row r="2" spans="1:6" ht="42" customHeight="1">
      <c r="A2" s="1" t="s">
        <v>455</v>
      </c>
      <c r="B2" s="1"/>
      <c r="C2" s="1"/>
      <c r="D2" s="1"/>
      <c r="E2" s="1"/>
      <c r="F2" s="1"/>
    </row>
    <row r="3" spans="1:6" ht="30" customHeight="1">
      <c r="A3" s="2" t="s">
        <v>125</v>
      </c>
      <c r="B3" s="2"/>
      <c r="C3" s="2"/>
      <c r="D3" s="2"/>
      <c r="E3" s="2"/>
      <c r="F3" s="2"/>
    </row>
    <row r="4" spans="1:6" ht="34" customHeight="1">
      <c r="A4" s="5" t="s">
        <v>65</v>
      </c>
      <c r="B4" s="5" t="s">
        <v>354</v>
      </c>
      <c r="C4" s="5" t="s">
        <v>456</v>
      </c>
      <c r="D4" s="5" t="s">
        <v>457</v>
      </c>
      <c r="E4" s="5" t="s">
        <v>458</v>
      </c>
      <c r="F4" s="5" t="s">
        <v>459</v>
      </c>
    </row>
    <row r="5" spans="1:6" ht="25" customHeight="1">
      <c r="A5" s="6" t="s">
        <v>68</v>
      </c>
      <c r="B5" s="23">
        <v>1</v>
      </c>
      <c r="C5" s="9">
        <v>0</v>
      </c>
      <c r="D5" s="9">
        <v>2.273736754432321E-13</v>
      </c>
      <c r="E5" s="9">
        <v>0</v>
      </c>
      <c r="F5" s="9">
        <v>2.273736754432321E-13</v>
      </c>
    </row>
    <row r="6" spans="1:6" ht="25" customHeight="1">
      <c r="A6" s="3" t="s">
        <v>68</v>
      </c>
      <c r="B6" s="24">
        <v>2</v>
      </c>
      <c r="C6" s="10">
        <v>0</v>
      </c>
      <c r="D6" s="10">
        <v>2.273736754432321E-13</v>
      </c>
      <c r="E6" s="10">
        <v>-2.273736754432321E-13</v>
      </c>
      <c r="F6" s="10">
        <v>1.13686837721616E-13</v>
      </c>
    </row>
    <row r="7" spans="1:6" ht="25" customHeight="1">
      <c r="A7" s="6" t="s">
        <v>68</v>
      </c>
      <c r="B7" s="23">
        <v>3</v>
      </c>
      <c r="C7" s="9">
        <v>0</v>
      </c>
      <c r="D7" s="9">
        <v>-4.547473508864641E-13</v>
      </c>
      <c r="E7" s="9">
        <v>0</v>
      </c>
      <c r="F7" s="9">
        <v>1.4210854715202E-14</v>
      </c>
    </row>
    <row r="8" spans="1:6" ht="25" customHeight="1">
      <c r="A8" s="3" t="s">
        <v>68</v>
      </c>
      <c r="B8" s="24">
        <v>4</v>
      </c>
      <c r="C8" s="10">
        <v>0</v>
      </c>
      <c r="D8" s="10">
        <v>2.273736754432321E-13</v>
      </c>
      <c r="E8" s="10">
        <v>0</v>
      </c>
      <c r="F8" s="10">
        <v>1.77635683940025E-14</v>
      </c>
    </row>
    <row r="9" spans="1:6" ht="25" customHeight="1">
      <c r="A9" s="6" t="s">
        <v>68</v>
      </c>
      <c r="B9" s="23">
        <v>5</v>
      </c>
      <c r="C9" s="9">
        <v>0</v>
      </c>
      <c r="D9" s="9">
        <v>0</v>
      </c>
      <c r="E9" s="9">
        <v>0</v>
      </c>
      <c r="F9" s="9">
        <v>0</v>
      </c>
    </row>
    <row r="10" spans="1:6" ht="25" customHeight="1">
      <c r="A10" s="3" t="s">
        <v>78</v>
      </c>
      <c r="B10" s="24">
        <v>1</v>
      </c>
      <c r="C10" s="10">
        <v>0</v>
      </c>
      <c r="D10" s="10">
        <v>0</v>
      </c>
      <c r="E10" s="10">
        <v>0</v>
      </c>
      <c r="F10" s="10">
        <v>2.273736754432321E-13</v>
      </c>
    </row>
    <row r="11" spans="1:6" ht="25" customHeight="1">
      <c r="A11" s="6" t="s">
        <v>78</v>
      </c>
      <c r="B11" s="23">
        <v>2</v>
      </c>
      <c r="C11" s="9">
        <v>0</v>
      </c>
      <c r="D11" s="9">
        <v>0</v>
      </c>
      <c r="E11" s="9">
        <v>-4.547473508864641E-13</v>
      </c>
      <c r="F11" s="9">
        <v>5.684341886080801E-14</v>
      </c>
    </row>
    <row r="12" spans="1:6" ht="25" customHeight="1">
      <c r="A12" s="3" t="s">
        <v>78</v>
      </c>
      <c r="B12" s="24">
        <v>3</v>
      </c>
      <c r="C12" s="10">
        <v>0</v>
      </c>
      <c r="D12" s="10">
        <v>2.273736754432321E-13</v>
      </c>
      <c r="E12" s="10">
        <v>0</v>
      </c>
      <c r="F12" s="10">
        <v>5.684341886080801E-14</v>
      </c>
    </row>
    <row r="13" spans="1:6" ht="25" customHeight="1">
      <c r="A13" s="6" t="s">
        <v>78</v>
      </c>
      <c r="B13" s="23">
        <v>4</v>
      </c>
      <c r="C13" s="9">
        <v>0</v>
      </c>
      <c r="D13" s="9">
        <v>-4.547473508864641E-13</v>
      </c>
      <c r="E13" s="9">
        <v>0</v>
      </c>
      <c r="F13" s="9">
        <v>5.684341886080801E-14</v>
      </c>
    </row>
    <row r="14" spans="1:6" ht="25" customHeight="1">
      <c r="A14" s="3" t="s">
        <v>78</v>
      </c>
      <c r="B14" s="24">
        <v>5</v>
      </c>
      <c r="C14" s="10">
        <v>0</v>
      </c>
      <c r="D14" s="10">
        <v>0</v>
      </c>
      <c r="E14" s="10">
        <v>0</v>
      </c>
      <c r="F14" s="10">
        <v>0</v>
      </c>
    </row>
    <row r="15" spans="1:6" ht="25" customHeight="1">
      <c r="A15" s="6" t="s">
        <v>79</v>
      </c>
      <c r="B15" s="23">
        <v>1</v>
      </c>
      <c r="C15" s="9">
        <v>0</v>
      </c>
      <c r="D15" s="9">
        <v>0</v>
      </c>
      <c r="E15" s="9">
        <v>2.273736754432321E-13</v>
      </c>
      <c r="F15" s="9">
        <v>0</v>
      </c>
    </row>
    <row r="16" spans="1:6" ht="25" customHeight="1">
      <c r="A16" s="3" t="s">
        <v>79</v>
      </c>
      <c r="B16" s="24">
        <v>2</v>
      </c>
      <c r="C16" s="10">
        <v>0</v>
      </c>
      <c r="D16" s="10">
        <v>0</v>
      </c>
      <c r="E16" s="10">
        <v>0</v>
      </c>
      <c r="F16" s="10">
        <v>5.684341886080801E-14</v>
      </c>
    </row>
    <row r="17" spans="1:6" ht="25" customHeight="1">
      <c r="A17" s="6" t="s">
        <v>79</v>
      </c>
      <c r="B17" s="23">
        <v>3</v>
      </c>
      <c r="C17" s="9">
        <v>0</v>
      </c>
      <c r="D17" s="9">
        <v>-2.273736754432321E-13</v>
      </c>
      <c r="E17" s="9">
        <v>0</v>
      </c>
      <c r="F17" s="9">
        <v>0</v>
      </c>
    </row>
    <row r="18" spans="1:6" ht="25" customHeight="1">
      <c r="A18" s="3" t="s">
        <v>79</v>
      </c>
      <c r="B18" s="24">
        <v>4</v>
      </c>
      <c r="C18" s="10">
        <v>0</v>
      </c>
      <c r="D18" s="10">
        <v>-2.273736754432321E-13</v>
      </c>
      <c r="E18" s="10">
        <v>0</v>
      </c>
      <c r="F18" s="10">
        <v>0</v>
      </c>
    </row>
    <row r="19" spans="1:6" ht="25" customHeight="1">
      <c r="A19" s="6" t="s">
        <v>79</v>
      </c>
      <c r="B19" s="23">
        <v>5</v>
      </c>
      <c r="C19" s="9">
        <v>0</v>
      </c>
      <c r="D19" s="9">
        <v>2.273736754432321E-13</v>
      </c>
      <c r="E19" s="9">
        <v>0</v>
      </c>
      <c r="F19" s="9">
        <v>0</v>
      </c>
    </row>
  </sheetData>
  <autoFilter ref="A4:F19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&amp;LChecks&amp;RPage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3C5658"/>
  </sheetPr>
  <dimension ref="A1:H141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4.7109375" customWidth="1"/>
    <col min="2" max="2" width="35.7109375" customWidth="1"/>
    <col min="3" max="3" width="30.7109375" customWidth="1"/>
    <col min="4" max="4" width="22.7109375" customWidth="1"/>
    <col min="5" max="6" width="60.7109375" customWidth="1"/>
    <col min="7" max="8" width="70.7109375" customWidth="1"/>
  </cols>
  <sheetData>
    <row r="1" spans="1:8" ht="9" customHeight="1"/>
    <row r="2" spans="1:8" ht="42" customHeight="1">
      <c r="A2" s="1" t="s">
        <v>460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125</v>
      </c>
      <c r="B3" s="2"/>
      <c r="C3" s="2"/>
      <c r="D3" s="2"/>
      <c r="E3" s="2"/>
      <c r="F3" s="2"/>
      <c r="G3" s="8"/>
      <c r="H3" s="8"/>
    </row>
    <row r="4" spans="1:8" ht="40" customHeight="1">
      <c r="A4" s="5" t="s">
        <v>461</v>
      </c>
      <c r="B4" s="5" t="s">
        <v>111</v>
      </c>
      <c r="C4" s="5" t="s">
        <v>462</v>
      </c>
      <c r="D4" s="5" t="s">
        <v>463</v>
      </c>
      <c r="E4" s="5" t="s">
        <v>464</v>
      </c>
      <c r="F4" s="5" t="s">
        <v>465</v>
      </c>
      <c r="G4" s="5" t="s">
        <v>466</v>
      </c>
      <c r="H4" s="5" t="s">
        <v>451</v>
      </c>
    </row>
    <row r="5" spans="1:8" ht="55" customHeight="1">
      <c r="A5" s="6" t="s">
        <v>467</v>
      </c>
      <c r="B5" s="9">
        <v>364.075</v>
      </c>
      <c r="C5" s="7" t="s">
        <v>468</v>
      </c>
      <c r="D5" s="7" t="b">
        <v>0</v>
      </c>
      <c r="E5" s="7" t="s">
        <v>469</v>
      </c>
      <c r="F5" s="7" t="s">
        <v>470</v>
      </c>
      <c r="G5" s="7" t="s">
        <v>471</v>
      </c>
      <c r="H5" s="7" t="s">
        <v>472</v>
      </c>
    </row>
    <row r="6" spans="1:8" ht="55" customHeight="1">
      <c r="A6" s="3" t="s">
        <v>473</v>
      </c>
      <c r="B6" s="10">
        <v>365.475</v>
      </c>
      <c r="C6" s="4" t="s">
        <v>468</v>
      </c>
      <c r="D6" s="4" t="b">
        <v>0</v>
      </c>
      <c r="E6" s="4" t="s">
        <v>469</v>
      </c>
      <c r="F6" s="4" t="s">
        <v>470</v>
      </c>
      <c r="G6" s="4" t="s">
        <v>471</v>
      </c>
      <c r="H6" s="4" t="s">
        <v>472</v>
      </c>
    </row>
    <row r="7" spans="1:8" ht="55" customHeight="1">
      <c r="A7" s="6" t="s">
        <v>474</v>
      </c>
      <c r="B7" s="7"/>
      <c r="C7" s="7" t="s">
        <v>475</v>
      </c>
      <c r="D7" s="7" t="b">
        <v>0</v>
      </c>
      <c r="E7" s="7" t="s">
        <v>476</v>
      </c>
      <c r="F7" s="7" t="s">
        <v>470</v>
      </c>
      <c r="G7" s="7" t="s">
        <v>471</v>
      </c>
      <c r="H7" s="7" t="s">
        <v>472</v>
      </c>
    </row>
    <row r="8" spans="1:8" ht="55" customHeight="1">
      <c r="A8" s="3" t="s">
        <v>477</v>
      </c>
      <c r="B8" s="4"/>
      <c r="C8" s="4" t="s">
        <v>475</v>
      </c>
      <c r="D8" s="4" t="b">
        <v>0</v>
      </c>
      <c r="E8" s="4" t="s">
        <v>476</v>
      </c>
      <c r="F8" s="4" t="s">
        <v>470</v>
      </c>
      <c r="G8" s="4" t="s">
        <v>471</v>
      </c>
      <c r="H8" s="4" t="s">
        <v>472</v>
      </c>
    </row>
    <row r="9" spans="1:8" ht="55" customHeight="1">
      <c r="A9" s="6" t="s">
        <v>478</v>
      </c>
      <c r="B9" s="7"/>
      <c r="C9" s="7" t="s">
        <v>475</v>
      </c>
      <c r="D9" s="7" t="b">
        <v>0</v>
      </c>
      <c r="E9" s="7" t="s">
        <v>476</v>
      </c>
      <c r="F9" s="7" t="s">
        <v>470</v>
      </c>
      <c r="G9" s="7" t="s">
        <v>471</v>
      </c>
      <c r="H9" s="7" t="s">
        <v>472</v>
      </c>
    </row>
    <row r="10" spans="1:8" ht="55" customHeight="1">
      <c r="A10" s="3" t="s">
        <v>479</v>
      </c>
      <c r="B10" s="4"/>
      <c r="C10" s="4" t="s">
        <v>475</v>
      </c>
      <c r="D10" s="4" t="b">
        <v>0</v>
      </c>
      <c r="E10" s="4" t="s">
        <v>476</v>
      </c>
      <c r="F10" s="4" t="s">
        <v>470</v>
      </c>
      <c r="G10" s="4" t="s">
        <v>471</v>
      </c>
      <c r="H10" s="4" t="s">
        <v>472</v>
      </c>
    </row>
    <row r="11" spans="1:8" ht="55" customHeight="1">
      <c r="A11" s="6" t="s">
        <v>480</v>
      </c>
      <c r="B11" s="9">
        <v>921.881</v>
      </c>
      <c r="C11" s="7" t="s">
        <v>468</v>
      </c>
      <c r="D11" s="7" t="b">
        <v>0</v>
      </c>
      <c r="E11" s="7" t="s">
        <v>469</v>
      </c>
      <c r="F11" s="7" t="s">
        <v>470</v>
      </c>
      <c r="G11" s="7" t="s">
        <v>471</v>
      </c>
      <c r="H11" s="7" t="s">
        <v>472</v>
      </c>
    </row>
    <row r="12" spans="1:8" ht="55" customHeight="1">
      <c r="A12" s="3" t="s">
        <v>481</v>
      </c>
      <c r="B12" s="10">
        <v>1463.019</v>
      </c>
      <c r="C12" s="4" t="s">
        <v>468</v>
      </c>
      <c r="D12" s="4" t="b">
        <v>0</v>
      </c>
      <c r="E12" s="4" t="s">
        <v>469</v>
      </c>
      <c r="F12" s="4" t="s">
        <v>470</v>
      </c>
      <c r="G12" s="4" t="s">
        <v>471</v>
      </c>
      <c r="H12" s="4" t="s">
        <v>472</v>
      </c>
    </row>
    <row r="13" spans="1:8" ht="55" customHeight="1">
      <c r="A13" s="6" t="s">
        <v>482</v>
      </c>
      <c r="B13" s="7"/>
      <c r="C13" s="7" t="s">
        <v>475</v>
      </c>
      <c r="D13" s="7" t="b">
        <v>0</v>
      </c>
      <c r="E13" s="7" t="s">
        <v>476</v>
      </c>
      <c r="F13" s="7" t="s">
        <v>470</v>
      </c>
      <c r="G13" s="7" t="s">
        <v>471</v>
      </c>
      <c r="H13" s="7" t="s">
        <v>472</v>
      </c>
    </row>
    <row r="14" spans="1:8" ht="55" customHeight="1">
      <c r="A14" s="3" t="s">
        <v>483</v>
      </c>
      <c r="B14" s="4"/>
      <c r="C14" s="4" t="s">
        <v>475</v>
      </c>
      <c r="D14" s="4" t="b">
        <v>0</v>
      </c>
      <c r="E14" s="4" t="s">
        <v>476</v>
      </c>
      <c r="F14" s="4" t="s">
        <v>470</v>
      </c>
      <c r="G14" s="4" t="s">
        <v>471</v>
      </c>
      <c r="H14" s="4" t="s">
        <v>472</v>
      </c>
    </row>
    <row r="15" spans="1:8" ht="55" customHeight="1">
      <c r="A15" s="6" t="s">
        <v>484</v>
      </c>
      <c r="B15" s="9">
        <v>12368.198</v>
      </c>
      <c r="C15" s="7" t="s">
        <v>468</v>
      </c>
      <c r="D15" s="7" t="b">
        <v>0</v>
      </c>
      <c r="E15" s="7" t="s">
        <v>469</v>
      </c>
      <c r="F15" s="7" t="s">
        <v>470</v>
      </c>
      <c r="G15" s="7" t="s">
        <v>471</v>
      </c>
      <c r="H15" s="7" t="s">
        <v>472</v>
      </c>
    </row>
    <row r="16" spans="1:8" ht="55" customHeight="1">
      <c r="A16" s="3" t="s">
        <v>485</v>
      </c>
      <c r="B16" s="10">
        <v>306.612</v>
      </c>
      <c r="C16" s="4" t="s">
        <v>468</v>
      </c>
      <c r="D16" s="4" t="b">
        <v>0</v>
      </c>
      <c r="E16" s="4" t="s">
        <v>469</v>
      </c>
      <c r="F16" s="4" t="s">
        <v>470</v>
      </c>
      <c r="G16" s="4" t="s">
        <v>471</v>
      </c>
      <c r="H16" s="4" t="s">
        <v>472</v>
      </c>
    </row>
    <row r="17" spans="1:8" ht="55" customHeight="1">
      <c r="A17" s="6" t="s">
        <v>486</v>
      </c>
      <c r="B17" s="9">
        <v>587.426</v>
      </c>
      <c r="C17" s="7" t="s">
        <v>468</v>
      </c>
      <c r="D17" s="7" t="b">
        <v>0</v>
      </c>
      <c r="E17" s="7" t="s">
        <v>469</v>
      </c>
      <c r="F17" s="7" t="s">
        <v>470</v>
      </c>
      <c r="G17" s="7" t="s">
        <v>471</v>
      </c>
      <c r="H17" s="7" t="s">
        <v>472</v>
      </c>
    </row>
    <row r="18" spans="1:8" ht="55" customHeight="1">
      <c r="A18" s="3" t="s">
        <v>487</v>
      </c>
      <c r="B18" s="10">
        <v>393.933</v>
      </c>
      <c r="C18" s="4" t="s">
        <v>468</v>
      </c>
      <c r="D18" s="4" t="b">
        <v>0</v>
      </c>
      <c r="E18" s="4" t="s">
        <v>469</v>
      </c>
      <c r="F18" s="4" t="s">
        <v>470</v>
      </c>
      <c r="G18" s="4" t="s">
        <v>471</v>
      </c>
      <c r="H18" s="4" t="s">
        <v>472</v>
      </c>
    </row>
    <row r="19" spans="1:8" ht="55" customHeight="1">
      <c r="A19" s="6" t="s">
        <v>488</v>
      </c>
      <c r="B19" s="7"/>
      <c r="C19" s="7" t="s">
        <v>475</v>
      </c>
      <c r="D19" s="7" t="b">
        <v>0</v>
      </c>
      <c r="E19" s="7" t="s">
        <v>476</v>
      </c>
      <c r="F19" s="7" t="s">
        <v>470</v>
      </c>
      <c r="G19" s="7" t="s">
        <v>471</v>
      </c>
      <c r="H19" s="7" t="s">
        <v>472</v>
      </c>
    </row>
    <row r="20" spans="1:8" ht="55" customHeight="1">
      <c r="A20" s="3" t="s">
        <v>489</v>
      </c>
      <c r="B20" s="4"/>
      <c r="C20" s="4" t="s">
        <v>475</v>
      </c>
      <c r="D20" s="4" t="b">
        <v>0</v>
      </c>
      <c r="E20" s="4" t="s">
        <v>476</v>
      </c>
      <c r="F20" s="4" t="s">
        <v>470</v>
      </c>
      <c r="G20" s="4" t="s">
        <v>471</v>
      </c>
      <c r="H20" s="4" t="s">
        <v>472</v>
      </c>
    </row>
    <row r="21" spans="1:8" ht="55" customHeight="1">
      <c r="A21" s="6" t="s">
        <v>490</v>
      </c>
      <c r="B21" s="9">
        <v>2848.797</v>
      </c>
      <c r="C21" s="7" t="s">
        <v>468</v>
      </c>
      <c r="D21" s="7" t="b">
        <v>0</v>
      </c>
      <c r="E21" s="7" t="s">
        <v>469</v>
      </c>
      <c r="F21" s="7" t="s">
        <v>470</v>
      </c>
      <c r="G21" s="7" t="s">
        <v>471</v>
      </c>
      <c r="H21" s="7" t="s">
        <v>472</v>
      </c>
    </row>
    <row r="22" spans="1:8" ht="55" customHeight="1">
      <c r="A22" s="3" t="s">
        <v>491</v>
      </c>
      <c r="B22" s="4"/>
      <c r="C22" s="4" t="s">
        <v>475</v>
      </c>
      <c r="D22" s="4" t="b">
        <v>0</v>
      </c>
      <c r="E22" s="4" t="s">
        <v>476</v>
      </c>
      <c r="F22" s="4" t="s">
        <v>470</v>
      </c>
      <c r="G22" s="4" t="s">
        <v>471</v>
      </c>
      <c r="H22" s="4" t="s">
        <v>472</v>
      </c>
    </row>
    <row r="23" spans="1:8" ht="55" customHeight="1">
      <c r="A23" s="6" t="s">
        <v>492</v>
      </c>
      <c r="B23" s="9">
        <v>1527.335</v>
      </c>
      <c r="C23" s="7" t="s">
        <v>468</v>
      </c>
      <c r="D23" s="7" t="b">
        <v>0</v>
      </c>
      <c r="E23" s="7" t="s">
        <v>469</v>
      </c>
      <c r="F23" s="7" t="s">
        <v>470</v>
      </c>
      <c r="G23" s="7" t="s">
        <v>471</v>
      </c>
      <c r="H23" s="7" t="s">
        <v>472</v>
      </c>
    </row>
    <row r="24" spans="1:8" ht="55" customHeight="1">
      <c r="A24" s="3" t="s">
        <v>493</v>
      </c>
      <c r="B24" s="10">
        <v>1282.365</v>
      </c>
      <c r="C24" s="4" t="s">
        <v>468</v>
      </c>
      <c r="D24" s="4" t="b">
        <v>0</v>
      </c>
      <c r="E24" s="4" t="s">
        <v>469</v>
      </c>
      <c r="F24" s="4" t="s">
        <v>470</v>
      </c>
      <c r="G24" s="4" t="s">
        <v>471</v>
      </c>
      <c r="H24" s="4" t="s">
        <v>472</v>
      </c>
    </row>
    <row r="25" spans="1:8" ht="55" customHeight="1">
      <c r="A25" s="6" t="s">
        <v>494</v>
      </c>
      <c r="B25" s="9">
        <v>1288.728</v>
      </c>
      <c r="C25" s="7" t="s">
        <v>468</v>
      </c>
      <c r="D25" s="7" t="b">
        <v>0</v>
      </c>
      <c r="E25" s="7" t="s">
        <v>469</v>
      </c>
      <c r="F25" s="7" t="s">
        <v>470</v>
      </c>
      <c r="G25" s="7" t="s">
        <v>471</v>
      </c>
      <c r="H25" s="7" t="s">
        <v>472</v>
      </c>
    </row>
    <row r="26" spans="1:8" ht="55" customHeight="1">
      <c r="A26" s="3" t="s">
        <v>495</v>
      </c>
      <c r="B26" s="10">
        <v>114.877</v>
      </c>
      <c r="C26" s="4" t="s">
        <v>468</v>
      </c>
      <c r="D26" s="4" t="b">
        <v>0</v>
      </c>
      <c r="E26" s="4" t="s">
        <v>469</v>
      </c>
      <c r="F26" s="4" t="s">
        <v>470</v>
      </c>
      <c r="G26" s="4" t="s">
        <v>471</v>
      </c>
      <c r="H26" s="4" t="s">
        <v>472</v>
      </c>
    </row>
    <row r="27" spans="1:8" ht="55" customHeight="1">
      <c r="A27" s="6" t="s">
        <v>496</v>
      </c>
      <c r="B27" s="9">
        <v>12984.399</v>
      </c>
      <c r="C27" s="7" t="s">
        <v>468</v>
      </c>
      <c r="D27" s="7" t="b">
        <v>0</v>
      </c>
      <c r="E27" s="7" t="s">
        <v>469</v>
      </c>
      <c r="F27" s="7" t="s">
        <v>470</v>
      </c>
      <c r="G27" s="7" t="s">
        <v>471</v>
      </c>
      <c r="H27" s="7" t="s">
        <v>472</v>
      </c>
    </row>
    <row r="28" spans="1:8" ht="55" customHeight="1">
      <c r="A28" s="3" t="s">
        <v>497</v>
      </c>
      <c r="B28" s="10">
        <v>243.244</v>
      </c>
      <c r="C28" s="4" t="s">
        <v>468</v>
      </c>
      <c r="D28" s="4" t="b">
        <v>0</v>
      </c>
      <c r="E28" s="4" t="s">
        <v>469</v>
      </c>
      <c r="F28" s="4" t="s">
        <v>470</v>
      </c>
      <c r="G28" s="4" t="s">
        <v>471</v>
      </c>
      <c r="H28" s="4" t="s">
        <v>472</v>
      </c>
    </row>
    <row r="29" spans="1:8" ht="40" customHeight="1">
      <c r="A29" s="6" t="s">
        <v>498</v>
      </c>
      <c r="B29" s="9">
        <v>802.5650000000001</v>
      </c>
      <c r="C29" s="7" t="s">
        <v>468</v>
      </c>
      <c r="D29" s="7" t="b">
        <v>1</v>
      </c>
      <c r="E29" s="7" t="s">
        <v>469</v>
      </c>
      <c r="F29" s="7" t="s">
        <v>470</v>
      </c>
      <c r="G29" s="7" t="s">
        <v>499</v>
      </c>
      <c r="H29" s="7" t="s">
        <v>472</v>
      </c>
    </row>
    <row r="30" spans="1:8" ht="40" customHeight="1">
      <c r="A30" s="3" t="s">
        <v>500</v>
      </c>
      <c r="B30" s="10">
        <v>400.409</v>
      </c>
      <c r="C30" s="4" t="s">
        <v>468</v>
      </c>
      <c r="D30" s="4" t="b">
        <v>1</v>
      </c>
      <c r="E30" s="4" t="s">
        <v>469</v>
      </c>
      <c r="F30" s="4" t="s">
        <v>470</v>
      </c>
      <c r="G30" s="4" t="s">
        <v>499</v>
      </c>
      <c r="H30" s="4" t="s">
        <v>472</v>
      </c>
    </row>
    <row r="31" spans="1:8" ht="55" customHeight="1">
      <c r="A31" s="6" t="s">
        <v>501</v>
      </c>
      <c r="B31" s="7"/>
      <c r="C31" s="7" t="s">
        <v>475</v>
      </c>
      <c r="D31" s="7" t="b">
        <v>1</v>
      </c>
      <c r="E31" s="7" t="s">
        <v>476</v>
      </c>
      <c r="F31" s="7" t="s">
        <v>470</v>
      </c>
      <c r="G31" s="7" t="s">
        <v>502</v>
      </c>
      <c r="H31" s="7" t="s">
        <v>472</v>
      </c>
    </row>
    <row r="32" spans="1:8" ht="85" customHeight="1">
      <c r="A32" s="3" t="s">
        <v>503</v>
      </c>
      <c r="B32" s="10">
        <v>1874.341</v>
      </c>
      <c r="C32" s="4" t="s">
        <v>468</v>
      </c>
      <c r="D32" s="4" t="b">
        <v>1</v>
      </c>
      <c r="E32" s="4" t="s">
        <v>504</v>
      </c>
      <c r="F32" s="4" t="s">
        <v>470</v>
      </c>
      <c r="G32" s="4" t="s">
        <v>499</v>
      </c>
      <c r="H32" s="4" t="s">
        <v>472</v>
      </c>
    </row>
    <row r="33" spans="1:8" ht="40" customHeight="1">
      <c r="A33" s="6" t="s">
        <v>505</v>
      </c>
      <c r="B33" s="9">
        <v>3349.83</v>
      </c>
      <c r="C33" s="7" t="s">
        <v>468</v>
      </c>
      <c r="D33" s="7" t="b">
        <v>1</v>
      </c>
      <c r="E33" s="7" t="s">
        <v>469</v>
      </c>
      <c r="F33" s="7" t="s">
        <v>470</v>
      </c>
      <c r="G33" s="7" t="s">
        <v>499</v>
      </c>
      <c r="H33" s="7" t="s">
        <v>472</v>
      </c>
    </row>
    <row r="34" spans="1:8" ht="40" customHeight="1">
      <c r="A34" s="3" t="s">
        <v>506</v>
      </c>
      <c r="B34" s="4"/>
      <c r="C34" s="4" t="s">
        <v>475</v>
      </c>
      <c r="D34" s="4" t="b">
        <v>1</v>
      </c>
      <c r="E34" s="4" t="s">
        <v>476</v>
      </c>
      <c r="F34" s="4" t="s">
        <v>470</v>
      </c>
      <c r="G34" s="4" t="s">
        <v>499</v>
      </c>
      <c r="H34" s="4" t="s">
        <v>472</v>
      </c>
    </row>
    <row r="35" spans="1:8" ht="40" customHeight="1">
      <c r="A35" s="6" t="s">
        <v>507</v>
      </c>
      <c r="B35" s="9">
        <v>1311.835</v>
      </c>
      <c r="C35" s="7" t="s">
        <v>468</v>
      </c>
      <c r="D35" s="7" t="b">
        <v>1</v>
      </c>
      <c r="E35" s="7" t="s">
        <v>469</v>
      </c>
      <c r="F35" s="7" t="s">
        <v>470</v>
      </c>
      <c r="G35" s="7" t="s">
        <v>499</v>
      </c>
      <c r="H35" s="7" t="s">
        <v>472</v>
      </c>
    </row>
    <row r="36" spans="1:8" ht="40" customHeight="1">
      <c r="A36" s="3" t="s">
        <v>508</v>
      </c>
      <c r="B36" s="10">
        <v>1473.932</v>
      </c>
      <c r="C36" s="4" t="s">
        <v>468</v>
      </c>
      <c r="D36" s="4" t="b">
        <v>1</v>
      </c>
      <c r="E36" s="4" t="s">
        <v>469</v>
      </c>
      <c r="F36" s="4" t="s">
        <v>470</v>
      </c>
      <c r="G36" s="4" t="s">
        <v>499</v>
      </c>
      <c r="H36" s="4" t="s">
        <v>472</v>
      </c>
    </row>
    <row r="37" spans="1:8" ht="40" customHeight="1">
      <c r="A37" s="6" t="s">
        <v>509</v>
      </c>
      <c r="B37" s="9">
        <v>1497.743</v>
      </c>
      <c r="C37" s="7" t="s">
        <v>468</v>
      </c>
      <c r="D37" s="7" t="b">
        <v>1</v>
      </c>
      <c r="E37" s="7" t="s">
        <v>469</v>
      </c>
      <c r="F37" s="7" t="s">
        <v>470</v>
      </c>
      <c r="G37" s="7" t="s">
        <v>499</v>
      </c>
      <c r="H37" s="7" t="s">
        <v>472</v>
      </c>
    </row>
    <row r="38" spans="1:8" ht="40" customHeight="1">
      <c r="A38" s="3" t="s">
        <v>510</v>
      </c>
      <c r="B38" s="10">
        <v>214.25</v>
      </c>
      <c r="C38" s="4" t="s">
        <v>468</v>
      </c>
      <c r="D38" s="4" t="b">
        <v>1</v>
      </c>
      <c r="E38" s="4" t="s">
        <v>469</v>
      </c>
      <c r="F38" s="4" t="s">
        <v>470</v>
      </c>
      <c r="G38" s="4" t="s">
        <v>499</v>
      </c>
      <c r="H38" s="4" t="s">
        <v>472</v>
      </c>
    </row>
    <row r="39" spans="1:8" ht="40" customHeight="1">
      <c r="A39" s="6" t="s">
        <v>511</v>
      </c>
      <c r="B39" s="9">
        <v>13442.849</v>
      </c>
      <c r="C39" s="7" t="s">
        <v>468</v>
      </c>
      <c r="D39" s="7" t="b">
        <v>1</v>
      </c>
      <c r="E39" s="7" t="s">
        <v>469</v>
      </c>
      <c r="F39" s="7" t="s">
        <v>470</v>
      </c>
      <c r="G39" s="7" t="s">
        <v>499</v>
      </c>
      <c r="H39" s="7" t="s">
        <v>472</v>
      </c>
    </row>
    <row r="40" spans="1:8" ht="40" customHeight="1">
      <c r="A40" s="3" t="s">
        <v>512</v>
      </c>
      <c r="B40" s="10">
        <v>399.467</v>
      </c>
      <c r="C40" s="4" t="s">
        <v>468</v>
      </c>
      <c r="D40" s="4" t="b">
        <v>1</v>
      </c>
      <c r="E40" s="4" t="s">
        <v>469</v>
      </c>
      <c r="F40" s="4" t="s">
        <v>470</v>
      </c>
      <c r="G40" s="4" t="s">
        <v>499</v>
      </c>
      <c r="H40" s="4" t="s">
        <v>472</v>
      </c>
    </row>
    <row r="41" spans="1:8" ht="85" customHeight="1">
      <c r="A41" s="6" t="s">
        <v>513</v>
      </c>
      <c r="B41" s="7" t="s">
        <v>514</v>
      </c>
      <c r="C41" s="7" t="s">
        <v>468</v>
      </c>
      <c r="D41" s="7" t="b">
        <v>1</v>
      </c>
      <c r="E41" s="7" t="s">
        <v>515</v>
      </c>
      <c r="F41" s="7" t="s">
        <v>516</v>
      </c>
      <c r="G41" s="7" t="s">
        <v>517</v>
      </c>
      <c r="H41" s="7" t="s">
        <v>518</v>
      </c>
    </row>
    <row r="42" spans="1:8" ht="55" customHeight="1">
      <c r="A42" s="3" t="s">
        <v>519</v>
      </c>
      <c r="B42" s="4"/>
      <c r="C42" s="4" t="s">
        <v>475</v>
      </c>
      <c r="D42" s="4" t="b">
        <v>1</v>
      </c>
      <c r="E42" s="4" t="s">
        <v>476</v>
      </c>
      <c r="F42" s="4" t="s">
        <v>520</v>
      </c>
      <c r="G42" s="4" t="s">
        <v>517</v>
      </c>
      <c r="H42" s="4" t="s">
        <v>518</v>
      </c>
    </row>
    <row r="43" spans="1:8" ht="55" customHeight="1">
      <c r="A43" s="6" t="s">
        <v>521</v>
      </c>
      <c r="B43" s="7"/>
      <c r="C43" s="7" t="s">
        <v>475</v>
      </c>
      <c r="D43" s="7" t="b">
        <v>1</v>
      </c>
      <c r="E43" s="7" t="s">
        <v>476</v>
      </c>
      <c r="F43" s="7" t="s">
        <v>522</v>
      </c>
      <c r="G43" s="7" t="s">
        <v>517</v>
      </c>
      <c r="H43" s="7" t="s">
        <v>518</v>
      </c>
    </row>
    <row r="44" spans="1:8" ht="55" customHeight="1">
      <c r="A44" s="3" t="s">
        <v>523</v>
      </c>
      <c r="B44" s="4"/>
      <c r="C44" s="4" t="s">
        <v>475</v>
      </c>
      <c r="D44" s="4" t="b">
        <v>1</v>
      </c>
      <c r="E44" s="4" t="s">
        <v>476</v>
      </c>
      <c r="F44" s="4" t="s">
        <v>524</v>
      </c>
      <c r="G44" s="4" t="s">
        <v>517</v>
      </c>
      <c r="H44" s="4" t="s">
        <v>518</v>
      </c>
    </row>
    <row r="45" spans="1:8" ht="55" customHeight="1">
      <c r="A45" s="6" t="s">
        <v>525</v>
      </c>
      <c r="B45" s="7"/>
      <c r="C45" s="7" t="s">
        <v>475</v>
      </c>
      <c r="D45" s="7" t="b">
        <v>1</v>
      </c>
      <c r="E45" s="7" t="s">
        <v>476</v>
      </c>
      <c r="F45" s="7" t="s">
        <v>526</v>
      </c>
      <c r="G45" s="7" t="s">
        <v>517</v>
      </c>
      <c r="H45" s="7" t="s">
        <v>518</v>
      </c>
    </row>
    <row r="46" spans="1:8" ht="55" customHeight="1">
      <c r="A46" s="3" t="s">
        <v>527</v>
      </c>
      <c r="B46" s="4"/>
      <c r="C46" s="4" t="s">
        <v>475</v>
      </c>
      <c r="D46" s="4" t="b">
        <v>1</v>
      </c>
      <c r="E46" s="4" t="s">
        <v>476</v>
      </c>
      <c r="F46" s="4" t="s">
        <v>528</v>
      </c>
      <c r="G46" s="4" t="s">
        <v>517</v>
      </c>
      <c r="H46" s="4" t="s">
        <v>518</v>
      </c>
    </row>
    <row r="47" spans="1:8" ht="55" customHeight="1">
      <c r="A47" s="6" t="s">
        <v>529</v>
      </c>
      <c r="B47" s="7"/>
      <c r="C47" s="7" t="s">
        <v>475</v>
      </c>
      <c r="D47" s="7" t="b">
        <v>1</v>
      </c>
      <c r="E47" s="7" t="s">
        <v>476</v>
      </c>
      <c r="F47" s="7" t="s">
        <v>530</v>
      </c>
      <c r="G47" s="7" t="s">
        <v>517</v>
      </c>
      <c r="H47" s="7" t="s">
        <v>518</v>
      </c>
    </row>
    <row r="48" spans="1:8" ht="70" customHeight="1">
      <c r="A48" s="3" t="s">
        <v>531</v>
      </c>
      <c r="B48" s="4" t="s">
        <v>532</v>
      </c>
      <c r="C48" s="4" t="s">
        <v>468</v>
      </c>
      <c r="D48" s="4" t="b">
        <v>1</v>
      </c>
      <c r="E48" s="4" t="s">
        <v>515</v>
      </c>
      <c r="F48" s="4" t="s">
        <v>533</v>
      </c>
      <c r="G48" s="4" t="s">
        <v>517</v>
      </c>
      <c r="H48" s="4" t="s">
        <v>518</v>
      </c>
    </row>
    <row r="49" spans="1:8" ht="40" customHeight="1">
      <c r="A49" s="6" t="s">
        <v>534</v>
      </c>
      <c r="B49" s="7"/>
      <c r="C49" s="7" t="s">
        <v>475</v>
      </c>
      <c r="D49" s="7" t="b">
        <v>1</v>
      </c>
      <c r="E49" s="7" t="s">
        <v>476</v>
      </c>
      <c r="F49" s="7" t="s">
        <v>535</v>
      </c>
      <c r="G49" s="7" t="s">
        <v>536</v>
      </c>
      <c r="H49" s="7" t="s">
        <v>537</v>
      </c>
    </row>
    <row r="50" spans="1:8" ht="55" customHeight="1">
      <c r="A50" s="3" t="s">
        <v>538</v>
      </c>
      <c r="B50" s="10">
        <v>1484.217</v>
      </c>
      <c r="C50" s="4" t="s">
        <v>468</v>
      </c>
      <c r="D50" s="4" t="b">
        <v>0</v>
      </c>
      <c r="E50" s="4" t="s">
        <v>469</v>
      </c>
      <c r="F50" s="4" t="s">
        <v>535</v>
      </c>
      <c r="G50" s="4" t="s">
        <v>539</v>
      </c>
      <c r="H50" s="4" t="s">
        <v>537</v>
      </c>
    </row>
    <row r="51" spans="1:8" ht="40" customHeight="1">
      <c r="A51" s="6" t="s">
        <v>540</v>
      </c>
      <c r="B51" s="7"/>
      <c r="C51" s="7" t="s">
        <v>475</v>
      </c>
      <c r="D51" s="7" t="b">
        <v>1</v>
      </c>
      <c r="E51" s="7" t="s">
        <v>476</v>
      </c>
      <c r="F51" s="7" t="s">
        <v>535</v>
      </c>
      <c r="G51" s="7" t="s">
        <v>536</v>
      </c>
      <c r="H51" s="7" t="s">
        <v>537</v>
      </c>
    </row>
    <row r="52" spans="1:8" ht="40" customHeight="1">
      <c r="A52" s="3" t="s">
        <v>541</v>
      </c>
      <c r="B52" s="4"/>
      <c r="C52" s="4" t="s">
        <v>475</v>
      </c>
      <c r="D52" s="4" t="b">
        <v>1</v>
      </c>
      <c r="E52" s="4" t="s">
        <v>476</v>
      </c>
      <c r="F52" s="4" t="s">
        <v>535</v>
      </c>
      <c r="G52" s="4" t="s">
        <v>536</v>
      </c>
      <c r="H52" s="4" t="s">
        <v>537</v>
      </c>
    </row>
    <row r="53" spans="1:8" ht="85" customHeight="1">
      <c r="A53" s="6" t="s">
        <v>542</v>
      </c>
      <c r="B53" s="7" t="s">
        <v>543</v>
      </c>
      <c r="C53" s="7" t="s">
        <v>544</v>
      </c>
      <c r="D53" s="7" t="b">
        <v>1</v>
      </c>
      <c r="E53" s="7" t="s">
        <v>545</v>
      </c>
      <c r="F53" s="7" t="s">
        <v>546</v>
      </c>
      <c r="G53" s="7" t="s">
        <v>547</v>
      </c>
      <c r="H53" s="7" t="s">
        <v>548</v>
      </c>
    </row>
    <row r="54" spans="1:8" ht="70" customHeight="1">
      <c r="A54" s="3" t="s">
        <v>549</v>
      </c>
      <c r="B54" s="4" t="s">
        <v>550</v>
      </c>
      <c r="C54" s="4" t="s">
        <v>544</v>
      </c>
      <c r="D54" s="4" t="b">
        <v>1</v>
      </c>
      <c r="E54" s="4" t="s">
        <v>551</v>
      </c>
      <c r="F54" s="4" t="s">
        <v>546</v>
      </c>
      <c r="G54" s="4" t="s">
        <v>547</v>
      </c>
      <c r="H54" s="4" t="s">
        <v>548</v>
      </c>
    </row>
    <row r="55" spans="1:8" ht="190" customHeight="1">
      <c r="A55" s="6" t="s">
        <v>552</v>
      </c>
      <c r="B55" s="7" t="s">
        <v>553</v>
      </c>
      <c r="C55" s="7" t="s">
        <v>544</v>
      </c>
      <c r="D55" s="7" t="b">
        <v>1</v>
      </c>
      <c r="E55" s="7" t="s">
        <v>554</v>
      </c>
      <c r="F55" s="7" t="s">
        <v>546</v>
      </c>
      <c r="G55" s="7" t="s">
        <v>547</v>
      </c>
      <c r="H55" s="7" t="s">
        <v>548</v>
      </c>
    </row>
    <row r="56" spans="1:8" ht="310" customHeight="1">
      <c r="A56" s="3" t="s">
        <v>555</v>
      </c>
      <c r="B56" s="4" t="s">
        <v>556</v>
      </c>
      <c r="C56" s="4" t="s">
        <v>544</v>
      </c>
      <c r="D56" s="4" t="b">
        <v>1</v>
      </c>
      <c r="E56" s="4" t="s">
        <v>557</v>
      </c>
      <c r="F56" s="4" t="s">
        <v>546</v>
      </c>
      <c r="G56" s="4" t="s">
        <v>547</v>
      </c>
      <c r="H56" s="4" t="s">
        <v>548</v>
      </c>
    </row>
    <row r="57" spans="1:8" ht="295" customHeight="1">
      <c r="A57" s="6" t="s">
        <v>558</v>
      </c>
      <c r="B57" s="7" t="s">
        <v>559</v>
      </c>
      <c r="C57" s="7" t="s">
        <v>544</v>
      </c>
      <c r="D57" s="7" t="b">
        <v>1</v>
      </c>
      <c r="E57" s="7" t="s">
        <v>560</v>
      </c>
      <c r="F57" s="7" t="s">
        <v>546</v>
      </c>
      <c r="G57" s="7" t="s">
        <v>547</v>
      </c>
      <c r="H57" s="7" t="s">
        <v>548</v>
      </c>
    </row>
    <row r="58" spans="1:8" ht="70" customHeight="1">
      <c r="A58" s="3" t="s">
        <v>561</v>
      </c>
      <c r="B58" s="4" t="s">
        <v>562</v>
      </c>
      <c r="C58" s="4" t="s">
        <v>544</v>
      </c>
      <c r="D58" s="4" t="b">
        <v>1</v>
      </c>
      <c r="E58" s="4" t="s">
        <v>563</v>
      </c>
      <c r="F58" s="4" t="s">
        <v>546</v>
      </c>
      <c r="G58" s="4" t="s">
        <v>547</v>
      </c>
      <c r="H58" s="4" t="s">
        <v>548</v>
      </c>
    </row>
    <row r="59" spans="1:8" ht="55" customHeight="1">
      <c r="A59" s="6" t="s">
        <v>564</v>
      </c>
      <c r="B59" s="9">
        <v>1689.94</v>
      </c>
      <c r="C59" s="7" t="s">
        <v>468</v>
      </c>
      <c r="D59" s="7" t="b">
        <v>0</v>
      </c>
      <c r="E59" s="7" t="s">
        <v>515</v>
      </c>
      <c r="F59" s="7" t="s">
        <v>565</v>
      </c>
      <c r="G59" s="7" t="s">
        <v>566</v>
      </c>
      <c r="H59" s="7" t="s">
        <v>567</v>
      </c>
    </row>
    <row r="60" spans="1:8" ht="85" customHeight="1">
      <c r="A60" s="3" t="s">
        <v>568</v>
      </c>
      <c r="B60" s="4" t="s">
        <v>569</v>
      </c>
      <c r="C60" s="4" t="s">
        <v>468</v>
      </c>
      <c r="D60" s="4" t="b">
        <v>0</v>
      </c>
      <c r="E60" s="4" t="s">
        <v>570</v>
      </c>
      <c r="F60" s="4" t="s">
        <v>565</v>
      </c>
      <c r="G60" s="4" t="s">
        <v>566</v>
      </c>
      <c r="H60" s="4" t="s">
        <v>567</v>
      </c>
    </row>
    <row r="61" spans="1:8" ht="145" customHeight="1">
      <c r="A61" s="6" t="s">
        <v>571</v>
      </c>
      <c r="B61" s="7" t="s">
        <v>572</v>
      </c>
      <c r="C61" s="7" t="s">
        <v>468</v>
      </c>
      <c r="D61" s="7" t="b">
        <v>0</v>
      </c>
      <c r="E61" s="7" t="s">
        <v>573</v>
      </c>
      <c r="F61" s="7" t="s">
        <v>565</v>
      </c>
      <c r="G61" s="7" t="s">
        <v>566</v>
      </c>
      <c r="H61" s="7" t="s">
        <v>567</v>
      </c>
    </row>
    <row r="62" spans="1:8" ht="55" customHeight="1">
      <c r="A62" s="3" t="s">
        <v>574</v>
      </c>
      <c r="B62" s="4" t="s">
        <v>575</v>
      </c>
      <c r="C62" s="4" t="s">
        <v>468</v>
      </c>
      <c r="D62" s="4" t="b">
        <v>0</v>
      </c>
      <c r="E62" s="4" t="s">
        <v>576</v>
      </c>
      <c r="F62" s="4" t="s">
        <v>565</v>
      </c>
      <c r="G62" s="4" t="s">
        <v>566</v>
      </c>
      <c r="H62" s="4" t="s">
        <v>567</v>
      </c>
    </row>
    <row r="63" spans="1:8" ht="100" customHeight="1">
      <c r="A63" s="6" t="s">
        <v>577</v>
      </c>
      <c r="B63" s="7" t="s">
        <v>578</v>
      </c>
      <c r="C63" s="7" t="s">
        <v>468</v>
      </c>
      <c r="D63" s="7" t="b">
        <v>0</v>
      </c>
      <c r="E63" s="7" t="s">
        <v>515</v>
      </c>
      <c r="F63" s="7" t="s">
        <v>565</v>
      </c>
      <c r="G63" s="7" t="s">
        <v>566</v>
      </c>
      <c r="H63" s="7" t="s">
        <v>567</v>
      </c>
    </row>
    <row r="64" spans="1:8" ht="115" customHeight="1">
      <c r="A64" s="3" t="s">
        <v>579</v>
      </c>
      <c r="B64" s="4" t="s">
        <v>580</v>
      </c>
      <c r="C64" s="4" t="s">
        <v>468</v>
      </c>
      <c r="D64" s="4" t="b">
        <v>0</v>
      </c>
      <c r="E64" s="4" t="s">
        <v>581</v>
      </c>
      <c r="F64" s="4" t="s">
        <v>565</v>
      </c>
      <c r="G64" s="4" t="s">
        <v>566</v>
      </c>
      <c r="H64" s="4" t="s">
        <v>567</v>
      </c>
    </row>
    <row r="65" spans="1:8" ht="55" customHeight="1">
      <c r="A65" s="6" t="s">
        <v>582</v>
      </c>
      <c r="B65" s="7" t="s">
        <v>583</v>
      </c>
      <c r="C65" s="7" t="s">
        <v>468</v>
      </c>
      <c r="D65" s="7" t="b">
        <v>0</v>
      </c>
      <c r="E65" s="7" t="s">
        <v>515</v>
      </c>
      <c r="F65" s="7" t="s">
        <v>565</v>
      </c>
      <c r="G65" s="7" t="s">
        <v>566</v>
      </c>
      <c r="H65" s="7" t="s">
        <v>567</v>
      </c>
    </row>
    <row r="66" spans="1:8" ht="55" customHeight="1">
      <c r="A66" s="3" t="s">
        <v>584</v>
      </c>
      <c r="B66" s="4" t="s">
        <v>585</v>
      </c>
      <c r="C66" s="4" t="s">
        <v>468</v>
      </c>
      <c r="D66" s="4" t="b">
        <v>0</v>
      </c>
      <c r="E66" s="4" t="s">
        <v>576</v>
      </c>
      <c r="F66" s="4" t="s">
        <v>565</v>
      </c>
      <c r="G66" s="4" t="s">
        <v>566</v>
      </c>
      <c r="H66" s="4" t="s">
        <v>567</v>
      </c>
    </row>
    <row r="67" spans="1:8" ht="85" customHeight="1">
      <c r="A67" s="6" t="s">
        <v>586</v>
      </c>
      <c r="B67" s="7" t="s">
        <v>587</v>
      </c>
      <c r="C67" s="7" t="s">
        <v>468</v>
      </c>
      <c r="D67" s="7" t="b">
        <v>0</v>
      </c>
      <c r="E67" s="7" t="s">
        <v>576</v>
      </c>
      <c r="F67" s="7" t="s">
        <v>565</v>
      </c>
      <c r="G67" s="7" t="s">
        <v>566</v>
      </c>
      <c r="H67" s="7" t="s">
        <v>567</v>
      </c>
    </row>
    <row r="68" spans="1:8" ht="55" customHeight="1">
      <c r="A68" s="3" t="s">
        <v>588</v>
      </c>
      <c r="B68" s="4" t="s">
        <v>589</v>
      </c>
      <c r="C68" s="4" t="s">
        <v>468</v>
      </c>
      <c r="D68" s="4" t="b">
        <v>0</v>
      </c>
      <c r="E68" s="4" t="s">
        <v>590</v>
      </c>
      <c r="F68" s="4" t="s">
        <v>565</v>
      </c>
      <c r="G68" s="4" t="s">
        <v>566</v>
      </c>
      <c r="H68" s="4" t="s">
        <v>567</v>
      </c>
    </row>
    <row r="69" spans="1:8" ht="55" customHeight="1">
      <c r="A69" s="6" t="s">
        <v>591</v>
      </c>
      <c r="B69" s="9">
        <v>180</v>
      </c>
      <c r="C69" s="7" t="s">
        <v>468</v>
      </c>
      <c r="D69" s="7" t="b">
        <v>0</v>
      </c>
      <c r="E69" s="7" t="s">
        <v>515</v>
      </c>
      <c r="F69" s="7" t="s">
        <v>565</v>
      </c>
      <c r="G69" s="7" t="s">
        <v>566</v>
      </c>
      <c r="H69" s="7" t="s">
        <v>567</v>
      </c>
    </row>
    <row r="70" spans="1:8" ht="55" customHeight="1">
      <c r="A70" s="3" t="s">
        <v>592</v>
      </c>
      <c r="B70" s="4" t="s">
        <v>593</v>
      </c>
      <c r="C70" s="4" t="s">
        <v>468</v>
      </c>
      <c r="D70" s="4" t="b">
        <v>0</v>
      </c>
      <c r="E70" s="4" t="s">
        <v>594</v>
      </c>
      <c r="F70" s="4" t="s">
        <v>565</v>
      </c>
      <c r="G70" s="4" t="s">
        <v>566</v>
      </c>
      <c r="H70" s="4" t="s">
        <v>567</v>
      </c>
    </row>
    <row r="71" spans="1:8" ht="55" customHeight="1">
      <c r="A71" s="6" t="s">
        <v>595</v>
      </c>
      <c r="B71" s="7" t="s">
        <v>596</v>
      </c>
      <c r="C71" s="7" t="s">
        <v>468</v>
      </c>
      <c r="D71" s="7" t="b">
        <v>0</v>
      </c>
      <c r="E71" s="7" t="s">
        <v>597</v>
      </c>
      <c r="F71" s="7" t="s">
        <v>565</v>
      </c>
      <c r="G71" s="7" t="s">
        <v>566</v>
      </c>
      <c r="H71" s="7" t="s">
        <v>567</v>
      </c>
    </row>
    <row r="72" spans="1:8" ht="145" customHeight="1">
      <c r="A72" s="3" t="s">
        <v>598</v>
      </c>
      <c r="B72" s="4" t="s">
        <v>599</v>
      </c>
      <c r="C72" s="4" t="s">
        <v>468</v>
      </c>
      <c r="D72" s="4" t="b">
        <v>0</v>
      </c>
      <c r="E72" s="4" t="s">
        <v>600</v>
      </c>
      <c r="F72" s="4" t="s">
        <v>565</v>
      </c>
      <c r="G72" s="4" t="s">
        <v>566</v>
      </c>
      <c r="H72" s="4" t="s">
        <v>567</v>
      </c>
    </row>
    <row r="73" spans="1:8" ht="55" customHeight="1">
      <c r="A73" s="6" t="s">
        <v>601</v>
      </c>
      <c r="B73" s="9">
        <v>401</v>
      </c>
      <c r="C73" s="7" t="s">
        <v>468</v>
      </c>
      <c r="D73" s="7" t="b">
        <v>0</v>
      </c>
      <c r="E73" s="7" t="s">
        <v>602</v>
      </c>
      <c r="F73" s="7" t="s">
        <v>565</v>
      </c>
      <c r="G73" s="7" t="s">
        <v>566</v>
      </c>
      <c r="H73" s="7" t="s">
        <v>567</v>
      </c>
    </row>
    <row r="74" spans="1:8" ht="115" customHeight="1">
      <c r="A74" s="3" t="s">
        <v>603</v>
      </c>
      <c r="B74" s="4" t="s">
        <v>604</v>
      </c>
      <c r="C74" s="4" t="s">
        <v>468</v>
      </c>
      <c r="D74" s="4" t="b">
        <v>0</v>
      </c>
      <c r="E74" s="4" t="s">
        <v>605</v>
      </c>
      <c r="F74" s="4" t="s">
        <v>565</v>
      </c>
      <c r="G74" s="4" t="s">
        <v>566</v>
      </c>
      <c r="H74" s="4" t="s">
        <v>567</v>
      </c>
    </row>
    <row r="75" spans="1:8" ht="55" customHeight="1">
      <c r="A75" s="6" t="s">
        <v>606</v>
      </c>
      <c r="B75" s="9">
        <v>50</v>
      </c>
      <c r="C75" s="7" t="s">
        <v>468</v>
      </c>
      <c r="D75" s="7" t="b">
        <v>0</v>
      </c>
      <c r="E75" s="7" t="s">
        <v>602</v>
      </c>
      <c r="F75" s="7" t="s">
        <v>565</v>
      </c>
      <c r="G75" s="7" t="s">
        <v>566</v>
      </c>
      <c r="H75" s="7" t="s">
        <v>567</v>
      </c>
    </row>
    <row r="76" spans="1:8" ht="100" customHeight="1">
      <c r="A76" s="3" t="s">
        <v>607</v>
      </c>
      <c r="B76" s="4" t="s">
        <v>608</v>
      </c>
      <c r="C76" s="4" t="s">
        <v>468</v>
      </c>
      <c r="D76" s="4" t="b">
        <v>0</v>
      </c>
      <c r="E76" s="4" t="s">
        <v>609</v>
      </c>
      <c r="F76" s="4" t="s">
        <v>565</v>
      </c>
      <c r="G76" s="4" t="s">
        <v>566</v>
      </c>
      <c r="H76" s="4" t="s">
        <v>567</v>
      </c>
    </row>
    <row r="77" spans="1:8" ht="160" customHeight="1">
      <c r="A77" s="6" t="s">
        <v>610</v>
      </c>
      <c r="B77" s="7" t="s">
        <v>611</v>
      </c>
      <c r="C77" s="7" t="s">
        <v>468</v>
      </c>
      <c r="D77" s="7" t="b">
        <v>0</v>
      </c>
      <c r="E77" s="7" t="s">
        <v>602</v>
      </c>
      <c r="F77" s="7" t="s">
        <v>565</v>
      </c>
      <c r="G77" s="7" t="s">
        <v>566</v>
      </c>
      <c r="H77" s="7" t="s">
        <v>567</v>
      </c>
    </row>
    <row r="78" spans="1:8" ht="55" customHeight="1">
      <c r="A78" s="3" t="s">
        <v>612</v>
      </c>
      <c r="B78" s="10">
        <v>7</v>
      </c>
      <c r="C78" s="4" t="s">
        <v>468</v>
      </c>
      <c r="D78" s="4" t="b">
        <v>0</v>
      </c>
      <c r="E78" s="4" t="s">
        <v>609</v>
      </c>
      <c r="F78" s="4" t="s">
        <v>565</v>
      </c>
      <c r="G78" s="4" t="s">
        <v>566</v>
      </c>
      <c r="H78" s="4" t="s">
        <v>567</v>
      </c>
    </row>
    <row r="79" spans="1:8" ht="55" customHeight="1">
      <c r="A79" s="6" t="s">
        <v>613</v>
      </c>
      <c r="B79" s="9">
        <v>400</v>
      </c>
      <c r="C79" s="7" t="s">
        <v>468</v>
      </c>
      <c r="D79" s="7" t="b">
        <v>0</v>
      </c>
      <c r="E79" s="7" t="s">
        <v>602</v>
      </c>
      <c r="F79" s="7" t="s">
        <v>565</v>
      </c>
      <c r="G79" s="7" t="s">
        <v>566</v>
      </c>
      <c r="H79" s="7" t="s">
        <v>567</v>
      </c>
    </row>
    <row r="80" spans="1:8" ht="130" customHeight="1">
      <c r="A80" s="3" t="s">
        <v>614</v>
      </c>
      <c r="B80" s="4" t="s">
        <v>615</v>
      </c>
      <c r="C80" s="4" t="s">
        <v>468</v>
      </c>
      <c r="D80" s="4" t="b">
        <v>0</v>
      </c>
      <c r="E80" s="4" t="s">
        <v>616</v>
      </c>
      <c r="F80" s="4" t="s">
        <v>565</v>
      </c>
      <c r="G80" s="4" t="s">
        <v>566</v>
      </c>
      <c r="H80" s="4" t="s">
        <v>567</v>
      </c>
    </row>
    <row r="81" spans="1:8" ht="85" customHeight="1">
      <c r="A81" s="6" t="s">
        <v>617</v>
      </c>
      <c r="B81" s="7" t="s">
        <v>618</v>
      </c>
      <c r="C81" s="7" t="s">
        <v>468</v>
      </c>
      <c r="D81" s="7" t="b">
        <v>0</v>
      </c>
      <c r="E81" s="7" t="s">
        <v>619</v>
      </c>
      <c r="F81" s="7" t="s">
        <v>565</v>
      </c>
      <c r="G81" s="7" t="s">
        <v>566</v>
      </c>
      <c r="H81" s="7" t="s">
        <v>567</v>
      </c>
    </row>
    <row r="82" spans="1:8" ht="55" customHeight="1">
      <c r="A82" s="3" t="s">
        <v>620</v>
      </c>
      <c r="B82" s="4" t="s">
        <v>621</v>
      </c>
      <c r="C82" s="4" t="s">
        <v>468</v>
      </c>
      <c r="D82" s="4" t="b">
        <v>0</v>
      </c>
      <c r="E82" s="4" t="s">
        <v>602</v>
      </c>
      <c r="F82" s="4" t="s">
        <v>565</v>
      </c>
      <c r="G82" s="4" t="s">
        <v>566</v>
      </c>
      <c r="H82" s="4" t="s">
        <v>567</v>
      </c>
    </row>
    <row r="83" spans="1:8" ht="55" customHeight="1">
      <c r="A83" s="6" t="s">
        <v>622</v>
      </c>
      <c r="B83" s="7" t="s">
        <v>623</v>
      </c>
      <c r="C83" s="7" t="s">
        <v>468</v>
      </c>
      <c r="D83" s="7" t="b">
        <v>0</v>
      </c>
      <c r="E83" s="7" t="s">
        <v>624</v>
      </c>
      <c r="F83" s="7" t="s">
        <v>565</v>
      </c>
      <c r="G83" s="7" t="s">
        <v>566</v>
      </c>
      <c r="H83" s="7" t="s">
        <v>567</v>
      </c>
    </row>
    <row r="84" spans="1:8" ht="55" customHeight="1">
      <c r="A84" s="3" t="s">
        <v>625</v>
      </c>
      <c r="B84" s="4" t="s">
        <v>626</v>
      </c>
      <c r="C84" s="4" t="s">
        <v>468</v>
      </c>
      <c r="D84" s="4" t="b">
        <v>0</v>
      </c>
      <c r="E84" s="4" t="s">
        <v>627</v>
      </c>
      <c r="F84" s="4" t="s">
        <v>565</v>
      </c>
      <c r="G84" s="4" t="s">
        <v>566</v>
      </c>
      <c r="H84" s="4" t="s">
        <v>567</v>
      </c>
    </row>
    <row r="85" spans="1:8" ht="145" customHeight="1">
      <c r="A85" s="6" t="s">
        <v>628</v>
      </c>
      <c r="B85" s="7" t="s">
        <v>629</v>
      </c>
      <c r="C85" s="7" t="s">
        <v>468</v>
      </c>
      <c r="D85" s="7" t="b">
        <v>0</v>
      </c>
      <c r="E85" s="7" t="s">
        <v>630</v>
      </c>
      <c r="F85" s="7" t="s">
        <v>565</v>
      </c>
      <c r="G85" s="7" t="s">
        <v>566</v>
      </c>
      <c r="H85" s="7" t="s">
        <v>567</v>
      </c>
    </row>
    <row r="86" spans="1:8" ht="190" customHeight="1">
      <c r="A86" s="3" t="s">
        <v>631</v>
      </c>
      <c r="B86" s="4" t="s">
        <v>632</v>
      </c>
      <c r="C86" s="4" t="s">
        <v>468</v>
      </c>
      <c r="D86" s="4" t="b">
        <v>0</v>
      </c>
      <c r="E86" s="4" t="s">
        <v>630</v>
      </c>
      <c r="F86" s="4" t="s">
        <v>565</v>
      </c>
      <c r="G86" s="4" t="s">
        <v>566</v>
      </c>
      <c r="H86" s="4" t="s">
        <v>567</v>
      </c>
    </row>
    <row r="87" spans="1:8" ht="55" customHeight="1">
      <c r="A87" s="6" t="s">
        <v>633</v>
      </c>
      <c r="B87" s="9">
        <v>285</v>
      </c>
      <c r="C87" s="7" t="s">
        <v>468</v>
      </c>
      <c r="D87" s="7" t="b">
        <v>0</v>
      </c>
      <c r="E87" s="7" t="s">
        <v>634</v>
      </c>
      <c r="F87" s="7" t="s">
        <v>470</v>
      </c>
      <c r="G87" s="7" t="s">
        <v>471</v>
      </c>
      <c r="H87" s="7" t="s">
        <v>472</v>
      </c>
    </row>
    <row r="88" spans="1:8" ht="55" customHeight="1">
      <c r="A88" s="3" t="s">
        <v>635</v>
      </c>
      <c r="B88" s="10">
        <v>208</v>
      </c>
      <c r="C88" s="4" t="s">
        <v>468</v>
      </c>
      <c r="D88" s="4" t="b">
        <v>0</v>
      </c>
      <c r="E88" s="4" t="s">
        <v>634</v>
      </c>
      <c r="F88" s="4" t="s">
        <v>470</v>
      </c>
      <c r="G88" s="4" t="s">
        <v>471</v>
      </c>
      <c r="H88" s="4" t="s">
        <v>472</v>
      </c>
    </row>
    <row r="89" spans="1:8" ht="55" customHeight="1">
      <c r="A89" s="6" t="s">
        <v>636</v>
      </c>
      <c r="B89" s="7"/>
      <c r="C89" s="7" t="s">
        <v>475</v>
      </c>
      <c r="D89" s="7" t="b">
        <v>0</v>
      </c>
      <c r="E89" s="7" t="s">
        <v>476</v>
      </c>
      <c r="F89" s="7" t="s">
        <v>470</v>
      </c>
      <c r="G89" s="7" t="s">
        <v>471</v>
      </c>
      <c r="H89" s="7" t="s">
        <v>472</v>
      </c>
    </row>
    <row r="90" spans="1:8" ht="55" customHeight="1">
      <c r="A90" s="3" t="s">
        <v>637</v>
      </c>
      <c r="B90" s="4"/>
      <c r="C90" s="4" t="s">
        <v>475</v>
      </c>
      <c r="D90" s="4" t="b">
        <v>0</v>
      </c>
      <c r="E90" s="4" t="s">
        <v>476</v>
      </c>
      <c r="F90" s="4" t="s">
        <v>470</v>
      </c>
      <c r="G90" s="4" t="s">
        <v>471</v>
      </c>
      <c r="H90" s="4" t="s">
        <v>472</v>
      </c>
    </row>
    <row r="91" spans="1:8" ht="55" customHeight="1">
      <c r="A91" s="6" t="s">
        <v>638</v>
      </c>
      <c r="B91" s="7"/>
      <c r="C91" s="7" t="s">
        <v>475</v>
      </c>
      <c r="D91" s="7" t="b">
        <v>0</v>
      </c>
      <c r="E91" s="7" t="s">
        <v>476</v>
      </c>
      <c r="F91" s="7" t="s">
        <v>470</v>
      </c>
      <c r="G91" s="7" t="s">
        <v>471</v>
      </c>
      <c r="H91" s="7" t="s">
        <v>472</v>
      </c>
    </row>
    <row r="92" spans="1:8" ht="55" customHeight="1">
      <c r="A92" s="3" t="s">
        <v>639</v>
      </c>
      <c r="B92" s="4"/>
      <c r="C92" s="4" t="s">
        <v>475</v>
      </c>
      <c r="D92" s="4" t="b">
        <v>0</v>
      </c>
      <c r="E92" s="4" t="s">
        <v>476</v>
      </c>
      <c r="F92" s="4" t="s">
        <v>470</v>
      </c>
      <c r="G92" s="4" t="s">
        <v>471</v>
      </c>
      <c r="H92" s="4" t="s">
        <v>472</v>
      </c>
    </row>
    <row r="93" spans="1:8" ht="55" customHeight="1">
      <c r="A93" s="6" t="s">
        <v>640</v>
      </c>
      <c r="B93" s="9">
        <v>173</v>
      </c>
      <c r="C93" s="7" t="s">
        <v>468</v>
      </c>
      <c r="D93" s="7" t="b">
        <v>0</v>
      </c>
      <c r="E93" s="7" t="s">
        <v>634</v>
      </c>
      <c r="F93" s="7" t="s">
        <v>470</v>
      </c>
      <c r="G93" s="7" t="s">
        <v>471</v>
      </c>
      <c r="H93" s="7" t="s">
        <v>472</v>
      </c>
    </row>
    <row r="94" spans="1:8" ht="55" customHeight="1">
      <c r="A94" s="3" t="s">
        <v>641</v>
      </c>
      <c r="B94" s="10">
        <v>581</v>
      </c>
      <c r="C94" s="4" t="s">
        <v>468</v>
      </c>
      <c r="D94" s="4" t="b">
        <v>0</v>
      </c>
      <c r="E94" s="4" t="s">
        <v>634</v>
      </c>
      <c r="F94" s="4" t="s">
        <v>470</v>
      </c>
      <c r="G94" s="4" t="s">
        <v>471</v>
      </c>
      <c r="H94" s="4" t="s">
        <v>472</v>
      </c>
    </row>
    <row r="95" spans="1:8" ht="55" customHeight="1">
      <c r="A95" s="6" t="s">
        <v>642</v>
      </c>
      <c r="B95" s="7"/>
      <c r="C95" s="7" t="s">
        <v>475</v>
      </c>
      <c r="D95" s="7" t="b">
        <v>0</v>
      </c>
      <c r="E95" s="7" t="s">
        <v>476</v>
      </c>
      <c r="F95" s="7" t="s">
        <v>470</v>
      </c>
      <c r="G95" s="7" t="s">
        <v>471</v>
      </c>
      <c r="H95" s="7" t="s">
        <v>472</v>
      </c>
    </row>
    <row r="96" spans="1:8" ht="55" customHeight="1">
      <c r="A96" s="3" t="s">
        <v>643</v>
      </c>
      <c r="B96" s="4"/>
      <c r="C96" s="4" t="s">
        <v>475</v>
      </c>
      <c r="D96" s="4" t="b">
        <v>0</v>
      </c>
      <c r="E96" s="4" t="s">
        <v>476</v>
      </c>
      <c r="F96" s="4" t="s">
        <v>470</v>
      </c>
      <c r="G96" s="4" t="s">
        <v>471</v>
      </c>
      <c r="H96" s="4" t="s">
        <v>472</v>
      </c>
    </row>
    <row r="97" spans="1:8" ht="55" customHeight="1">
      <c r="A97" s="6" t="s">
        <v>644</v>
      </c>
      <c r="B97" s="9">
        <v>8759</v>
      </c>
      <c r="C97" s="7" t="s">
        <v>468</v>
      </c>
      <c r="D97" s="7" t="b">
        <v>0</v>
      </c>
      <c r="E97" s="7" t="s">
        <v>634</v>
      </c>
      <c r="F97" s="7" t="s">
        <v>470</v>
      </c>
      <c r="G97" s="7" t="s">
        <v>471</v>
      </c>
      <c r="H97" s="7" t="s">
        <v>472</v>
      </c>
    </row>
    <row r="98" spans="1:8" ht="55" customHeight="1">
      <c r="A98" s="3" t="s">
        <v>645</v>
      </c>
      <c r="B98" s="10">
        <v>153</v>
      </c>
      <c r="C98" s="4" t="s">
        <v>468</v>
      </c>
      <c r="D98" s="4" t="b">
        <v>0</v>
      </c>
      <c r="E98" s="4" t="s">
        <v>634</v>
      </c>
      <c r="F98" s="4" t="s">
        <v>470</v>
      </c>
      <c r="G98" s="4" t="s">
        <v>471</v>
      </c>
      <c r="H98" s="4" t="s">
        <v>472</v>
      </c>
    </row>
    <row r="99" spans="1:8" ht="55" customHeight="1">
      <c r="A99" s="6" t="s">
        <v>646</v>
      </c>
      <c r="B99" s="9">
        <v>242</v>
      </c>
      <c r="C99" s="7" t="s">
        <v>468</v>
      </c>
      <c r="D99" s="7" t="b">
        <v>0</v>
      </c>
      <c r="E99" s="7" t="s">
        <v>634</v>
      </c>
      <c r="F99" s="7" t="s">
        <v>470</v>
      </c>
      <c r="G99" s="7" t="s">
        <v>471</v>
      </c>
      <c r="H99" s="7" t="s">
        <v>472</v>
      </c>
    </row>
    <row r="100" spans="1:8" ht="55" customHeight="1">
      <c r="A100" s="3" t="s">
        <v>647</v>
      </c>
      <c r="B100" s="10">
        <v>199</v>
      </c>
      <c r="C100" s="4" t="s">
        <v>468</v>
      </c>
      <c r="D100" s="4" t="b">
        <v>0</v>
      </c>
      <c r="E100" s="4" t="s">
        <v>634</v>
      </c>
      <c r="F100" s="4" t="s">
        <v>470</v>
      </c>
      <c r="G100" s="4" t="s">
        <v>471</v>
      </c>
      <c r="H100" s="4" t="s">
        <v>472</v>
      </c>
    </row>
    <row r="101" spans="1:8" ht="55" customHeight="1">
      <c r="A101" s="6" t="s">
        <v>648</v>
      </c>
      <c r="B101" s="7"/>
      <c r="C101" s="7" t="s">
        <v>475</v>
      </c>
      <c r="D101" s="7" t="b">
        <v>0</v>
      </c>
      <c r="E101" s="7" t="s">
        <v>476</v>
      </c>
      <c r="F101" s="7" t="s">
        <v>470</v>
      </c>
      <c r="G101" s="7" t="s">
        <v>471</v>
      </c>
      <c r="H101" s="7" t="s">
        <v>472</v>
      </c>
    </row>
    <row r="102" spans="1:8" ht="55" customHeight="1">
      <c r="A102" s="3" t="s">
        <v>649</v>
      </c>
      <c r="B102" s="4"/>
      <c r="C102" s="4" t="s">
        <v>475</v>
      </c>
      <c r="D102" s="4" t="b">
        <v>0</v>
      </c>
      <c r="E102" s="4" t="s">
        <v>476</v>
      </c>
      <c r="F102" s="4" t="s">
        <v>470</v>
      </c>
      <c r="G102" s="4" t="s">
        <v>471</v>
      </c>
      <c r="H102" s="4" t="s">
        <v>472</v>
      </c>
    </row>
    <row r="103" spans="1:8" ht="55" customHeight="1">
      <c r="A103" s="6" t="s">
        <v>650</v>
      </c>
      <c r="B103" s="9">
        <v>1509</v>
      </c>
      <c r="C103" s="7" t="s">
        <v>468</v>
      </c>
      <c r="D103" s="7" t="b">
        <v>0</v>
      </c>
      <c r="E103" s="7" t="s">
        <v>634</v>
      </c>
      <c r="F103" s="7" t="s">
        <v>470</v>
      </c>
      <c r="G103" s="7" t="s">
        <v>471</v>
      </c>
      <c r="H103" s="7" t="s">
        <v>472</v>
      </c>
    </row>
    <row r="104" spans="1:8" ht="55" customHeight="1">
      <c r="A104" s="3" t="s">
        <v>651</v>
      </c>
      <c r="B104" s="4"/>
      <c r="C104" s="4" t="s">
        <v>475</v>
      </c>
      <c r="D104" s="4" t="b">
        <v>0</v>
      </c>
      <c r="E104" s="4" t="s">
        <v>476</v>
      </c>
      <c r="F104" s="4" t="s">
        <v>470</v>
      </c>
      <c r="G104" s="4" t="s">
        <v>471</v>
      </c>
      <c r="H104" s="4" t="s">
        <v>472</v>
      </c>
    </row>
    <row r="105" spans="1:8" ht="55" customHeight="1">
      <c r="A105" s="6" t="s">
        <v>652</v>
      </c>
      <c r="B105" s="9">
        <v>91</v>
      </c>
      <c r="C105" s="7" t="s">
        <v>468</v>
      </c>
      <c r="D105" s="7" t="b">
        <v>0</v>
      </c>
      <c r="E105" s="7" t="s">
        <v>634</v>
      </c>
      <c r="F105" s="7" t="s">
        <v>470</v>
      </c>
      <c r="G105" s="7" t="s">
        <v>471</v>
      </c>
      <c r="H105" s="7" t="s">
        <v>472</v>
      </c>
    </row>
    <row r="106" spans="1:8" ht="55" customHeight="1">
      <c r="A106" s="3" t="s">
        <v>653</v>
      </c>
      <c r="B106" s="10">
        <v>142</v>
      </c>
      <c r="C106" s="4" t="s">
        <v>468</v>
      </c>
      <c r="D106" s="4" t="b">
        <v>0</v>
      </c>
      <c r="E106" s="4" t="s">
        <v>634</v>
      </c>
      <c r="F106" s="4" t="s">
        <v>470</v>
      </c>
      <c r="G106" s="4" t="s">
        <v>471</v>
      </c>
      <c r="H106" s="4" t="s">
        <v>472</v>
      </c>
    </row>
    <row r="107" spans="1:8" ht="55" customHeight="1">
      <c r="A107" s="6" t="s">
        <v>654</v>
      </c>
      <c r="B107" s="9">
        <v>366</v>
      </c>
      <c r="C107" s="7" t="s">
        <v>468</v>
      </c>
      <c r="D107" s="7" t="b">
        <v>0</v>
      </c>
      <c r="E107" s="7" t="s">
        <v>634</v>
      </c>
      <c r="F107" s="7" t="s">
        <v>470</v>
      </c>
      <c r="G107" s="7" t="s">
        <v>471</v>
      </c>
      <c r="H107" s="7" t="s">
        <v>472</v>
      </c>
    </row>
    <row r="108" spans="1:8" ht="55" customHeight="1">
      <c r="A108" s="3" t="s">
        <v>655</v>
      </c>
      <c r="B108" s="10">
        <v>160</v>
      </c>
      <c r="C108" s="4" t="s">
        <v>468</v>
      </c>
      <c r="D108" s="4" t="b">
        <v>0</v>
      </c>
      <c r="E108" s="4" t="s">
        <v>602</v>
      </c>
      <c r="F108" s="4" t="s">
        <v>470</v>
      </c>
      <c r="G108" s="4" t="s">
        <v>471</v>
      </c>
      <c r="H108" s="4" t="s">
        <v>472</v>
      </c>
    </row>
    <row r="109" spans="1:8" ht="55" customHeight="1">
      <c r="A109" s="6" t="s">
        <v>656</v>
      </c>
      <c r="B109" s="9">
        <v>8168</v>
      </c>
      <c r="C109" s="7" t="s">
        <v>468</v>
      </c>
      <c r="D109" s="7" t="b">
        <v>0</v>
      </c>
      <c r="E109" s="7" t="s">
        <v>634</v>
      </c>
      <c r="F109" s="7" t="s">
        <v>470</v>
      </c>
      <c r="G109" s="7" t="s">
        <v>471</v>
      </c>
      <c r="H109" s="7" t="s">
        <v>472</v>
      </c>
    </row>
    <row r="110" spans="1:8" ht="55" customHeight="1">
      <c r="A110" s="3" t="s">
        <v>657</v>
      </c>
      <c r="B110" s="10">
        <v>97</v>
      </c>
      <c r="C110" s="4" t="s">
        <v>468</v>
      </c>
      <c r="D110" s="4" t="b">
        <v>0</v>
      </c>
      <c r="E110" s="4" t="s">
        <v>634</v>
      </c>
      <c r="F110" s="4" t="s">
        <v>470</v>
      </c>
      <c r="G110" s="4" t="s">
        <v>471</v>
      </c>
      <c r="H110" s="4" t="s">
        <v>472</v>
      </c>
    </row>
    <row r="111" spans="1:8" ht="40" customHeight="1">
      <c r="A111" s="6" t="s">
        <v>658</v>
      </c>
      <c r="B111" s="9">
        <v>240</v>
      </c>
      <c r="C111" s="7" t="s">
        <v>468</v>
      </c>
      <c r="D111" s="7" t="b">
        <v>1</v>
      </c>
      <c r="E111" s="7" t="s">
        <v>634</v>
      </c>
      <c r="F111" s="7" t="s">
        <v>470</v>
      </c>
      <c r="G111" s="7" t="s">
        <v>499</v>
      </c>
      <c r="H111" s="7" t="s">
        <v>472</v>
      </c>
    </row>
    <row r="112" spans="1:8" ht="40" customHeight="1">
      <c r="A112" s="3" t="s">
        <v>659</v>
      </c>
      <c r="B112" s="10">
        <v>202</v>
      </c>
      <c r="C112" s="4" t="s">
        <v>468</v>
      </c>
      <c r="D112" s="4" t="b">
        <v>1</v>
      </c>
      <c r="E112" s="4" t="s">
        <v>634</v>
      </c>
      <c r="F112" s="4" t="s">
        <v>470</v>
      </c>
      <c r="G112" s="4" t="s">
        <v>499</v>
      </c>
      <c r="H112" s="4" t="s">
        <v>472</v>
      </c>
    </row>
    <row r="113" spans="1:8" ht="55" customHeight="1">
      <c r="A113" s="6" t="s">
        <v>660</v>
      </c>
      <c r="B113" s="7"/>
      <c r="C113" s="7" t="s">
        <v>475</v>
      </c>
      <c r="D113" s="7" t="b">
        <v>1</v>
      </c>
      <c r="E113" s="7" t="s">
        <v>476</v>
      </c>
      <c r="F113" s="7" t="s">
        <v>470</v>
      </c>
      <c r="G113" s="7" t="s">
        <v>502</v>
      </c>
      <c r="H113" s="7" t="s">
        <v>472</v>
      </c>
    </row>
    <row r="114" spans="1:8" ht="70" customHeight="1">
      <c r="A114" s="3" t="s">
        <v>661</v>
      </c>
      <c r="B114" s="10">
        <v>305</v>
      </c>
      <c r="C114" s="4" t="s">
        <v>468</v>
      </c>
      <c r="D114" s="4" t="b">
        <v>1</v>
      </c>
      <c r="E114" s="4" t="s">
        <v>662</v>
      </c>
      <c r="F114" s="4" t="s">
        <v>470</v>
      </c>
      <c r="G114" s="4" t="s">
        <v>499</v>
      </c>
      <c r="H114" s="4" t="s">
        <v>472</v>
      </c>
    </row>
    <row r="115" spans="1:8" ht="40" customHeight="1">
      <c r="A115" s="6" t="s">
        <v>663</v>
      </c>
      <c r="B115" s="9">
        <v>1525</v>
      </c>
      <c r="C115" s="7" t="s">
        <v>468</v>
      </c>
      <c r="D115" s="7" t="b">
        <v>1</v>
      </c>
      <c r="E115" s="7" t="s">
        <v>634</v>
      </c>
      <c r="F115" s="7" t="s">
        <v>470</v>
      </c>
      <c r="G115" s="7" t="s">
        <v>499</v>
      </c>
      <c r="H115" s="7" t="s">
        <v>472</v>
      </c>
    </row>
    <row r="116" spans="1:8" ht="40" customHeight="1">
      <c r="A116" s="3" t="s">
        <v>664</v>
      </c>
      <c r="B116" s="4"/>
      <c r="C116" s="4" t="s">
        <v>475</v>
      </c>
      <c r="D116" s="4" t="b">
        <v>1</v>
      </c>
      <c r="E116" s="4" t="s">
        <v>476</v>
      </c>
      <c r="F116" s="4" t="s">
        <v>470</v>
      </c>
      <c r="G116" s="4" t="s">
        <v>499</v>
      </c>
      <c r="H116" s="4" t="s">
        <v>472</v>
      </c>
    </row>
    <row r="117" spans="1:8" ht="40" customHeight="1">
      <c r="A117" s="6" t="s">
        <v>665</v>
      </c>
      <c r="B117" s="9">
        <v>345</v>
      </c>
      <c r="C117" s="7" t="s">
        <v>468</v>
      </c>
      <c r="D117" s="7" t="b">
        <v>1</v>
      </c>
      <c r="E117" s="7" t="s">
        <v>634</v>
      </c>
      <c r="F117" s="7" t="s">
        <v>470</v>
      </c>
      <c r="G117" s="7" t="s">
        <v>499</v>
      </c>
      <c r="H117" s="7" t="s">
        <v>472</v>
      </c>
    </row>
    <row r="118" spans="1:8" ht="40" customHeight="1">
      <c r="A118" s="3" t="s">
        <v>666</v>
      </c>
      <c r="B118" s="10">
        <v>103</v>
      </c>
      <c r="C118" s="4" t="s">
        <v>468</v>
      </c>
      <c r="D118" s="4" t="b">
        <v>1</v>
      </c>
      <c r="E118" s="4" t="s">
        <v>634</v>
      </c>
      <c r="F118" s="4" t="s">
        <v>470</v>
      </c>
      <c r="G118" s="4" t="s">
        <v>499</v>
      </c>
      <c r="H118" s="4" t="s">
        <v>472</v>
      </c>
    </row>
    <row r="119" spans="1:8" ht="40" customHeight="1">
      <c r="A119" s="6" t="s">
        <v>667</v>
      </c>
      <c r="B119" s="9">
        <v>378</v>
      </c>
      <c r="C119" s="7" t="s">
        <v>468</v>
      </c>
      <c r="D119" s="7" t="b">
        <v>1</v>
      </c>
      <c r="E119" s="7" t="s">
        <v>634</v>
      </c>
      <c r="F119" s="7" t="s">
        <v>470</v>
      </c>
      <c r="G119" s="7" t="s">
        <v>499</v>
      </c>
      <c r="H119" s="7" t="s">
        <v>472</v>
      </c>
    </row>
    <row r="120" spans="1:8" ht="40" customHeight="1">
      <c r="A120" s="3" t="s">
        <v>668</v>
      </c>
      <c r="B120" s="10">
        <v>156</v>
      </c>
      <c r="C120" s="4" t="s">
        <v>468</v>
      </c>
      <c r="D120" s="4" t="b">
        <v>1</v>
      </c>
      <c r="E120" s="4" t="s">
        <v>602</v>
      </c>
      <c r="F120" s="4" t="s">
        <v>470</v>
      </c>
      <c r="G120" s="4" t="s">
        <v>499</v>
      </c>
      <c r="H120" s="4" t="s">
        <v>472</v>
      </c>
    </row>
    <row r="121" spans="1:8" ht="40" customHeight="1">
      <c r="A121" s="6" t="s">
        <v>669</v>
      </c>
      <c r="B121" s="9">
        <v>7988</v>
      </c>
      <c r="C121" s="7" t="s">
        <v>468</v>
      </c>
      <c r="D121" s="7" t="b">
        <v>1</v>
      </c>
      <c r="E121" s="7" t="s">
        <v>634</v>
      </c>
      <c r="F121" s="7" t="s">
        <v>470</v>
      </c>
      <c r="G121" s="7" t="s">
        <v>499</v>
      </c>
      <c r="H121" s="7" t="s">
        <v>472</v>
      </c>
    </row>
    <row r="122" spans="1:8" ht="40" customHeight="1">
      <c r="A122" s="3" t="s">
        <v>670</v>
      </c>
      <c r="B122" s="10">
        <v>76</v>
      </c>
      <c r="C122" s="4" t="s">
        <v>468</v>
      </c>
      <c r="D122" s="4" t="b">
        <v>1</v>
      </c>
      <c r="E122" s="4" t="s">
        <v>634</v>
      </c>
      <c r="F122" s="4" t="s">
        <v>470</v>
      </c>
      <c r="G122" s="4" t="s">
        <v>499</v>
      </c>
      <c r="H122" s="4" t="s">
        <v>472</v>
      </c>
    </row>
    <row r="123" spans="1:8" ht="55" customHeight="1">
      <c r="A123" s="6" t="s">
        <v>671</v>
      </c>
      <c r="B123" s="7"/>
      <c r="C123" s="7" t="s">
        <v>475</v>
      </c>
      <c r="D123" s="7" t="b">
        <v>1</v>
      </c>
      <c r="E123" s="7" t="s">
        <v>476</v>
      </c>
      <c r="F123" s="7" t="s">
        <v>516</v>
      </c>
      <c r="G123" s="7" t="s">
        <v>517</v>
      </c>
      <c r="H123" s="7" t="s">
        <v>518</v>
      </c>
    </row>
    <row r="124" spans="1:8" ht="55" customHeight="1">
      <c r="A124" s="3" t="s">
        <v>672</v>
      </c>
      <c r="B124" s="4"/>
      <c r="C124" s="4" t="s">
        <v>475</v>
      </c>
      <c r="D124" s="4" t="b">
        <v>1</v>
      </c>
      <c r="E124" s="4" t="s">
        <v>476</v>
      </c>
      <c r="F124" s="4" t="s">
        <v>520</v>
      </c>
      <c r="G124" s="4" t="s">
        <v>517</v>
      </c>
      <c r="H124" s="4" t="s">
        <v>518</v>
      </c>
    </row>
    <row r="125" spans="1:8" ht="55" customHeight="1">
      <c r="A125" s="6" t="s">
        <v>673</v>
      </c>
      <c r="B125" s="7"/>
      <c r="C125" s="7" t="s">
        <v>475</v>
      </c>
      <c r="D125" s="7" t="b">
        <v>1</v>
      </c>
      <c r="E125" s="7" t="s">
        <v>476</v>
      </c>
      <c r="F125" s="7" t="s">
        <v>522</v>
      </c>
      <c r="G125" s="7" t="s">
        <v>517</v>
      </c>
      <c r="H125" s="7" t="s">
        <v>518</v>
      </c>
    </row>
    <row r="126" spans="1:8" ht="55" customHeight="1">
      <c r="A126" s="3" t="s">
        <v>674</v>
      </c>
      <c r="B126" s="4"/>
      <c r="C126" s="4" t="s">
        <v>475</v>
      </c>
      <c r="D126" s="4" t="b">
        <v>1</v>
      </c>
      <c r="E126" s="4" t="s">
        <v>476</v>
      </c>
      <c r="F126" s="4" t="s">
        <v>524</v>
      </c>
      <c r="G126" s="4" t="s">
        <v>517</v>
      </c>
      <c r="H126" s="4" t="s">
        <v>518</v>
      </c>
    </row>
    <row r="127" spans="1:8" ht="55" customHeight="1">
      <c r="A127" s="6" t="s">
        <v>675</v>
      </c>
      <c r="B127" s="7"/>
      <c r="C127" s="7" t="s">
        <v>475</v>
      </c>
      <c r="D127" s="7" t="b">
        <v>1</v>
      </c>
      <c r="E127" s="7" t="s">
        <v>476</v>
      </c>
      <c r="F127" s="7" t="s">
        <v>526</v>
      </c>
      <c r="G127" s="7" t="s">
        <v>517</v>
      </c>
      <c r="H127" s="7" t="s">
        <v>518</v>
      </c>
    </row>
    <row r="128" spans="1:8" ht="55" customHeight="1">
      <c r="A128" s="3" t="s">
        <v>676</v>
      </c>
      <c r="B128" s="4"/>
      <c r="C128" s="4" t="s">
        <v>475</v>
      </c>
      <c r="D128" s="4" t="b">
        <v>1</v>
      </c>
      <c r="E128" s="4" t="s">
        <v>476</v>
      </c>
      <c r="F128" s="4" t="s">
        <v>528</v>
      </c>
      <c r="G128" s="4" t="s">
        <v>517</v>
      </c>
      <c r="H128" s="4" t="s">
        <v>518</v>
      </c>
    </row>
    <row r="129" spans="1:8" ht="55" customHeight="1">
      <c r="A129" s="6" t="s">
        <v>677</v>
      </c>
      <c r="B129" s="7"/>
      <c r="C129" s="7" t="s">
        <v>475</v>
      </c>
      <c r="D129" s="7" t="b">
        <v>1</v>
      </c>
      <c r="E129" s="7" t="s">
        <v>476</v>
      </c>
      <c r="F129" s="7" t="s">
        <v>530</v>
      </c>
      <c r="G129" s="7" t="s">
        <v>517</v>
      </c>
      <c r="H129" s="7" t="s">
        <v>518</v>
      </c>
    </row>
    <row r="130" spans="1:8" ht="70" customHeight="1">
      <c r="A130" s="3" t="s">
        <v>678</v>
      </c>
      <c r="B130" s="4" t="s">
        <v>679</v>
      </c>
      <c r="C130" s="4" t="s">
        <v>468</v>
      </c>
      <c r="D130" s="4" t="b">
        <v>1</v>
      </c>
      <c r="E130" s="4" t="s">
        <v>602</v>
      </c>
      <c r="F130" s="4" t="s">
        <v>533</v>
      </c>
      <c r="G130" s="4" t="s">
        <v>517</v>
      </c>
      <c r="H130" s="4" t="s">
        <v>518</v>
      </c>
    </row>
    <row r="131" spans="1:8" ht="40" customHeight="1">
      <c r="A131" s="6" t="s">
        <v>680</v>
      </c>
      <c r="B131" s="7"/>
      <c r="C131" s="7" t="s">
        <v>475</v>
      </c>
      <c r="D131" s="7" t="b">
        <v>1</v>
      </c>
      <c r="E131" s="7" t="s">
        <v>476</v>
      </c>
      <c r="F131" s="7" t="s">
        <v>535</v>
      </c>
      <c r="G131" s="7" t="s">
        <v>536</v>
      </c>
      <c r="H131" s="7" t="s">
        <v>537</v>
      </c>
    </row>
    <row r="132" spans="1:8" ht="55" customHeight="1">
      <c r="A132" s="3" t="s">
        <v>681</v>
      </c>
      <c r="B132" s="10">
        <v>446</v>
      </c>
      <c r="C132" s="4" t="s">
        <v>468</v>
      </c>
      <c r="D132" s="4" t="b">
        <v>0</v>
      </c>
      <c r="E132" s="4" t="s">
        <v>634</v>
      </c>
      <c r="F132" s="4" t="s">
        <v>535</v>
      </c>
      <c r="G132" s="4" t="s">
        <v>539</v>
      </c>
      <c r="H132" s="4" t="s">
        <v>537</v>
      </c>
    </row>
    <row r="133" spans="1:8" ht="70" customHeight="1">
      <c r="A133" s="6" t="s">
        <v>682</v>
      </c>
      <c r="B133" s="9">
        <v>450</v>
      </c>
      <c r="C133" s="7" t="s">
        <v>468</v>
      </c>
      <c r="D133" s="7" t="b">
        <v>1</v>
      </c>
      <c r="E133" s="7" t="s">
        <v>683</v>
      </c>
      <c r="F133" s="7" t="s">
        <v>535</v>
      </c>
      <c r="G133" s="7" t="s">
        <v>536</v>
      </c>
      <c r="H133" s="7" t="s">
        <v>537</v>
      </c>
    </row>
    <row r="134" spans="1:8" ht="40" customHeight="1">
      <c r="A134" s="3" t="s">
        <v>684</v>
      </c>
      <c r="B134" s="4"/>
      <c r="C134" s="4" t="s">
        <v>475</v>
      </c>
      <c r="D134" s="4" t="b">
        <v>1</v>
      </c>
      <c r="E134" s="4" t="s">
        <v>476</v>
      </c>
      <c r="F134" s="4" t="s">
        <v>535</v>
      </c>
      <c r="G134" s="4" t="s">
        <v>536</v>
      </c>
      <c r="H134" s="4" t="s">
        <v>537</v>
      </c>
    </row>
    <row r="135" spans="1:8" ht="40" customHeight="1">
      <c r="A135" s="6" t="s">
        <v>307</v>
      </c>
      <c r="B135" s="9">
        <v>24</v>
      </c>
      <c r="C135" s="7" t="s">
        <v>468</v>
      </c>
      <c r="D135" s="7" t="b">
        <v>1</v>
      </c>
      <c r="E135" s="7" t="s">
        <v>685</v>
      </c>
      <c r="F135" s="7" t="s">
        <v>686</v>
      </c>
      <c r="G135" s="7" t="s">
        <v>687</v>
      </c>
      <c r="H135" s="7" t="s">
        <v>688</v>
      </c>
    </row>
    <row r="136" spans="1:8" ht="40" customHeight="1">
      <c r="A136" s="3" t="s">
        <v>689</v>
      </c>
      <c r="B136" s="4" t="s">
        <v>690</v>
      </c>
      <c r="C136" s="4" t="s">
        <v>468</v>
      </c>
      <c r="D136" s="4" t="b">
        <v>1</v>
      </c>
      <c r="E136" s="4" t="s">
        <v>685</v>
      </c>
      <c r="F136" s="4" t="s">
        <v>686</v>
      </c>
      <c r="G136" s="4" t="s">
        <v>687</v>
      </c>
      <c r="H136" s="4" t="s">
        <v>688</v>
      </c>
    </row>
    <row r="137" spans="1:8" ht="40" customHeight="1">
      <c r="A137" s="6" t="s">
        <v>691</v>
      </c>
      <c r="B137" s="9">
        <v>2500</v>
      </c>
      <c r="C137" s="7" t="s">
        <v>468</v>
      </c>
      <c r="D137" s="7" t="b">
        <v>0</v>
      </c>
      <c r="E137" s="7" t="s">
        <v>685</v>
      </c>
      <c r="F137" s="7" t="s">
        <v>686</v>
      </c>
      <c r="G137" s="7" t="s">
        <v>692</v>
      </c>
      <c r="H137" s="7" t="s">
        <v>688</v>
      </c>
    </row>
    <row r="138" spans="1:8" ht="40" customHeight="1">
      <c r="A138" s="3" t="s">
        <v>693</v>
      </c>
      <c r="B138" s="10">
        <v>2400</v>
      </c>
      <c r="C138" s="4" t="s">
        <v>468</v>
      </c>
      <c r="D138" s="4" t="b">
        <v>0</v>
      </c>
      <c r="E138" s="4" t="s">
        <v>685</v>
      </c>
      <c r="F138" s="4" t="s">
        <v>686</v>
      </c>
      <c r="G138" s="4" t="s">
        <v>692</v>
      </c>
      <c r="H138" s="4" t="s">
        <v>688</v>
      </c>
    </row>
    <row r="139" spans="1:8" ht="40" customHeight="1">
      <c r="A139" s="6" t="s">
        <v>309</v>
      </c>
      <c r="B139" s="9">
        <v>0.1168</v>
      </c>
      <c r="C139" s="7" t="s">
        <v>468</v>
      </c>
      <c r="D139" s="7" t="b">
        <v>1</v>
      </c>
      <c r="E139" s="7" t="s">
        <v>685</v>
      </c>
      <c r="F139" s="7" t="s">
        <v>686</v>
      </c>
      <c r="G139" s="7" t="s">
        <v>687</v>
      </c>
      <c r="H139" s="7" t="s">
        <v>688</v>
      </c>
    </row>
    <row r="140" spans="1:8" ht="40" customHeight="1">
      <c r="A140" s="3" t="s">
        <v>694</v>
      </c>
      <c r="B140" s="4"/>
      <c r="C140" s="4" t="s">
        <v>475</v>
      </c>
      <c r="D140" s="4" t="b">
        <v>1</v>
      </c>
      <c r="E140" s="4" t="s">
        <v>476</v>
      </c>
      <c r="F140" s="4" t="s">
        <v>686</v>
      </c>
      <c r="G140" s="4" t="s">
        <v>687</v>
      </c>
      <c r="H140" s="4" t="s">
        <v>688</v>
      </c>
    </row>
    <row r="141" spans="1:8" ht="40" customHeight="1">
      <c r="A141" s="6" t="s">
        <v>695</v>
      </c>
      <c r="B141" s="7" t="s">
        <v>696</v>
      </c>
      <c r="C141" s="7" t="s">
        <v>468</v>
      </c>
      <c r="D141" s="7" t="b">
        <v>1</v>
      </c>
      <c r="E141" s="7" t="s">
        <v>685</v>
      </c>
      <c r="F141" s="7" t="s">
        <v>686</v>
      </c>
      <c r="G141" s="7" t="s">
        <v>687</v>
      </c>
      <c r="H141" s="7" t="s">
        <v>688</v>
      </c>
    </row>
  </sheetData>
  <autoFilter ref="A4:H141"/>
  <mergeCells count="2">
    <mergeCell ref="A2:F2"/>
    <mergeCell ref="A3:F3"/>
  </mergeCells>
  <conditionalFormatting sqref="C10">
    <cfRule type="cellIs" dxfId="2" priority="6" operator="equal">
      <formula>"missing evidence"</formula>
    </cfRule>
  </conditionalFormatting>
  <conditionalFormatting sqref="C100">
    <cfRule type="cellIs" dxfId="1" priority="96" operator="equal">
      <formula>"verified fact"</formula>
    </cfRule>
  </conditionalFormatting>
  <conditionalFormatting sqref="C101">
    <cfRule type="cellIs" dxfId="2" priority="97" operator="equal">
      <formula>"missing evidence"</formula>
    </cfRule>
  </conditionalFormatting>
  <conditionalFormatting sqref="C102">
    <cfRule type="cellIs" dxfId="2" priority="98" operator="equal">
      <formula>"missing evidence"</formula>
    </cfRule>
  </conditionalFormatting>
  <conditionalFormatting sqref="C103">
    <cfRule type="cellIs" dxfId="1" priority="99" operator="equal">
      <formula>"verified fact"</formula>
    </cfRule>
  </conditionalFormatting>
  <conditionalFormatting sqref="C104">
    <cfRule type="cellIs" dxfId="2" priority="100" operator="equal">
      <formula>"missing evidence"</formula>
    </cfRule>
  </conditionalFormatting>
  <conditionalFormatting sqref="C105">
    <cfRule type="cellIs" dxfId="1" priority="101" operator="equal">
      <formula>"verified fact"</formula>
    </cfRule>
  </conditionalFormatting>
  <conditionalFormatting sqref="C106">
    <cfRule type="cellIs" dxfId="1" priority="102" operator="equal">
      <formula>"verified fact"</formula>
    </cfRule>
  </conditionalFormatting>
  <conditionalFormatting sqref="C107">
    <cfRule type="cellIs" dxfId="1" priority="103" operator="equal">
      <formula>"verified fact"</formula>
    </cfRule>
  </conditionalFormatting>
  <conditionalFormatting sqref="C108">
    <cfRule type="cellIs" dxfId="1" priority="104" operator="equal">
      <formula>"verified fact"</formula>
    </cfRule>
  </conditionalFormatting>
  <conditionalFormatting sqref="C109">
    <cfRule type="cellIs" dxfId="1" priority="105" operator="equal">
      <formula>"verified fact"</formula>
    </cfRule>
  </conditionalFormatting>
  <conditionalFormatting sqref="C11">
    <cfRule type="cellIs" dxfId="1" priority="7" operator="equal">
      <formula>"verified fact"</formula>
    </cfRule>
  </conditionalFormatting>
  <conditionalFormatting sqref="C110">
    <cfRule type="cellIs" dxfId="1" priority="106" operator="equal">
      <formula>"verified fact"</formula>
    </cfRule>
  </conditionalFormatting>
  <conditionalFormatting sqref="C111">
    <cfRule type="cellIs" dxfId="1" priority="107" operator="equal">
      <formula>"verified fact"</formula>
    </cfRule>
  </conditionalFormatting>
  <conditionalFormatting sqref="C112">
    <cfRule type="cellIs" dxfId="1" priority="108" operator="equal">
      <formula>"verified fact"</formula>
    </cfRule>
  </conditionalFormatting>
  <conditionalFormatting sqref="C113">
    <cfRule type="cellIs" dxfId="2" priority="109" operator="equal">
      <formula>"missing evidence"</formula>
    </cfRule>
  </conditionalFormatting>
  <conditionalFormatting sqref="C114">
    <cfRule type="cellIs" dxfId="1" priority="110" operator="equal">
      <formula>"verified fact"</formula>
    </cfRule>
  </conditionalFormatting>
  <conditionalFormatting sqref="C115">
    <cfRule type="cellIs" dxfId="1" priority="111" operator="equal">
      <formula>"verified fact"</formula>
    </cfRule>
  </conditionalFormatting>
  <conditionalFormatting sqref="C116">
    <cfRule type="cellIs" dxfId="2" priority="112" operator="equal">
      <formula>"missing evidence"</formula>
    </cfRule>
  </conditionalFormatting>
  <conditionalFormatting sqref="C117">
    <cfRule type="cellIs" dxfId="1" priority="113" operator="equal">
      <formula>"verified fact"</formula>
    </cfRule>
  </conditionalFormatting>
  <conditionalFormatting sqref="C118">
    <cfRule type="cellIs" dxfId="1" priority="114" operator="equal">
      <formula>"verified fact"</formula>
    </cfRule>
  </conditionalFormatting>
  <conditionalFormatting sqref="C119">
    <cfRule type="cellIs" dxfId="1" priority="115" operator="equal">
      <formula>"verified fact"</formula>
    </cfRule>
  </conditionalFormatting>
  <conditionalFormatting sqref="C12">
    <cfRule type="cellIs" dxfId="1" priority="8" operator="equal">
      <formula>"verified fact"</formula>
    </cfRule>
  </conditionalFormatting>
  <conditionalFormatting sqref="C120">
    <cfRule type="cellIs" dxfId="1" priority="116" operator="equal">
      <formula>"verified fact"</formula>
    </cfRule>
  </conditionalFormatting>
  <conditionalFormatting sqref="C121">
    <cfRule type="cellIs" dxfId="1" priority="117" operator="equal">
      <formula>"verified fact"</formula>
    </cfRule>
  </conditionalFormatting>
  <conditionalFormatting sqref="C122">
    <cfRule type="cellIs" dxfId="1" priority="118" operator="equal">
      <formula>"verified fact"</formula>
    </cfRule>
  </conditionalFormatting>
  <conditionalFormatting sqref="C123">
    <cfRule type="cellIs" dxfId="2" priority="119" operator="equal">
      <formula>"missing evidence"</formula>
    </cfRule>
  </conditionalFormatting>
  <conditionalFormatting sqref="C124">
    <cfRule type="cellIs" dxfId="2" priority="120" operator="equal">
      <formula>"missing evidence"</formula>
    </cfRule>
  </conditionalFormatting>
  <conditionalFormatting sqref="C125">
    <cfRule type="cellIs" dxfId="2" priority="121" operator="equal">
      <formula>"missing evidence"</formula>
    </cfRule>
  </conditionalFormatting>
  <conditionalFormatting sqref="C126">
    <cfRule type="cellIs" dxfId="2" priority="122" operator="equal">
      <formula>"missing evidence"</formula>
    </cfRule>
  </conditionalFormatting>
  <conditionalFormatting sqref="C127">
    <cfRule type="cellIs" dxfId="2" priority="123" operator="equal">
      <formula>"missing evidence"</formula>
    </cfRule>
  </conditionalFormatting>
  <conditionalFormatting sqref="C128">
    <cfRule type="cellIs" dxfId="2" priority="124" operator="equal">
      <formula>"missing evidence"</formula>
    </cfRule>
  </conditionalFormatting>
  <conditionalFormatting sqref="C129">
    <cfRule type="cellIs" dxfId="2" priority="125" operator="equal">
      <formula>"missing evidence"</formula>
    </cfRule>
  </conditionalFormatting>
  <conditionalFormatting sqref="C13">
    <cfRule type="cellIs" dxfId="2" priority="9" operator="equal">
      <formula>"missing evidence"</formula>
    </cfRule>
  </conditionalFormatting>
  <conditionalFormatting sqref="C130">
    <cfRule type="cellIs" dxfId="1" priority="126" operator="equal">
      <formula>"verified fact"</formula>
    </cfRule>
  </conditionalFormatting>
  <conditionalFormatting sqref="C131">
    <cfRule type="cellIs" dxfId="2" priority="127" operator="equal">
      <formula>"missing evidence"</formula>
    </cfRule>
  </conditionalFormatting>
  <conditionalFormatting sqref="C132">
    <cfRule type="cellIs" dxfId="1" priority="128" operator="equal">
      <formula>"verified fact"</formula>
    </cfRule>
  </conditionalFormatting>
  <conditionalFormatting sqref="C133">
    <cfRule type="cellIs" dxfId="1" priority="129" operator="equal">
      <formula>"verified fact"</formula>
    </cfRule>
  </conditionalFormatting>
  <conditionalFormatting sqref="C134">
    <cfRule type="cellIs" dxfId="2" priority="130" operator="equal">
      <formula>"missing evidence"</formula>
    </cfRule>
  </conditionalFormatting>
  <conditionalFormatting sqref="C135">
    <cfRule type="cellIs" dxfId="1" priority="131" operator="equal">
      <formula>"verified fact"</formula>
    </cfRule>
  </conditionalFormatting>
  <conditionalFormatting sqref="C136">
    <cfRule type="cellIs" dxfId="1" priority="132" operator="equal">
      <formula>"verified fact"</formula>
    </cfRule>
  </conditionalFormatting>
  <conditionalFormatting sqref="C137">
    <cfRule type="cellIs" dxfId="1" priority="133" operator="equal">
      <formula>"verified fact"</formula>
    </cfRule>
  </conditionalFormatting>
  <conditionalFormatting sqref="C138">
    <cfRule type="cellIs" dxfId="1" priority="134" operator="equal">
      <formula>"verified fact"</formula>
    </cfRule>
  </conditionalFormatting>
  <conditionalFormatting sqref="C139">
    <cfRule type="cellIs" dxfId="1" priority="135" operator="equal">
      <formula>"verified fact"</formula>
    </cfRule>
  </conditionalFormatting>
  <conditionalFormatting sqref="C14">
    <cfRule type="cellIs" dxfId="2" priority="10" operator="equal">
      <formula>"missing evidence"</formula>
    </cfRule>
  </conditionalFormatting>
  <conditionalFormatting sqref="C140">
    <cfRule type="cellIs" dxfId="2" priority="136" operator="equal">
      <formula>"missing evidence"</formula>
    </cfRule>
  </conditionalFormatting>
  <conditionalFormatting sqref="C141">
    <cfRule type="cellIs" dxfId="1" priority="137" operator="equal">
      <formula>"verified fact"</formula>
    </cfRule>
  </conditionalFormatting>
  <conditionalFormatting sqref="C15">
    <cfRule type="cellIs" dxfId="1" priority="11" operator="equal">
      <formula>"verified fact"</formula>
    </cfRule>
  </conditionalFormatting>
  <conditionalFormatting sqref="C16">
    <cfRule type="cellIs" dxfId="1" priority="12" operator="equal">
      <formula>"verified fact"</formula>
    </cfRule>
  </conditionalFormatting>
  <conditionalFormatting sqref="C17">
    <cfRule type="cellIs" dxfId="1" priority="13" operator="equal">
      <formula>"verified fact"</formula>
    </cfRule>
  </conditionalFormatting>
  <conditionalFormatting sqref="C18">
    <cfRule type="cellIs" dxfId="1" priority="14" operator="equal">
      <formula>"verified fact"</formula>
    </cfRule>
  </conditionalFormatting>
  <conditionalFormatting sqref="C19">
    <cfRule type="cellIs" dxfId="2" priority="15" operator="equal">
      <formula>"missing evidence"</formula>
    </cfRule>
  </conditionalFormatting>
  <conditionalFormatting sqref="C20">
    <cfRule type="cellIs" dxfId="2" priority="16" operator="equal">
      <formula>"missing evidence"</formula>
    </cfRule>
  </conditionalFormatting>
  <conditionalFormatting sqref="C21">
    <cfRule type="cellIs" dxfId="1" priority="17" operator="equal">
      <formula>"verified fact"</formula>
    </cfRule>
  </conditionalFormatting>
  <conditionalFormatting sqref="C22">
    <cfRule type="cellIs" dxfId="2" priority="18" operator="equal">
      <formula>"missing evidence"</formula>
    </cfRule>
  </conditionalFormatting>
  <conditionalFormatting sqref="C23">
    <cfRule type="cellIs" dxfId="1" priority="19" operator="equal">
      <formula>"verified fact"</formula>
    </cfRule>
  </conditionalFormatting>
  <conditionalFormatting sqref="C24">
    <cfRule type="cellIs" dxfId="1" priority="20" operator="equal">
      <formula>"verified fact"</formula>
    </cfRule>
  </conditionalFormatting>
  <conditionalFormatting sqref="C25">
    <cfRule type="cellIs" dxfId="1" priority="21" operator="equal">
      <formula>"verified fact"</formula>
    </cfRule>
  </conditionalFormatting>
  <conditionalFormatting sqref="C26">
    <cfRule type="cellIs" dxfId="1" priority="22" operator="equal">
      <formula>"verified fact"</formula>
    </cfRule>
  </conditionalFormatting>
  <conditionalFormatting sqref="C27">
    <cfRule type="cellIs" dxfId="1" priority="23" operator="equal">
      <formula>"verified fact"</formula>
    </cfRule>
  </conditionalFormatting>
  <conditionalFormatting sqref="C28">
    <cfRule type="cellIs" dxfId="1" priority="24" operator="equal">
      <formula>"verified fact"</formula>
    </cfRule>
  </conditionalFormatting>
  <conditionalFormatting sqref="C29">
    <cfRule type="cellIs" dxfId="1" priority="25" operator="equal">
      <formula>"verified fact"</formula>
    </cfRule>
  </conditionalFormatting>
  <conditionalFormatting sqref="C30">
    <cfRule type="cellIs" dxfId="1" priority="26" operator="equal">
      <formula>"verified fact"</formula>
    </cfRule>
  </conditionalFormatting>
  <conditionalFormatting sqref="C31">
    <cfRule type="cellIs" dxfId="2" priority="27" operator="equal">
      <formula>"missing evidence"</formula>
    </cfRule>
  </conditionalFormatting>
  <conditionalFormatting sqref="C32">
    <cfRule type="cellIs" dxfId="1" priority="28" operator="equal">
      <formula>"verified fact"</formula>
    </cfRule>
  </conditionalFormatting>
  <conditionalFormatting sqref="C33">
    <cfRule type="cellIs" dxfId="1" priority="29" operator="equal">
      <formula>"verified fact"</formula>
    </cfRule>
  </conditionalFormatting>
  <conditionalFormatting sqref="C34">
    <cfRule type="cellIs" dxfId="2" priority="30" operator="equal">
      <formula>"missing evidence"</formula>
    </cfRule>
  </conditionalFormatting>
  <conditionalFormatting sqref="C35">
    <cfRule type="cellIs" dxfId="1" priority="31" operator="equal">
      <formula>"verified fact"</formula>
    </cfRule>
  </conditionalFormatting>
  <conditionalFormatting sqref="C36">
    <cfRule type="cellIs" dxfId="1" priority="32" operator="equal">
      <formula>"verified fact"</formula>
    </cfRule>
  </conditionalFormatting>
  <conditionalFormatting sqref="C37">
    <cfRule type="cellIs" dxfId="1" priority="33" operator="equal">
      <formula>"verified fact"</formula>
    </cfRule>
  </conditionalFormatting>
  <conditionalFormatting sqref="C38">
    <cfRule type="cellIs" dxfId="1" priority="34" operator="equal">
      <formula>"verified fact"</formula>
    </cfRule>
  </conditionalFormatting>
  <conditionalFormatting sqref="C39">
    <cfRule type="cellIs" dxfId="1" priority="35" operator="equal">
      <formula>"verified fact"</formula>
    </cfRule>
  </conditionalFormatting>
  <conditionalFormatting sqref="C40">
    <cfRule type="cellIs" dxfId="1" priority="36" operator="equal">
      <formula>"verified fact"</formula>
    </cfRule>
  </conditionalFormatting>
  <conditionalFormatting sqref="C41">
    <cfRule type="cellIs" dxfId="1" priority="37" operator="equal">
      <formula>"verified fact"</formula>
    </cfRule>
  </conditionalFormatting>
  <conditionalFormatting sqref="C42">
    <cfRule type="cellIs" dxfId="2" priority="38" operator="equal">
      <formula>"missing evidence"</formula>
    </cfRule>
  </conditionalFormatting>
  <conditionalFormatting sqref="C43">
    <cfRule type="cellIs" dxfId="2" priority="39" operator="equal">
      <formula>"missing evidence"</formula>
    </cfRule>
  </conditionalFormatting>
  <conditionalFormatting sqref="C44">
    <cfRule type="cellIs" dxfId="2" priority="40" operator="equal">
      <formula>"missing evidence"</formula>
    </cfRule>
  </conditionalFormatting>
  <conditionalFormatting sqref="C45">
    <cfRule type="cellIs" dxfId="2" priority="41" operator="equal">
      <formula>"missing evidence"</formula>
    </cfRule>
  </conditionalFormatting>
  <conditionalFormatting sqref="C46">
    <cfRule type="cellIs" dxfId="2" priority="42" operator="equal">
      <formula>"missing evidence"</formula>
    </cfRule>
  </conditionalFormatting>
  <conditionalFormatting sqref="C47">
    <cfRule type="cellIs" dxfId="2" priority="43" operator="equal">
      <formula>"missing evidence"</formula>
    </cfRule>
  </conditionalFormatting>
  <conditionalFormatting sqref="C48">
    <cfRule type="cellIs" dxfId="1" priority="44" operator="equal">
      <formula>"verified fact"</formula>
    </cfRule>
  </conditionalFormatting>
  <conditionalFormatting sqref="C49">
    <cfRule type="cellIs" dxfId="2" priority="45" operator="equal">
      <formula>"missing evidence"</formula>
    </cfRule>
  </conditionalFormatting>
  <conditionalFormatting sqref="C5">
    <cfRule type="cellIs" dxfId="1" priority="1" operator="equal">
      <formula>"verified fact"</formula>
    </cfRule>
  </conditionalFormatting>
  <conditionalFormatting sqref="C50">
    <cfRule type="cellIs" dxfId="1" priority="46" operator="equal">
      <formula>"verified fact"</formula>
    </cfRule>
  </conditionalFormatting>
  <conditionalFormatting sqref="C51">
    <cfRule type="cellIs" dxfId="2" priority="47" operator="equal">
      <formula>"missing evidence"</formula>
    </cfRule>
  </conditionalFormatting>
  <conditionalFormatting sqref="C52">
    <cfRule type="cellIs" dxfId="2" priority="48" operator="equal">
      <formula>"missing evidence"</formula>
    </cfRule>
  </conditionalFormatting>
  <conditionalFormatting sqref="C53">
    <cfRule type="cellIs" dxfId="3" priority="49" operator="equal">
      <formula>"explicit modelling assumption"</formula>
    </cfRule>
  </conditionalFormatting>
  <conditionalFormatting sqref="C54">
    <cfRule type="cellIs" dxfId="3" priority="50" operator="equal">
      <formula>"explicit modelling assumption"</formula>
    </cfRule>
  </conditionalFormatting>
  <conditionalFormatting sqref="C55">
    <cfRule type="cellIs" dxfId="3" priority="51" operator="equal">
      <formula>"explicit modelling assumption"</formula>
    </cfRule>
  </conditionalFormatting>
  <conditionalFormatting sqref="C56">
    <cfRule type="cellIs" dxfId="3" priority="52" operator="equal">
      <formula>"explicit modelling assumption"</formula>
    </cfRule>
  </conditionalFormatting>
  <conditionalFormatting sqref="C57">
    <cfRule type="cellIs" dxfId="3" priority="53" operator="equal">
      <formula>"explicit modelling assumption"</formula>
    </cfRule>
  </conditionalFormatting>
  <conditionalFormatting sqref="C58">
    <cfRule type="cellIs" dxfId="3" priority="54" operator="equal">
      <formula>"explicit modelling assumption"</formula>
    </cfRule>
  </conditionalFormatting>
  <conditionalFormatting sqref="C59">
    <cfRule type="cellIs" dxfId="1" priority="55" operator="equal">
      <formula>"verified fact"</formula>
    </cfRule>
  </conditionalFormatting>
  <conditionalFormatting sqref="C6">
    <cfRule type="cellIs" dxfId="1" priority="2" operator="equal">
      <formula>"verified fact"</formula>
    </cfRule>
  </conditionalFormatting>
  <conditionalFormatting sqref="C60">
    <cfRule type="cellIs" dxfId="1" priority="56" operator="equal">
      <formula>"verified fact"</formula>
    </cfRule>
  </conditionalFormatting>
  <conditionalFormatting sqref="C61">
    <cfRule type="cellIs" dxfId="1" priority="57" operator="equal">
      <formula>"verified fact"</formula>
    </cfRule>
  </conditionalFormatting>
  <conditionalFormatting sqref="C62">
    <cfRule type="cellIs" dxfId="1" priority="58" operator="equal">
      <formula>"verified fact"</formula>
    </cfRule>
  </conditionalFormatting>
  <conditionalFormatting sqref="C63">
    <cfRule type="cellIs" dxfId="1" priority="59" operator="equal">
      <formula>"verified fact"</formula>
    </cfRule>
  </conditionalFormatting>
  <conditionalFormatting sqref="C64">
    <cfRule type="cellIs" dxfId="1" priority="60" operator="equal">
      <formula>"verified fact"</formula>
    </cfRule>
  </conditionalFormatting>
  <conditionalFormatting sqref="C65">
    <cfRule type="cellIs" dxfId="1" priority="61" operator="equal">
      <formula>"verified fact"</formula>
    </cfRule>
  </conditionalFormatting>
  <conditionalFormatting sqref="C66">
    <cfRule type="cellIs" dxfId="1" priority="62" operator="equal">
      <formula>"verified fact"</formula>
    </cfRule>
  </conditionalFormatting>
  <conditionalFormatting sqref="C67">
    <cfRule type="cellIs" dxfId="1" priority="63" operator="equal">
      <formula>"verified fact"</formula>
    </cfRule>
  </conditionalFormatting>
  <conditionalFormatting sqref="C68">
    <cfRule type="cellIs" dxfId="1" priority="64" operator="equal">
      <formula>"verified fact"</formula>
    </cfRule>
  </conditionalFormatting>
  <conditionalFormatting sqref="C69">
    <cfRule type="cellIs" dxfId="1" priority="65" operator="equal">
      <formula>"verified fact"</formula>
    </cfRule>
  </conditionalFormatting>
  <conditionalFormatting sqref="C7">
    <cfRule type="cellIs" dxfId="2" priority="3" operator="equal">
      <formula>"missing evidence"</formula>
    </cfRule>
  </conditionalFormatting>
  <conditionalFormatting sqref="C70">
    <cfRule type="cellIs" dxfId="1" priority="66" operator="equal">
      <formula>"verified fact"</formula>
    </cfRule>
  </conditionalFormatting>
  <conditionalFormatting sqref="C71">
    <cfRule type="cellIs" dxfId="1" priority="67" operator="equal">
      <formula>"verified fact"</formula>
    </cfRule>
  </conditionalFormatting>
  <conditionalFormatting sqref="C72">
    <cfRule type="cellIs" dxfId="1" priority="68" operator="equal">
      <formula>"verified fact"</formula>
    </cfRule>
  </conditionalFormatting>
  <conditionalFormatting sqref="C73">
    <cfRule type="cellIs" dxfId="1" priority="69" operator="equal">
      <formula>"verified fact"</formula>
    </cfRule>
  </conditionalFormatting>
  <conditionalFormatting sqref="C74">
    <cfRule type="cellIs" dxfId="1" priority="70" operator="equal">
      <formula>"verified fact"</formula>
    </cfRule>
  </conditionalFormatting>
  <conditionalFormatting sqref="C75">
    <cfRule type="cellIs" dxfId="1" priority="71" operator="equal">
      <formula>"verified fact"</formula>
    </cfRule>
  </conditionalFormatting>
  <conditionalFormatting sqref="C76">
    <cfRule type="cellIs" dxfId="1" priority="72" operator="equal">
      <formula>"verified fact"</formula>
    </cfRule>
  </conditionalFormatting>
  <conditionalFormatting sqref="C77">
    <cfRule type="cellIs" dxfId="1" priority="73" operator="equal">
      <formula>"verified fact"</formula>
    </cfRule>
  </conditionalFormatting>
  <conditionalFormatting sqref="C78">
    <cfRule type="cellIs" dxfId="1" priority="74" operator="equal">
      <formula>"verified fact"</formula>
    </cfRule>
  </conditionalFormatting>
  <conditionalFormatting sqref="C79">
    <cfRule type="cellIs" dxfId="1" priority="75" operator="equal">
      <formula>"verified fact"</formula>
    </cfRule>
  </conditionalFormatting>
  <conditionalFormatting sqref="C8">
    <cfRule type="cellIs" dxfId="2" priority="4" operator="equal">
      <formula>"missing evidence"</formula>
    </cfRule>
  </conditionalFormatting>
  <conditionalFormatting sqref="C80">
    <cfRule type="cellIs" dxfId="1" priority="76" operator="equal">
      <formula>"verified fact"</formula>
    </cfRule>
  </conditionalFormatting>
  <conditionalFormatting sqref="C81">
    <cfRule type="cellIs" dxfId="1" priority="77" operator="equal">
      <formula>"verified fact"</formula>
    </cfRule>
  </conditionalFormatting>
  <conditionalFormatting sqref="C82">
    <cfRule type="cellIs" dxfId="1" priority="78" operator="equal">
      <formula>"verified fact"</formula>
    </cfRule>
  </conditionalFormatting>
  <conditionalFormatting sqref="C83">
    <cfRule type="cellIs" dxfId="1" priority="79" operator="equal">
      <formula>"verified fact"</formula>
    </cfRule>
  </conditionalFormatting>
  <conditionalFormatting sqref="C84">
    <cfRule type="cellIs" dxfId="1" priority="80" operator="equal">
      <formula>"verified fact"</formula>
    </cfRule>
  </conditionalFormatting>
  <conditionalFormatting sqref="C85">
    <cfRule type="cellIs" dxfId="1" priority="81" operator="equal">
      <formula>"verified fact"</formula>
    </cfRule>
  </conditionalFormatting>
  <conditionalFormatting sqref="C86">
    <cfRule type="cellIs" dxfId="1" priority="82" operator="equal">
      <formula>"verified fact"</formula>
    </cfRule>
  </conditionalFormatting>
  <conditionalFormatting sqref="C87">
    <cfRule type="cellIs" dxfId="1" priority="83" operator="equal">
      <formula>"verified fact"</formula>
    </cfRule>
  </conditionalFormatting>
  <conditionalFormatting sqref="C88">
    <cfRule type="cellIs" dxfId="1" priority="84" operator="equal">
      <formula>"verified fact"</formula>
    </cfRule>
  </conditionalFormatting>
  <conditionalFormatting sqref="C89">
    <cfRule type="cellIs" dxfId="2" priority="85" operator="equal">
      <formula>"missing evidence"</formula>
    </cfRule>
  </conditionalFormatting>
  <conditionalFormatting sqref="C9">
    <cfRule type="cellIs" dxfId="2" priority="5" operator="equal">
      <formula>"missing evidence"</formula>
    </cfRule>
  </conditionalFormatting>
  <conditionalFormatting sqref="C90">
    <cfRule type="cellIs" dxfId="2" priority="86" operator="equal">
      <formula>"missing evidence"</formula>
    </cfRule>
  </conditionalFormatting>
  <conditionalFormatting sqref="C91">
    <cfRule type="cellIs" dxfId="2" priority="87" operator="equal">
      <formula>"missing evidence"</formula>
    </cfRule>
  </conditionalFormatting>
  <conditionalFormatting sqref="C92">
    <cfRule type="cellIs" dxfId="2" priority="88" operator="equal">
      <formula>"missing evidence"</formula>
    </cfRule>
  </conditionalFormatting>
  <conditionalFormatting sqref="C93">
    <cfRule type="cellIs" dxfId="1" priority="89" operator="equal">
      <formula>"verified fact"</formula>
    </cfRule>
  </conditionalFormatting>
  <conditionalFormatting sqref="C94">
    <cfRule type="cellIs" dxfId="1" priority="90" operator="equal">
      <formula>"verified fact"</formula>
    </cfRule>
  </conditionalFormatting>
  <conditionalFormatting sqref="C95">
    <cfRule type="cellIs" dxfId="2" priority="91" operator="equal">
      <formula>"missing evidence"</formula>
    </cfRule>
  </conditionalFormatting>
  <conditionalFormatting sqref="C96">
    <cfRule type="cellIs" dxfId="2" priority="92" operator="equal">
      <formula>"missing evidence"</formula>
    </cfRule>
  </conditionalFormatting>
  <conditionalFormatting sqref="C97">
    <cfRule type="cellIs" dxfId="1" priority="93" operator="equal">
      <formula>"verified fact"</formula>
    </cfRule>
  </conditionalFormatting>
  <conditionalFormatting sqref="C98">
    <cfRule type="cellIs" dxfId="1" priority="94" operator="equal">
      <formula>"verified fact"</formula>
    </cfRule>
  </conditionalFormatting>
  <conditionalFormatting sqref="C99">
    <cfRule type="cellIs" dxfId="1" priority="95" operator="equal">
      <formula>"verified fact"</formula>
    </cfRule>
  </conditionalFormatting>
  <pageMargins left="0.3" right="0.3" top="0.4" bottom="0.4" header="0.3" footer="0.3"/>
  <pageSetup paperSize="9" scale="85" orientation="landscape"/>
  <headerFooter>
    <oddFooter>&amp;LEvidence&amp;RPage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3C5658"/>
  </sheetPr>
  <dimension ref="A1:G2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38.7109375" customWidth="1"/>
    <col min="3" max="3" width="20.7109375" customWidth="1"/>
    <col min="4" max="4" width="28.7109375" customWidth="1"/>
    <col min="5" max="5" width="80.7109375" customWidth="1"/>
    <col min="6" max="6" width="55.7109375" customWidth="1"/>
    <col min="7" max="7" width="60.7109375" customWidth="1"/>
  </cols>
  <sheetData>
    <row r="1" spans="1:7" ht="9" customHeight="1"/>
    <row r="2" spans="1:7" ht="42" customHeight="1">
      <c r="A2" s="1" t="s">
        <v>697</v>
      </c>
      <c r="B2" s="1"/>
      <c r="C2" s="1"/>
      <c r="D2" s="1"/>
      <c r="E2" s="1"/>
      <c r="F2" s="1"/>
      <c r="G2" s="8"/>
    </row>
    <row r="3" spans="1:7" ht="30" customHeight="1">
      <c r="A3" s="2" t="s">
        <v>125</v>
      </c>
      <c r="B3" s="2"/>
      <c r="C3" s="2"/>
      <c r="D3" s="2"/>
      <c r="E3" s="2"/>
      <c r="F3" s="2"/>
      <c r="G3" s="8"/>
    </row>
    <row r="4" spans="1:7" ht="34" customHeight="1">
      <c r="A4" s="5" t="s">
        <v>698</v>
      </c>
      <c r="B4" s="5" t="s">
        <v>699</v>
      </c>
      <c r="C4" s="5" t="s">
        <v>700</v>
      </c>
      <c r="D4" s="5" t="s">
        <v>701</v>
      </c>
      <c r="E4" s="5" t="s">
        <v>702</v>
      </c>
      <c r="F4" s="5" t="s">
        <v>703</v>
      </c>
      <c r="G4" s="5" t="s">
        <v>704</v>
      </c>
    </row>
    <row r="5" spans="1:7" ht="40" customHeight="1">
      <c r="A5" s="6" t="s">
        <v>705</v>
      </c>
      <c r="B5" s="7" t="s">
        <v>706</v>
      </c>
      <c r="C5" s="7" t="s">
        <v>49</v>
      </c>
      <c r="D5" s="7" t="s">
        <v>707</v>
      </c>
      <c r="E5" s="7" t="s">
        <v>708</v>
      </c>
      <c r="F5" s="7" t="s">
        <v>709</v>
      </c>
      <c r="G5" s="7" t="s">
        <v>710</v>
      </c>
    </row>
    <row r="6" spans="1:7" ht="40" customHeight="1">
      <c r="A6" s="3" t="s">
        <v>711</v>
      </c>
      <c r="B6" s="4" t="s">
        <v>712</v>
      </c>
      <c r="C6" s="4" t="s">
        <v>713</v>
      </c>
      <c r="D6" s="4" t="s">
        <v>707</v>
      </c>
      <c r="E6" s="4" t="s">
        <v>714</v>
      </c>
      <c r="F6" s="4" t="s">
        <v>709</v>
      </c>
      <c r="G6" s="4" t="s">
        <v>715</v>
      </c>
    </row>
    <row r="7" spans="1:7" ht="40" customHeight="1">
      <c r="A7" s="6" t="s">
        <v>716</v>
      </c>
      <c r="B7" s="7" t="s">
        <v>717</v>
      </c>
      <c r="C7" s="7" t="s">
        <v>713</v>
      </c>
      <c r="D7" s="7" t="s">
        <v>707</v>
      </c>
      <c r="E7" s="7" t="s">
        <v>718</v>
      </c>
      <c r="F7" s="7" t="s">
        <v>709</v>
      </c>
      <c r="G7" s="7" t="s">
        <v>719</v>
      </c>
    </row>
    <row r="8" spans="1:7" ht="130" customHeight="1">
      <c r="A8" s="3" t="s">
        <v>720</v>
      </c>
      <c r="B8" s="4" t="s">
        <v>721</v>
      </c>
      <c r="C8" s="4" t="s">
        <v>713</v>
      </c>
      <c r="D8" s="4" t="s">
        <v>707</v>
      </c>
      <c r="E8" s="4" t="s">
        <v>714</v>
      </c>
      <c r="F8" s="4" t="s">
        <v>709</v>
      </c>
      <c r="G8" s="4" t="s">
        <v>722</v>
      </c>
    </row>
    <row r="9" spans="1:7" ht="145" customHeight="1">
      <c r="A9" s="6" t="s">
        <v>723</v>
      </c>
      <c r="B9" s="7" t="s">
        <v>724</v>
      </c>
      <c r="C9" s="7" t="s">
        <v>713</v>
      </c>
      <c r="D9" s="7" t="s">
        <v>707</v>
      </c>
      <c r="E9" s="7" t="s">
        <v>718</v>
      </c>
      <c r="F9" s="7" t="s">
        <v>709</v>
      </c>
      <c r="G9" s="7" t="s">
        <v>725</v>
      </c>
    </row>
    <row r="10" spans="1:7" ht="70" customHeight="1">
      <c r="A10" s="3" t="s">
        <v>726</v>
      </c>
      <c r="B10" s="4" t="s">
        <v>727</v>
      </c>
      <c r="C10" s="4" t="s">
        <v>49</v>
      </c>
      <c r="D10" s="4" t="s">
        <v>707</v>
      </c>
      <c r="E10" s="4" t="s">
        <v>728</v>
      </c>
      <c r="F10" s="4" t="s">
        <v>709</v>
      </c>
      <c r="G10" s="4" t="s">
        <v>729</v>
      </c>
    </row>
    <row r="11" spans="1:7" ht="40" customHeight="1">
      <c r="A11" s="6" t="s">
        <v>730</v>
      </c>
      <c r="B11" s="7" t="s">
        <v>731</v>
      </c>
      <c r="C11" s="7" t="s">
        <v>732</v>
      </c>
      <c r="D11" s="7" t="s">
        <v>707</v>
      </c>
      <c r="E11" s="7" t="s">
        <v>733</v>
      </c>
      <c r="F11" s="7" t="s">
        <v>709</v>
      </c>
      <c r="G11" s="7" t="s">
        <v>734</v>
      </c>
    </row>
    <row r="12" spans="1:7" ht="40" customHeight="1">
      <c r="A12" s="3" t="s">
        <v>735</v>
      </c>
      <c r="B12" s="4" t="s">
        <v>736</v>
      </c>
      <c r="C12" s="4" t="s">
        <v>737</v>
      </c>
      <c r="D12" s="4" t="s">
        <v>707</v>
      </c>
      <c r="E12" s="4" t="s">
        <v>738</v>
      </c>
      <c r="F12" s="4" t="s">
        <v>709</v>
      </c>
      <c r="G12" s="4" t="s">
        <v>739</v>
      </c>
    </row>
    <row r="13" spans="1:7" ht="40" customHeight="1">
      <c r="A13" s="6" t="s">
        <v>740</v>
      </c>
      <c r="B13" s="7" t="s">
        <v>741</v>
      </c>
      <c r="C13" s="7" t="s">
        <v>732</v>
      </c>
      <c r="D13" s="7" t="s">
        <v>707</v>
      </c>
      <c r="E13" s="7" t="s">
        <v>742</v>
      </c>
      <c r="F13" s="7" t="s">
        <v>709</v>
      </c>
      <c r="G13" s="7" t="s">
        <v>743</v>
      </c>
    </row>
    <row r="14" spans="1:7" ht="40" customHeight="1">
      <c r="A14" s="3" t="s">
        <v>744</v>
      </c>
      <c r="B14" s="4" t="s">
        <v>745</v>
      </c>
      <c r="C14" s="4" t="s">
        <v>746</v>
      </c>
      <c r="D14" s="4" t="s">
        <v>707</v>
      </c>
      <c r="E14" s="4" t="s">
        <v>747</v>
      </c>
      <c r="F14" s="4" t="s">
        <v>709</v>
      </c>
      <c r="G14" s="4" t="s">
        <v>748</v>
      </c>
    </row>
    <row r="15" spans="1:7" ht="40" customHeight="1">
      <c r="A15" s="6" t="s">
        <v>749</v>
      </c>
      <c r="B15" s="7" t="s">
        <v>750</v>
      </c>
      <c r="C15" s="7" t="s">
        <v>751</v>
      </c>
      <c r="D15" s="7" t="s">
        <v>707</v>
      </c>
      <c r="E15" s="7" t="s">
        <v>752</v>
      </c>
      <c r="F15" s="7" t="s">
        <v>709</v>
      </c>
      <c r="G15" s="7" t="s">
        <v>753</v>
      </c>
    </row>
    <row r="16" spans="1:7" ht="40" customHeight="1">
      <c r="A16" s="3" t="s">
        <v>754</v>
      </c>
      <c r="B16" s="4" t="s">
        <v>755</v>
      </c>
      <c r="C16" s="4" t="s">
        <v>756</v>
      </c>
      <c r="D16" s="4" t="s">
        <v>707</v>
      </c>
      <c r="E16" s="4" t="s">
        <v>757</v>
      </c>
      <c r="F16" s="4" t="s">
        <v>709</v>
      </c>
      <c r="G16" s="4" t="s">
        <v>758</v>
      </c>
    </row>
    <row r="17" spans="1:7" ht="40" customHeight="1">
      <c r="A17" s="6" t="s">
        <v>759</v>
      </c>
      <c r="B17" s="7" t="s">
        <v>760</v>
      </c>
      <c r="C17" s="7" t="s">
        <v>49</v>
      </c>
      <c r="D17" s="7" t="s">
        <v>707</v>
      </c>
      <c r="E17" s="7" t="s">
        <v>761</v>
      </c>
      <c r="F17" s="7" t="s">
        <v>709</v>
      </c>
      <c r="G17" s="7" t="s">
        <v>762</v>
      </c>
    </row>
    <row r="18" spans="1:7" ht="40" customHeight="1">
      <c r="A18" s="3" t="s">
        <v>763</v>
      </c>
      <c r="B18" s="4" t="s">
        <v>764</v>
      </c>
      <c r="C18" s="4" t="s">
        <v>49</v>
      </c>
      <c r="D18" s="4" t="s">
        <v>707</v>
      </c>
      <c r="E18" s="4" t="s">
        <v>765</v>
      </c>
      <c r="F18" s="4" t="s">
        <v>709</v>
      </c>
      <c r="G18" s="4" t="s">
        <v>766</v>
      </c>
    </row>
    <row r="19" spans="1:7" ht="55" customHeight="1">
      <c r="A19" s="6" t="s">
        <v>767</v>
      </c>
      <c r="B19" s="7" t="s">
        <v>721</v>
      </c>
      <c r="C19" s="7" t="s">
        <v>713</v>
      </c>
      <c r="D19" s="7" t="s">
        <v>768</v>
      </c>
      <c r="E19" s="7" t="s">
        <v>714</v>
      </c>
      <c r="F19" s="7" t="s">
        <v>709</v>
      </c>
      <c r="G19" s="7" t="s">
        <v>769</v>
      </c>
    </row>
    <row r="20" spans="1:7" ht="55" customHeight="1">
      <c r="A20" s="3" t="s">
        <v>770</v>
      </c>
      <c r="B20" s="4" t="s">
        <v>724</v>
      </c>
      <c r="C20" s="4" t="s">
        <v>713</v>
      </c>
      <c r="D20" s="4" t="s">
        <v>768</v>
      </c>
      <c r="E20" s="4" t="s">
        <v>718</v>
      </c>
      <c r="F20" s="4" t="s">
        <v>709</v>
      </c>
      <c r="G20" s="4" t="s">
        <v>771</v>
      </c>
    </row>
    <row r="21" spans="1:7" ht="40" customHeight="1">
      <c r="A21" s="6" t="s">
        <v>772</v>
      </c>
      <c r="B21" s="7" t="s">
        <v>750</v>
      </c>
      <c r="C21" s="7" t="s">
        <v>751</v>
      </c>
      <c r="D21" s="7" t="s">
        <v>768</v>
      </c>
      <c r="E21" s="7" t="s">
        <v>752</v>
      </c>
      <c r="F21" s="7" t="s">
        <v>709</v>
      </c>
      <c r="G21" s="7" t="s">
        <v>773</v>
      </c>
    </row>
    <row r="22" spans="1:7" ht="55" customHeight="1">
      <c r="A22" s="3" t="s">
        <v>774</v>
      </c>
      <c r="B22" s="4" t="s">
        <v>755</v>
      </c>
      <c r="C22" s="4" t="s">
        <v>756</v>
      </c>
      <c r="D22" s="4" t="s">
        <v>768</v>
      </c>
      <c r="E22" s="4" t="s">
        <v>757</v>
      </c>
      <c r="F22" s="4" t="s">
        <v>709</v>
      </c>
      <c r="G22" s="4" t="s">
        <v>775</v>
      </c>
    </row>
    <row r="23" spans="1:7" ht="55" customHeight="1">
      <c r="A23" s="6" t="s">
        <v>776</v>
      </c>
      <c r="B23" s="7" t="s">
        <v>724</v>
      </c>
      <c r="C23" s="7" t="s">
        <v>713</v>
      </c>
      <c r="D23" s="7" t="s">
        <v>777</v>
      </c>
      <c r="E23" s="7" t="s">
        <v>718</v>
      </c>
      <c r="F23" s="7" t="s">
        <v>709</v>
      </c>
      <c r="G23" s="7" t="s">
        <v>778</v>
      </c>
    </row>
    <row r="24" spans="1:7" ht="100" customHeight="1">
      <c r="A24" s="3" t="s">
        <v>779</v>
      </c>
      <c r="B24" s="4" t="s">
        <v>721</v>
      </c>
      <c r="C24" s="4" t="s">
        <v>713</v>
      </c>
      <c r="D24" s="4" t="s">
        <v>777</v>
      </c>
      <c r="E24" s="4" t="s">
        <v>714</v>
      </c>
      <c r="F24" s="4" t="s">
        <v>709</v>
      </c>
      <c r="G24" s="4" t="s">
        <v>780</v>
      </c>
    </row>
  </sheetData>
  <autoFilter ref="A4:G2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&amp;LSources&amp;RPage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3C5658"/>
  </sheetPr>
  <dimension ref="A1:G1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20.7109375" customWidth="1"/>
    <col min="3" max="4" width="22.7109375" customWidth="1"/>
    <col min="5" max="5" width="65.7109375" customWidth="1"/>
    <col min="6" max="6" width="70.7109375" customWidth="1"/>
    <col min="7" max="7" width="80.7109375" customWidth="1"/>
  </cols>
  <sheetData>
    <row r="1" spans="1:7" ht="9" customHeight="1"/>
    <row r="2" spans="1:7" ht="42" customHeight="1">
      <c r="A2" s="1" t="s">
        <v>781</v>
      </c>
      <c r="B2" s="1"/>
      <c r="C2" s="1"/>
      <c r="D2" s="1"/>
      <c r="E2" s="1"/>
      <c r="F2" s="1"/>
      <c r="G2" s="8"/>
    </row>
    <row r="3" spans="1:7" ht="30" customHeight="1">
      <c r="A3" s="2" t="s">
        <v>125</v>
      </c>
      <c r="B3" s="2"/>
      <c r="C3" s="2"/>
      <c r="D3" s="2"/>
      <c r="E3" s="2"/>
      <c r="F3" s="2"/>
      <c r="G3" s="8"/>
    </row>
    <row r="4" spans="1:7" ht="34" customHeight="1">
      <c r="A4" s="5" t="s">
        <v>782</v>
      </c>
      <c r="B4" s="5" t="s">
        <v>449</v>
      </c>
      <c r="C4" s="5" t="s">
        <v>111</v>
      </c>
      <c r="D4" s="5" t="s">
        <v>783</v>
      </c>
      <c r="E4" s="5" t="s">
        <v>784</v>
      </c>
      <c r="F4" s="5" t="s">
        <v>785</v>
      </c>
      <c r="G4" s="5" t="s">
        <v>786</v>
      </c>
    </row>
    <row r="5" spans="1:7" ht="40" customHeight="1">
      <c r="A5" s="6" t="s">
        <v>787</v>
      </c>
      <c r="B5" s="7" t="s">
        <v>788</v>
      </c>
      <c r="C5" s="27">
        <v>1874.341</v>
      </c>
      <c r="D5" s="7" t="s">
        <v>67</v>
      </c>
      <c r="E5" s="7" t="s">
        <v>789</v>
      </c>
      <c r="F5" s="7" t="s">
        <v>790</v>
      </c>
      <c r="G5" s="7" t="s">
        <v>791</v>
      </c>
    </row>
    <row r="6" spans="1:7" ht="40" customHeight="1">
      <c r="A6" s="3" t="s">
        <v>792</v>
      </c>
      <c r="B6" s="4" t="s">
        <v>788</v>
      </c>
      <c r="C6" s="28">
        <v>509.27</v>
      </c>
      <c r="D6" s="4" t="s">
        <v>67</v>
      </c>
      <c r="E6" s="4" t="s">
        <v>793</v>
      </c>
      <c r="F6" s="4" t="s">
        <v>794</v>
      </c>
      <c r="G6" s="4" t="s">
        <v>795</v>
      </c>
    </row>
    <row r="7" spans="1:7" ht="40" customHeight="1">
      <c r="A7" s="6" t="s">
        <v>796</v>
      </c>
      <c r="B7" s="7" t="s">
        <v>788</v>
      </c>
      <c r="C7" s="27">
        <v>2066.337</v>
      </c>
      <c r="D7" s="7" t="s">
        <v>67</v>
      </c>
      <c r="E7" s="7" t="s">
        <v>797</v>
      </c>
      <c r="F7" s="7" t="s">
        <v>798</v>
      </c>
      <c r="G7" s="7" t="s">
        <v>799</v>
      </c>
    </row>
    <row r="8" spans="1:7" ht="40" customHeight="1">
      <c r="A8" s="3" t="s">
        <v>800</v>
      </c>
      <c r="B8" s="4" t="s">
        <v>788</v>
      </c>
      <c r="C8" s="28">
        <v>394.5319999999999</v>
      </c>
      <c r="D8" s="4" t="s">
        <v>67</v>
      </c>
      <c r="E8" s="4" t="s">
        <v>801</v>
      </c>
      <c r="F8" s="4" t="s">
        <v>802</v>
      </c>
      <c r="G8" s="4" t="s">
        <v>803</v>
      </c>
    </row>
    <row r="9" spans="1:7" ht="40" customHeight="1">
      <c r="A9" s="6" t="s">
        <v>804</v>
      </c>
      <c r="B9" s="7" t="s">
        <v>788</v>
      </c>
      <c r="C9" s="27">
        <v>305</v>
      </c>
      <c r="D9" s="7" t="s">
        <v>67</v>
      </c>
      <c r="E9" s="7" t="s">
        <v>789</v>
      </c>
      <c r="F9" s="7" t="s">
        <v>805</v>
      </c>
      <c r="G9" s="7" t="s">
        <v>791</v>
      </c>
    </row>
    <row r="10" spans="1:7" ht="40" customHeight="1">
      <c r="A10" s="3" t="s">
        <v>806</v>
      </c>
      <c r="B10" s="4" t="s">
        <v>788</v>
      </c>
      <c r="C10" s="28">
        <v>105</v>
      </c>
      <c r="D10" s="4" t="s">
        <v>67</v>
      </c>
      <c r="E10" s="4" t="s">
        <v>793</v>
      </c>
      <c r="F10" s="4" t="s">
        <v>807</v>
      </c>
      <c r="G10" s="4" t="s">
        <v>795</v>
      </c>
    </row>
    <row r="11" spans="1:7" ht="40" customHeight="1">
      <c r="A11" s="6" t="s">
        <v>808</v>
      </c>
      <c r="B11" s="7" t="s">
        <v>788</v>
      </c>
      <c r="C11" s="27">
        <v>1303</v>
      </c>
      <c r="D11" s="7" t="s">
        <v>67</v>
      </c>
      <c r="E11" s="7" t="s">
        <v>797</v>
      </c>
      <c r="F11" s="7" t="s">
        <v>809</v>
      </c>
      <c r="G11" s="7" t="s">
        <v>799</v>
      </c>
    </row>
    <row r="12" spans="1:7" ht="40" customHeight="1">
      <c r="A12" s="3" t="s">
        <v>810</v>
      </c>
      <c r="B12" s="4" t="s">
        <v>788</v>
      </c>
      <c r="C12" s="28">
        <v>192</v>
      </c>
      <c r="D12" s="4" t="s">
        <v>67</v>
      </c>
      <c r="E12" s="4" t="s">
        <v>801</v>
      </c>
      <c r="F12" s="4" t="s">
        <v>811</v>
      </c>
      <c r="G12" s="4" t="s">
        <v>803</v>
      </c>
    </row>
    <row r="13" spans="1:7" ht="25" customHeight="1">
      <c r="A13" s="6" t="s">
        <v>812</v>
      </c>
      <c r="B13" s="7" t="s">
        <v>788</v>
      </c>
      <c r="C13" s="27">
        <v>0</v>
      </c>
      <c r="D13" s="7" t="s">
        <v>67</v>
      </c>
      <c r="E13" s="7" t="s">
        <v>813</v>
      </c>
      <c r="F13" s="7" t="s">
        <v>814</v>
      </c>
      <c r="G13" s="7" t="s">
        <v>815</v>
      </c>
    </row>
    <row r="14" spans="1:7" ht="40" customHeight="1">
      <c r="A14" s="3" t="s">
        <v>816</v>
      </c>
      <c r="B14" s="4" t="s">
        <v>788</v>
      </c>
      <c r="C14" s="28">
        <v>450</v>
      </c>
      <c r="D14" s="4" t="s">
        <v>67</v>
      </c>
      <c r="E14" s="4" t="s">
        <v>817</v>
      </c>
      <c r="F14" s="4" t="s">
        <v>818</v>
      </c>
      <c r="G14" s="4" t="s">
        <v>819</v>
      </c>
    </row>
    <row r="15" spans="1:7" ht="40" customHeight="1">
      <c r="A15" s="6" t="s">
        <v>820</v>
      </c>
      <c r="B15" s="7" t="s">
        <v>788</v>
      </c>
      <c r="C15" s="27">
        <v>0</v>
      </c>
      <c r="D15" s="7" t="s">
        <v>67</v>
      </c>
      <c r="E15" s="7" t="s">
        <v>821</v>
      </c>
      <c r="F15" s="7" t="s">
        <v>822</v>
      </c>
      <c r="G15" s="7" t="s">
        <v>823</v>
      </c>
    </row>
    <row r="16" spans="1:7" ht="40" customHeight="1">
      <c r="A16" s="3" t="s">
        <v>824</v>
      </c>
      <c r="B16" s="4" t="s">
        <v>788</v>
      </c>
      <c r="C16" s="28">
        <v>2293.453968</v>
      </c>
      <c r="D16" s="4" t="s">
        <v>67</v>
      </c>
      <c r="E16" s="4" t="s">
        <v>825</v>
      </c>
      <c r="F16" s="4" t="s">
        <v>826</v>
      </c>
      <c r="G16" s="4" t="s">
        <v>827</v>
      </c>
    </row>
    <row r="17" spans="1:7" ht="40" customHeight="1">
      <c r="A17" s="6" t="s">
        <v>828</v>
      </c>
      <c r="B17" s="7" t="s">
        <v>788</v>
      </c>
      <c r="C17" s="27">
        <v>11.1614759776</v>
      </c>
      <c r="D17" s="7" t="s">
        <v>829</v>
      </c>
      <c r="E17" s="7" t="s">
        <v>830</v>
      </c>
      <c r="F17" s="7" t="s">
        <v>831</v>
      </c>
      <c r="G17" s="7" t="s">
        <v>832</v>
      </c>
    </row>
    <row r="18" spans="1:7" ht="25" customHeight="1">
      <c r="A18" s="3" t="s">
        <v>833</v>
      </c>
      <c r="B18" s="4" t="s">
        <v>788</v>
      </c>
      <c r="C18" s="28">
        <v>54.375</v>
      </c>
      <c r="D18" s="4" t="s">
        <v>67</v>
      </c>
      <c r="E18" s="4" t="s">
        <v>834</v>
      </c>
      <c r="F18" s="4" t="s">
        <v>835</v>
      </c>
      <c r="G18" s="4" t="s">
        <v>836</v>
      </c>
    </row>
    <row r="19" spans="1:7" ht="25" customHeight="1">
      <c r="A19" s="6" t="s">
        <v>837</v>
      </c>
      <c r="B19" s="7" t="s">
        <v>788</v>
      </c>
      <c r="C19" s="27">
        <v>16</v>
      </c>
      <c r="D19" s="7" t="s">
        <v>67</v>
      </c>
      <c r="E19" s="7" t="s">
        <v>838</v>
      </c>
      <c r="F19" s="7" t="s">
        <v>839</v>
      </c>
      <c r="G19" s="7" t="s">
        <v>840</v>
      </c>
    </row>
  </sheetData>
  <autoFilter ref="A4:G19"/>
  <mergeCells count="2">
    <mergeCell ref="A2:F2"/>
    <mergeCell ref="A3:F3"/>
  </mergeCells>
  <conditionalFormatting sqref="B10">
    <cfRule type="cellIs" dxfId="1" priority="6" operator="equal">
      <formula>"Supported"</formula>
    </cfRule>
  </conditionalFormatting>
  <conditionalFormatting sqref="B11">
    <cfRule type="cellIs" dxfId="1" priority="7" operator="equal">
      <formula>"Supported"</formula>
    </cfRule>
  </conditionalFormatting>
  <conditionalFormatting sqref="B12">
    <cfRule type="cellIs" dxfId="1" priority="8" operator="equal">
      <formula>"Supported"</formula>
    </cfRule>
  </conditionalFormatting>
  <conditionalFormatting sqref="B13">
    <cfRule type="cellIs" dxfId="1" priority="9" operator="equal">
      <formula>"Supported"</formula>
    </cfRule>
  </conditionalFormatting>
  <conditionalFormatting sqref="B14">
    <cfRule type="cellIs" dxfId="1" priority="10" operator="equal">
      <formula>"Supported"</formula>
    </cfRule>
  </conditionalFormatting>
  <conditionalFormatting sqref="B15">
    <cfRule type="cellIs" dxfId="1" priority="11" operator="equal">
      <formula>"Supported"</formula>
    </cfRule>
  </conditionalFormatting>
  <conditionalFormatting sqref="B16">
    <cfRule type="cellIs" dxfId="1" priority="12" operator="equal">
      <formula>"Supported"</formula>
    </cfRule>
  </conditionalFormatting>
  <conditionalFormatting sqref="B17">
    <cfRule type="cellIs" dxfId="1" priority="13" operator="equal">
      <formula>"Supported"</formula>
    </cfRule>
  </conditionalFormatting>
  <conditionalFormatting sqref="B18">
    <cfRule type="cellIs" dxfId="1" priority="14" operator="equal">
      <formula>"Supported"</formula>
    </cfRule>
  </conditionalFormatting>
  <conditionalFormatting sqref="B19">
    <cfRule type="cellIs" dxfId="1" priority="15" operator="equal">
      <formula>"Supported"</formula>
    </cfRule>
  </conditionalFormatting>
  <conditionalFormatting sqref="B5">
    <cfRule type="cellIs" dxfId="1" priority="1" operator="equal">
      <formula>"Supported"</formula>
    </cfRule>
  </conditionalFormatting>
  <conditionalFormatting sqref="B6">
    <cfRule type="cellIs" dxfId="1" priority="2" operator="equal">
      <formula>"Supported"</formula>
    </cfRule>
  </conditionalFormatting>
  <conditionalFormatting sqref="B7">
    <cfRule type="cellIs" dxfId="1" priority="3" operator="equal">
      <formula>"Supported"</formula>
    </cfRule>
  </conditionalFormatting>
  <conditionalFormatting sqref="B8">
    <cfRule type="cellIs" dxfId="1" priority="4" operator="equal">
      <formula>"Supported"</formula>
    </cfRule>
  </conditionalFormatting>
  <conditionalFormatting sqref="B9">
    <cfRule type="cellIs" dxfId="1" priority="5" operator="equal">
      <formula>"Supported"</formula>
    </cfRule>
  </conditionalFormatting>
  <pageMargins left="0.3" right="0.3" top="0.4" bottom="0.4" header="0.3" footer="0.3"/>
  <pageSetup paperSize="9" scale="85" orientation="landscape"/>
  <headerFooter>
    <oddFooter>&amp;LHistorical calculations&amp;RPage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3C5658"/>
  </sheetPr>
  <dimension ref="A1:J4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0.7109375" customWidth="1"/>
    <col min="3" max="3" width="28.7109375" customWidth="1"/>
    <col min="4" max="4" width="35.7109375" customWidth="1"/>
    <col min="5" max="5" width="70.7109375" customWidth="1"/>
    <col min="6" max="6" width="85.7109375" customWidth="1"/>
    <col min="7" max="8" width="90.7109375" customWidth="1"/>
    <col min="9" max="9" width="80.7109375" customWidth="1"/>
    <col min="10" max="10" width="90.7109375" customWidth="1"/>
  </cols>
  <sheetData>
    <row r="1" spans="1:10" ht="9" customHeight="1"/>
    <row r="2" spans="1:10" ht="42" customHeight="1">
      <c r="A2" s="1" t="s">
        <v>841</v>
      </c>
      <c r="B2" s="1"/>
      <c r="C2" s="1"/>
      <c r="D2" s="1"/>
      <c r="E2" s="1"/>
      <c r="F2" s="1"/>
      <c r="G2" s="8"/>
      <c r="H2" s="8"/>
      <c r="I2" s="8"/>
      <c r="J2" s="8"/>
    </row>
    <row r="3" spans="1:10" ht="30" customHeight="1">
      <c r="A3" s="2" t="s">
        <v>125</v>
      </c>
      <c r="B3" s="2"/>
      <c r="C3" s="2"/>
      <c r="D3" s="2"/>
      <c r="E3" s="2"/>
      <c r="F3" s="2"/>
      <c r="G3" s="8"/>
      <c r="H3" s="8"/>
      <c r="I3" s="8"/>
      <c r="J3" s="8"/>
    </row>
    <row r="4" spans="1:10" ht="34" customHeight="1">
      <c r="A4" s="5" t="s">
        <v>461</v>
      </c>
      <c r="B4" s="5" t="s">
        <v>449</v>
      </c>
      <c r="C4" s="5" t="s">
        <v>462</v>
      </c>
      <c r="D4" s="5" t="s">
        <v>842</v>
      </c>
      <c r="E4" s="5" t="s">
        <v>466</v>
      </c>
      <c r="F4" s="5" t="s">
        <v>843</v>
      </c>
      <c r="G4" s="5" t="s">
        <v>844</v>
      </c>
      <c r="H4" s="5" t="s">
        <v>845</v>
      </c>
      <c r="I4" s="5" t="s">
        <v>846</v>
      </c>
      <c r="J4" s="5" t="s">
        <v>451</v>
      </c>
    </row>
    <row r="5" spans="1:10" ht="55" customHeight="1">
      <c r="A5" s="6" t="s">
        <v>694</v>
      </c>
      <c r="B5" s="7" t="s">
        <v>847</v>
      </c>
      <c r="C5" s="7" t="s">
        <v>475</v>
      </c>
      <c r="D5" s="7" t="s">
        <v>848</v>
      </c>
      <c r="E5" s="7" t="s">
        <v>687</v>
      </c>
      <c r="F5" s="7" t="s">
        <v>849</v>
      </c>
      <c r="G5" s="7" t="s">
        <v>850</v>
      </c>
      <c r="H5" s="7" t="s">
        <v>851</v>
      </c>
      <c r="I5" s="7" t="s">
        <v>728</v>
      </c>
      <c r="J5" s="7" t="s">
        <v>852</v>
      </c>
    </row>
    <row r="6" spans="1:10" ht="40" customHeight="1">
      <c r="A6" s="3" t="s">
        <v>541</v>
      </c>
      <c r="B6" s="4" t="s">
        <v>847</v>
      </c>
      <c r="C6" s="4" t="s">
        <v>475</v>
      </c>
      <c r="D6" s="4" t="s">
        <v>848</v>
      </c>
      <c r="E6" s="4" t="s">
        <v>536</v>
      </c>
      <c r="F6" s="4" t="s">
        <v>853</v>
      </c>
      <c r="G6" s="4" t="s">
        <v>854</v>
      </c>
      <c r="H6" s="4" t="s">
        <v>855</v>
      </c>
      <c r="I6" s="4" t="s">
        <v>714</v>
      </c>
      <c r="J6" s="4" t="s">
        <v>856</v>
      </c>
    </row>
    <row r="7" spans="1:10" ht="40" customHeight="1">
      <c r="A7" s="6" t="s">
        <v>534</v>
      </c>
      <c r="B7" s="7" t="s">
        <v>847</v>
      </c>
      <c r="C7" s="7" t="s">
        <v>475</v>
      </c>
      <c r="D7" s="7" t="s">
        <v>848</v>
      </c>
      <c r="E7" s="7" t="s">
        <v>536</v>
      </c>
      <c r="F7" s="7" t="s">
        <v>853</v>
      </c>
      <c r="G7" s="7" t="s">
        <v>854</v>
      </c>
      <c r="H7" s="7" t="s">
        <v>855</v>
      </c>
      <c r="I7" s="7" t="s">
        <v>714</v>
      </c>
      <c r="J7" s="7" t="s">
        <v>856</v>
      </c>
    </row>
    <row r="8" spans="1:10" ht="40" customHeight="1">
      <c r="A8" s="3" t="s">
        <v>540</v>
      </c>
      <c r="B8" s="4" t="s">
        <v>847</v>
      </c>
      <c r="C8" s="4" t="s">
        <v>475</v>
      </c>
      <c r="D8" s="4" t="s">
        <v>848</v>
      </c>
      <c r="E8" s="4" t="s">
        <v>536</v>
      </c>
      <c r="F8" s="4" t="s">
        <v>857</v>
      </c>
      <c r="G8" s="4" t="s">
        <v>858</v>
      </c>
      <c r="H8" s="4" t="s">
        <v>851</v>
      </c>
      <c r="I8" s="4" t="s">
        <v>714</v>
      </c>
      <c r="J8" s="4" t="s">
        <v>859</v>
      </c>
    </row>
    <row r="9" spans="1:10" ht="40" customHeight="1">
      <c r="A9" s="6" t="s">
        <v>503</v>
      </c>
      <c r="B9" s="7" t="s">
        <v>860</v>
      </c>
      <c r="C9" s="7" t="s">
        <v>468</v>
      </c>
      <c r="D9" s="7" t="s">
        <v>848</v>
      </c>
      <c r="E9" s="7" t="s">
        <v>499</v>
      </c>
      <c r="F9" s="7" t="s">
        <v>861</v>
      </c>
      <c r="G9" s="7" t="s">
        <v>862</v>
      </c>
      <c r="H9" s="7" t="s">
        <v>851</v>
      </c>
      <c r="I9" s="7" t="s">
        <v>714</v>
      </c>
      <c r="J9" s="7" t="s">
        <v>863</v>
      </c>
    </row>
    <row r="10" spans="1:10" ht="40" customHeight="1">
      <c r="A10" s="3" t="s">
        <v>506</v>
      </c>
      <c r="B10" s="4" t="s">
        <v>847</v>
      </c>
      <c r="C10" s="4" t="s">
        <v>475</v>
      </c>
      <c r="D10" s="4" t="s">
        <v>848</v>
      </c>
      <c r="E10" s="4" t="s">
        <v>499</v>
      </c>
      <c r="F10" s="4" t="s">
        <v>864</v>
      </c>
      <c r="G10" s="4" t="s">
        <v>865</v>
      </c>
      <c r="H10" s="4" t="s">
        <v>851</v>
      </c>
      <c r="I10" s="4" t="s">
        <v>714</v>
      </c>
      <c r="J10" s="4" t="s">
        <v>866</v>
      </c>
    </row>
    <row r="11" spans="1:10" ht="70" customHeight="1">
      <c r="A11" s="6" t="s">
        <v>501</v>
      </c>
      <c r="B11" s="7" t="s">
        <v>847</v>
      </c>
      <c r="C11" s="7" t="s">
        <v>475</v>
      </c>
      <c r="D11" s="7" t="s">
        <v>848</v>
      </c>
      <c r="E11" s="7" t="s">
        <v>502</v>
      </c>
      <c r="F11" s="7" t="s">
        <v>867</v>
      </c>
      <c r="G11" s="7" t="s">
        <v>868</v>
      </c>
      <c r="H11" s="7" t="s">
        <v>851</v>
      </c>
      <c r="I11" s="7" t="s">
        <v>714</v>
      </c>
      <c r="J11" s="7" t="s">
        <v>869</v>
      </c>
    </row>
    <row r="12" spans="1:10" ht="55" customHeight="1">
      <c r="A12" s="3" t="s">
        <v>525</v>
      </c>
      <c r="B12" s="4" t="s">
        <v>847</v>
      </c>
      <c r="C12" s="4" t="s">
        <v>475</v>
      </c>
      <c r="D12" s="4" t="s">
        <v>870</v>
      </c>
      <c r="E12" s="4" t="s">
        <v>517</v>
      </c>
      <c r="F12" s="4" t="s">
        <v>871</v>
      </c>
      <c r="G12" s="4" t="s">
        <v>872</v>
      </c>
      <c r="H12" s="4" t="s">
        <v>851</v>
      </c>
      <c r="I12" s="4" t="s">
        <v>714</v>
      </c>
      <c r="J12" s="4" t="s">
        <v>873</v>
      </c>
    </row>
    <row r="13" spans="1:10" ht="55" customHeight="1">
      <c r="A13" s="6" t="s">
        <v>527</v>
      </c>
      <c r="B13" s="7" t="s">
        <v>847</v>
      </c>
      <c r="C13" s="7" t="s">
        <v>475</v>
      </c>
      <c r="D13" s="7" t="s">
        <v>870</v>
      </c>
      <c r="E13" s="7" t="s">
        <v>517</v>
      </c>
      <c r="F13" s="7" t="s">
        <v>874</v>
      </c>
      <c r="G13" s="7" t="s">
        <v>875</v>
      </c>
      <c r="H13" s="7" t="s">
        <v>851</v>
      </c>
      <c r="I13" s="7" t="s">
        <v>714</v>
      </c>
      <c r="J13" s="7" t="s">
        <v>876</v>
      </c>
    </row>
    <row r="14" spans="1:10" ht="55" customHeight="1">
      <c r="A14" s="3" t="s">
        <v>521</v>
      </c>
      <c r="B14" s="4" t="s">
        <v>847</v>
      </c>
      <c r="C14" s="4" t="s">
        <v>475</v>
      </c>
      <c r="D14" s="4" t="s">
        <v>870</v>
      </c>
      <c r="E14" s="4" t="s">
        <v>517</v>
      </c>
      <c r="F14" s="4" t="s">
        <v>877</v>
      </c>
      <c r="G14" s="4" t="s">
        <v>878</v>
      </c>
      <c r="H14" s="4" t="s">
        <v>851</v>
      </c>
      <c r="I14" s="4" t="s">
        <v>714</v>
      </c>
      <c r="J14" s="4" t="s">
        <v>879</v>
      </c>
    </row>
    <row r="15" spans="1:10" ht="55" customHeight="1">
      <c r="A15" s="6" t="s">
        <v>519</v>
      </c>
      <c r="B15" s="7" t="s">
        <v>847</v>
      </c>
      <c r="C15" s="7" t="s">
        <v>475</v>
      </c>
      <c r="D15" s="7" t="s">
        <v>870</v>
      </c>
      <c r="E15" s="7" t="s">
        <v>517</v>
      </c>
      <c r="F15" s="7" t="s">
        <v>880</v>
      </c>
      <c r="G15" s="7" t="s">
        <v>881</v>
      </c>
      <c r="H15" s="7" t="s">
        <v>851</v>
      </c>
      <c r="I15" s="7" t="s">
        <v>728</v>
      </c>
      <c r="J15" s="7" t="s">
        <v>882</v>
      </c>
    </row>
    <row r="16" spans="1:10" ht="55" customHeight="1">
      <c r="A16" s="3" t="s">
        <v>529</v>
      </c>
      <c r="B16" s="4" t="s">
        <v>847</v>
      </c>
      <c r="C16" s="4" t="s">
        <v>475</v>
      </c>
      <c r="D16" s="4" t="s">
        <v>870</v>
      </c>
      <c r="E16" s="4" t="s">
        <v>517</v>
      </c>
      <c r="F16" s="4" t="s">
        <v>883</v>
      </c>
      <c r="G16" s="4" t="s">
        <v>884</v>
      </c>
      <c r="H16" s="4" t="s">
        <v>885</v>
      </c>
      <c r="I16" s="4" t="s">
        <v>733</v>
      </c>
      <c r="J16" s="4" t="s">
        <v>886</v>
      </c>
    </row>
    <row r="17" spans="1:10" ht="55" customHeight="1">
      <c r="A17" s="6" t="s">
        <v>531</v>
      </c>
      <c r="B17" s="7" t="s">
        <v>860</v>
      </c>
      <c r="C17" s="7" t="s">
        <v>468</v>
      </c>
      <c r="D17" s="7" t="s">
        <v>870</v>
      </c>
      <c r="E17" s="7" t="s">
        <v>517</v>
      </c>
      <c r="F17" s="7" t="s">
        <v>887</v>
      </c>
      <c r="G17" s="7" t="s">
        <v>862</v>
      </c>
      <c r="H17" s="7" t="s">
        <v>851</v>
      </c>
      <c r="I17" s="7" t="s">
        <v>714</v>
      </c>
      <c r="J17" s="7" t="s">
        <v>888</v>
      </c>
    </row>
    <row r="18" spans="1:10" ht="55" customHeight="1">
      <c r="A18" s="3" t="s">
        <v>513</v>
      </c>
      <c r="B18" s="4" t="s">
        <v>860</v>
      </c>
      <c r="C18" s="4" t="s">
        <v>468</v>
      </c>
      <c r="D18" s="4" t="s">
        <v>870</v>
      </c>
      <c r="E18" s="4" t="s">
        <v>517</v>
      </c>
      <c r="F18" s="4" t="s">
        <v>889</v>
      </c>
      <c r="G18" s="4" t="s">
        <v>862</v>
      </c>
      <c r="H18" s="4" t="s">
        <v>890</v>
      </c>
      <c r="I18" s="4" t="s">
        <v>714</v>
      </c>
      <c r="J18" s="4" t="s">
        <v>891</v>
      </c>
    </row>
    <row r="19" spans="1:10" ht="55" customHeight="1">
      <c r="A19" s="6" t="s">
        <v>523</v>
      </c>
      <c r="B19" s="7" t="s">
        <v>847</v>
      </c>
      <c r="C19" s="7" t="s">
        <v>475</v>
      </c>
      <c r="D19" s="7" t="s">
        <v>870</v>
      </c>
      <c r="E19" s="7" t="s">
        <v>517</v>
      </c>
      <c r="F19" s="7" t="s">
        <v>892</v>
      </c>
      <c r="G19" s="7" t="s">
        <v>893</v>
      </c>
      <c r="H19" s="7" t="s">
        <v>851</v>
      </c>
      <c r="I19" s="7" t="s">
        <v>742</v>
      </c>
      <c r="J19" s="7" t="s">
        <v>894</v>
      </c>
    </row>
    <row r="20" spans="1:10" ht="40" customHeight="1">
      <c r="A20" s="3" t="s">
        <v>684</v>
      </c>
      <c r="B20" s="4" t="s">
        <v>847</v>
      </c>
      <c r="C20" s="4" t="s">
        <v>475</v>
      </c>
      <c r="D20" s="4" t="s">
        <v>848</v>
      </c>
      <c r="E20" s="4" t="s">
        <v>536</v>
      </c>
      <c r="F20" s="4" t="s">
        <v>853</v>
      </c>
      <c r="G20" s="4" t="s">
        <v>854</v>
      </c>
      <c r="H20" s="4" t="s">
        <v>855</v>
      </c>
      <c r="I20" s="4" t="s">
        <v>718</v>
      </c>
      <c r="J20" s="4" t="s">
        <v>856</v>
      </c>
    </row>
    <row r="21" spans="1:10" ht="40" customHeight="1">
      <c r="A21" s="6" t="s">
        <v>680</v>
      </c>
      <c r="B21" s="7" t="s">
        <v>847</v>
      </c>
      <c r="C21" s="7" t="s">
        <v>475</v>
      </c>
      <c r="D21" s="7" t="s">
        <v>848</v>
      </c>
      <c r="E21" s="7" t="s">
        <v>536</v>
      </c>
      <c r="F21" s="7" t="s">
        <v>853</v>
      </c>
      <c r="G21" s="7" t="s">
        <v>854</v>
      </c>
      <c r="H21" s="7" t="s">
        <v>855</v>
      </c>
      <c r="I21" s="7" t="s">
        <v>718</v>
      </c>
      <c r="J21" s="7" t="s">
        <v>856</v>
      </c>
    </row>
    <row r="22" spans="1:10" ht="40" customHeight="1">
      <c r="A22" s="3" t="s">
        <v>682</v>
      </c>
      <c r="B22" s="4" t="s">
        <v>860</v>
      </c>
      <c r="C22" s="4" t="s">
        <v>468</v>
      </c>
      <c r="D22" s="4" t="s">
        <v>848</v>
      </c>
      <c r="E22" s="4" t="s">
        <v>536</v>
      </c>
      <c r="F22" s="4" t="s">
        <v>857</v>
      </c>
      <c r="G22" s="4" t="s">
        <v>862</v>
      </c>
      <c r="H22" s="4" t="s">
        <v>851</v>
      </c>
      <c r="I22" s="4" t="s">
        <v>718</v>
      </c>
      <c r="J22" s="4" t="s">
        <v>859</v>
      </c>
    </row>
    <row r="23" spans="1:10" ht="40" customHeight="1">
      <c r="A23" s="6" t="s">
        <v>661</v>
      </c>
      <c r="B23" s="7" t="s">
        <v>860</v>
      </c>
      <c r="C23" s="7" t="s">
        <v>468</v>
      </c>
      <c r="D23" s="7" t="s">
        <v>848</v>
      </c>
      <c r="E23" s="7" t="s">
        <v>499</v>
      </c>
      <c r="F23" s="7" t="s">
        <v>861</v>
      </c>
      <c r="G23" s="7" t="s">
        <v>862</v>
      </c>
      <c r="H23" s="7" t="s">
        <v>851</v>
      </c>
      <c r="I23" s="7" t="s">
        <v>718</v>
      </c>
      <c r="J23" s="7" t="s">
        <v>863</v>
      </c>
    </row>
    <row r="24" spans="1:10" ht="40" customHeight="1">
      <c r="A24" s="3" t="s">
        <v>668</v>
      </c>
      <c r="B24" s="4" t="s">
        <v>860</v>
      </c>
      <c r="C24" s="4" t="s">
        <v>468</v>
      </c>
      <c r="D24" s="4" t="s">
        <v>848</v>
      </c>
      <c r="E24" s="4" t="s">
        <v>499</v>
      </c>
      <c r="F24" s="4" t="s">
        <v>895</v>
      </c>
      <c r="G24" s="4" t="s">
        <v>862</v>
      </c>
      <c r="H24" s="4" t="s">
        <v>851</v>
      </c>
      <c r="I24" s="4" t="s">
        <v>718</v>
      </c>
      <c r="J24" s="4" t="s">
        <v>896</v>
      </c>
    </row>
    <row r="25" spans="1:10" ht="40" customHeight="1">
      <c r="A25" s="6" t="s">
        <v>664</v>
      </c>
      <c r="B25" s="7" t="s">
        <v>847</v>
      </c>
      <c r="C25" s="7" t="s">
        <v>475</v>
      </c>
      <c r="D25" s="7" t="s">
        <v>848</v>
      </c>
      <c r="E25" s="7" t="s">
        <v>499</v>
      </c>
      <c r="F25" s="7" t="s">
        <v>864</v>
      </c>
      <c r="G25" s="7" t="s">
        <v>865</v>
      </c>
      <c r="H25" s="7" t="s">
        <v>851</v>
      </c>
      <c r="I25" s="7" t="s">
        <v>718</v>
      </c>
      <c r="J25" s="7" t="s">
        <v>866</v>
      </c>
    </row>
    <row r="26" spans="1:10" ht="55" customHeight="1">
      <c r="A26" s="3" t="s">
        <v>660</v>
      </c>
      <c r="B26" s="4" t="s">
        <v>847</v>
      </c>
      <c r="C26" s="4" t="s">
        <v>475</v>
      </c>
      <c r="D26" s="4" t="s">
        <v>848</v>
      </c>
      <c r="E26" s="4" t="s">
        <v>502</v>
      </c>
      <c r="F26" s="4" t="s">
        <v>897</v>
      </c>
      <c r="G26" s="4" t="s">
        <v>868</v>
      </c>
      <c r="H26" s="4" t="s">
        <v>851</v>
      </c>
      <c r="I26" s="4" t="s">
        <v>718</v>
      </c>
      <c r="J26" s="4" t="s">
        <v>869</v>
      </c>
    </row>
    <row r="27" spans="1:10" ht="55" customHeight="1">
      <c r="A27" s="6" t="s">
        <v>675</v>
      </c>
      <c r="B27" s="7" t="s">
        <v>847</v>
      </c>
      <c r="C27" s="7" t="s">
        <v>475</v>
      </c>
      <c r="D27" s="7" t="s">
        <v>870</v>
      </c>
      <c r="E27" s="7" t="s">
        <v>517</v>
      </c>
      <c r="F27" s="7" t="s">
        <v>871</v>
      </c>
      <c r="G27" s="7" t="s">
        <v>872</v>
      </c>
      <c r="H27" s="7" t="s">
        <v>851</v>
      </c>
      <c r="I27" s="7" t="s">
        <v>718</v>
      </c>
      <c r="J27" s="7" t="s">
        <v>873</v>
      </c>
    </row>
    <row r="28" spans="1:10" ht="55" customHeight="1">
      <c r="A28" s="3" t="s">
        <v>676</v>
      </c>
      <c r="B28" s="4" t="s">
        <v>847</v>
      </c>
      <c r="C28" s="4" t="s">
        <v>475</v>
      </c>
      <c r="D28" s="4" t="s">
        <v>870</v>
      </c>
      <c r="E28" s="4" t="s">
        <v>517</v>
      </c>
      <c r="F28" s="4" t="s">
        <v>874</v>
      </c>
      <c r="G28" s="4" t="s">
        <v>875</v>
      </c>
      <c r="H28" s="4" t="s">
        <v>851</v>
      </c>
      <c r="I28" s="4" t="s">
        <v>718</v>
      </c>
      <c r="J28" s="4" t="s">
        <v>876</v>
      </c>
    </row>
    <row r="29" spans="1:10" ht="55" customHeight="1">
      <c r="A29" s="6" t="s">
        <v>673</v>
      </c>
      <c r="B29" s="7" t="s">
        <v>847</v>
      </c>
      <c r="C29" s="7" t="s">
        <v>475</v>
      </c>
      <c r="D29" s="7" t="s">
        <v>870</v>
      </c>
      <c r="E29" s="7" t="s">
        <v>517</v>
      </c>
      <c r="F29" s="7" t="s">
        <v>877</v>
      </c>
      <c r="G29" s="7" t="s">
        <v>878</v>
      </c>
      <c r="H29" s="7" t="s">
        <v>851</v>
      </c>
      <c r="I29" s="7" t="s">
        <v>718</v>
      </c>
      <c r="J29" s="7" t="s">
        <v>879</v>
      </c>
    </row>
    <row r="30" spans="1:10" ht="55" customHeight="1">
      <c r="A30" s="3" t="s">
        <v>672</v>
      </c>
      <c r="B30" s="4" t="s">
        <v>847</v>
      </c>
      <c r="C30" s="4" t="s">
        <v>475</v>
      </c>
      <c r="D30" s="4" t="s">
        <v>870</v>
      </c>
      <c r="E30" s="4" t="s">
        <v>517</v>
      </c>
      <c r="F30" s="4" t="s">
        <v>880</v>
      </c>
      <c r="G30" s="4" t="s">
        <v>881</v>
      </c>
      <c r="H30" s="4" t="s">
        <v>851</v>
      </c>
      <c r="I30" s="4" t="s">
        <v>728</v>
      </c>
      <c r="J30" s="4" t="s">
        <v>882</v>
      </c>
    </row>
    <row r="31" spans="1:10" ht="55" customHeight="1">
      <c r="A31" s="6" t="s">
        <v>677</v>
      </c>
      <c r="B31" s="7" t="s">
        <v>847</v>
      </c>
      <c r="C31" s="7" t="s">
        <v>475</v>
      </c>
      <c r="D31" s="7" t="s">
        <v>870</v>
      </c>
      <c r="E31" s="7" t="s">
        <v>517</v>
      </c>
      <c r="F31" s="7" t="s">
        <v>883</v>
      </c>
      <c r="G31" s="7" t="s">
        <v>884</v>
      </c>
      <c r="H31" s="7" t="s">
        <v>885</v>
      </c>
      <c r="I31" s="7" t="s">
        <v>738</v>
      </c>
      <c r="J31" s="7" t="s">
        <v>886</v>
      </c>
    </row>
    <row r="32" spans="1:10" ht="55" customHeight="1">
      <c r="A32" s="3" t="s">
        <v>678</v>
      </c>
      <c r="B32" s="4" t="s">
        <v>860</v>
      </c>
      <c r="C32" s="4" t="s">
        <v>468</v>
      </c>
      <c r="D32" s="4" t="s">
        <v>870</v>
      </c>
      <c r="E32" s="4" t="s">
        <v>517</v>
      </c>
      <c r="F32" s="4" t="s">
        <v>887</v>
      </c>
      <c r="G32" s="4" t="s">
        <v>862</v>
      </c>
      <c r="H32" s="4" t="s">
        <v>851</v>
      </c>
      <c r="I32" s="4" t="s">
        <v>718</v>
      </c>
      <c r="J32" s="4" t="s">
        <v>888</v>
      </c>
    </row>
    <row r="33" spans="1:10" ht="55" customHeight="1">
      <c r="A33" s="6" t="s">
        <v>671</v>
      </c>
      <c r="B33" s="7" t="s">
        <v>847</v>
      </c>
      <c r="C33" s="7" t="s">
        <v>475</v>
      </c>
      <c r="D33" s="7" t="s">
        <v>870</v>
      </c>
      <c r="E33" s="7" t="s">
        <v>517</v>
      </c>
      <c r="F33" s="7" t="s">
        <v>889</v>
      </c>
      <c r="G33" s="7" t="s">
        <v>898</v>
      </c>
      <c r="H33" s="7" t="s">
        <v>890</v>
      </c>
      <c r="I33" s="7" t="s">
        <v>718</v>
      </c>
      <c r="J33" s="7" t="s">
        <v>891</v>
      </c>
    </row>
    <row r="34" spans="1:10" ht="55" customHeight="1">
      <c r="A34" s="3" t="s">
        <v>674</v>
      </c>
      <c r="B34" s="4" t="s">
        <v>847</v>
      </c>
      <c r="C34" s="4" t="s">
        <v>475</v>
      </c>
      <c r="D34" s="4" t="s">
        <v>870</v>
      </c>
      <c r="E34" s="4" t="s">
        <v>517</v>
      </c>
      <c r="F34" s="4" t="s">
        <v>892</v>
      </c>
      <c r="G34" s="4" t="s">
        <v>893</v>
      </c>
      <c r="H34" s="4" t="s">
        <v>851</v>
      </c>
      <c r="I34" s="4" t="s">
        <v>747</v>
      </c>
      <c r="J34" s="4" t="s">
        <v>894</v>
      </c>
    </row>
    <row r="35" spans="1:10" ht="85" customHeight="1">
      <c r="A35" s="6" t="s">
        <v>552</v>
      </c>
      <c r="B35" s="7" t="s">
        <v>860</v>
      </c>
      <c r="C35" s="7" t="s">
        <v>544</v>
      </c>
      <c r="D35" s="7" t="s">
        <v>899</v>
      </c>
      <c r="E35" s="7" t="s">
        <v>547</v>
      </c>
      <c r="F35" s="7" t="s">
        <v>554</v>
      </c>
      <c r="G35" s="7" t="s">
        <v>862</v>
      </c>
      <c r="H35" s="7" t="s">
        <v>900</v>
      </c>
      <c r="I35" s="7" t="s">
        <v>901</v>
      </c>
      <c r="J35" s="7" t="s">
        <v>902</v>
      </c>
    </row>
    <row r="36" spans="1:10" ht="55" customHeight="1">
      <c r="A36" s="3" t="s">
        <v>558</v>
      </c>
      <c r="B36" s="4" t="s">
        <v>860</v>
      </c>
      <c r="C36" s="4" t="s">
        <v>544</v>
      </c>
      <c r="D36" s="4" t="s">
        <v>899</v>
      </c>
      <c r="E36" s="4" t="s">
        <v>547</v>
      </c>
      <c r="F36" s="4" t="s">
        <v>560</v>
      </c>
      <c r="G36" s="4" t="s">
        <v>862</v>
      </c>
      <c r="H36" s="4" t="s">
        <v>900</v>
      </c>
      <c r="I36" s="4" t="s">
        <v>901</v>
      </c>
      <c r="J36" s="4" t="s">
        <v>902</v>
      </c>
    </row>
    <row r="37" spans="1:10" ht="40" customHeight="1">
      <c r="A37" s="6" t="s">
        <v>561</v>
      </c>
      <c r="B37" s="7" t="s">
        <v>860</v>
      </c>
      <c r="C37" s="7" t="s">
        <v>544</v>
      </c>
      <c r="D37" s="7" t="s">
        <v>899</v>
      </c>
      <c r="E37" s="7" t="s">
        <v>547</v>
      </c>
      <c r="F37" s="7" t="s">
        <v>563</v>
      </c>
      <c r="G37" s="7" t="s">
        <v>862</v>
      </c>
      <c r="H37" s="7" t="s">
        <v>900</v>
      </c>
      <c r="I37" s="7" t="s">
        <v>901</v>
      </c>
      <c r="J37" s="7" t="s">
        <v>902</v>
      </c>
    </row>
    <row r="38" spans="1:10" ht="70" customHeight="1">
      <c r="A38" s="3" t="s">
        <v>555</v>
      </c>
      <c r="B38" s="4" t="s">
        <v>860</v>
      </c>
      <c r="C38" s="4" t="s">
        <v>544</v>
      </c>
      <c r="D38" s="4" t="s">
        <v>899</v>
      </c>
      <c r="E38" s="4" t="s">
        <v>547</v>
      </c>
      <c r="F38" s="4" t="s">
        <v>557</v>
      </c>
      <c r="G38" s="4" t="s">
        <v>862</v>
      </c>
      <c r="H38" s="4" t="s">
        <v>900</v>
      </c>
      <c r="I38" s="4" t="s">
        <v>901</v>
      </c>
      <c r="J38" s="4" t="s">
        <v>902</v>
      </c>
    </row>
    <row r="39" spans="1:10" ht="40" customHeight="1">
      <c r="A39" s="6" t="s">
        <v>542</v>
      </c>
      <c r="B39" s="7" t="s">
        <v>860</v>
      </c>
      <c r="C39" s="7" t="s">
        <v>544</v>
      </c>
      <c r="D39" s="7" t="s">
        <v>899</v>
      </c>
      <c r="E39" s="7" t="s">
        <v>547</v>
      </c>
      <c r="F39" s="7" t="s">
        <v>545</v>
      </c>
      <c r="G39" s="7" t="s">
        <v>862</v>
      </c>
      <c r="H39" s="7" t="s">
        <v>900</v>
      </c>
      <c r="I39" s="7" t="s">
        <v>901</v>
      </c>
      <c r="J39" s="7" t="s">
        <v>902</v>
      </c>
    </row>
    <row r="40" spans="1:10" ht="40" customHeight="1">
      <c r="A40" s="3" t="s">
        <v>549</v>
      </c>
      <c r="B40" s="4" t="s">
        <v>860</v>
      </c>
      <c r="C40" s="4" t="s">
        <v>544</v>
      </c>
      <c r="D40" s="4" t="s">
        <v>899</v>
      </c>
      <c r="E40" s="4" t="s">
        <v>547</v>
      </c>
      <c r="F40" s="4" t="s">
        <v>551</v>
      </c>
      <c r="G40" s="4" t="s">
        <v>862</v>
      </c>
      <c r="H40" s="4" t="s">
        <v>900</v>
      </c>
      <c r="I40" s="4" t="s">
        <v>901</v>
      </c>
      <c r="J40" s="4" t="s">
        <v>902</v>
      </c>
    </row>
  </sheetData>
  <autoFilter ref="A4:J40"/>
  <mergeCells count="2">
    <mergeCell ref="A2:F2"/>
    <mergeCell ref="A3:F3"/>
  </mergeCells>
  <conditionalFormatting sqref="C10">
    <cfRule type="cellIs" dxfId="2" priority="6" operator="equal">
      <formula>"missing evidence"</formula>
    </cfRule>
  </conditionalFormatting>
  <conditionalFormatting sqref="C11">
    <cfRule type="cellIs" dxfId="2" priority="7" operator="equal">
      <formula>"missing evidence"</formula>
    </cfRule>
  </conditionalFormatting>
  <conditionalFormatting sqref="C12">
    <cfRule type="cellIs" dxfId="2" priority="8" operator="equal">
      <formula>"missing evidence"</formula>
    </cfRule>
  </conditionalFormatting>
  <conditionalFormatting sqref="C13">
    <cfRule type="cellIs" dxfId="2" priority="9" operator="equal">
      <formula>"missing evidence"</formula>
    </cfRule>
  </conditionalFormatting>
  <conditionalFormatting sqref="C14">
    <cfRule type="cellIs" dxfId="2" priority="10" operator="equal">
      <formula>"missing evidence"</formula>
    </cfRule>
  </conditionalFormatting>
  <conditionalFormatting sqref="C15">
    <cfRule type="cellIs" dxfId="2" priority="11" operator="equal">
      <formula>"missing evidence"</formula>
    </cfRule>
  </conditionalFormatting>
  <conditionalFormatting sqref="C16">
    <cfRule type="cellIs" dxfId="2" priority="12" operator="equal">
      <formula>"missing evidence"</formula>
    </cfRule>
  </conditionalFormatting>
  <conditionalFormatting sqref="C17">
    <cfRule type="cellIs" dxfId="1" priority="13" operator="equal">
      <formula>"verified fact"</formula>
    </cfRule>
  </conditionalFormatting>
  <conditionalFormatting sqref="C18">
    <cfRule type="cellIs" dxfId="1" priority="14" operator="equal">
      <formula>"verified fact"</formula>
    </cfRule>
  </conditionalFormatting>
  <conditionalFormatting sqref="C19">
    <cfRule type="cellIs" dxfId="2" priority="15" operator="equal">
      <formula>"missing evidence"</formula>
    </cfRule>
  </conditionalFormatting>
  <conditionalFormatting sqref="C20">
    <cfRule type="cellIs" dxfId="2" priority="16" operator="equal">
      <formula>"missing evidence"</formula>
    </cfRule>
  </conditionalFormatting>
  <conditionalFormatting sqref="C21">
    <cfRule type="cellIs" dxfId="2" priority="17" operator="equal">
      <formula>"missing evidence"</formula>
    </cfRule>
  </conditionalFormatting>
  <conditionalFormatting sqref="C22">
    <cfRule type="cellIs" dxfId="1" priority="18" operator="equal">
      <formula>"verified fact"</formula>
    </cfRule>
  </conditionalFormatting>
  <conditionalFormatting sqref="C23">
    <cfRule type="cellIs" dxfId="1" priority="19" operator="equal">
      <formula>"verified fact"</formula>
    </cfRule>
  </conditionalFormatting>
  <conditionalFormatting sqref="C24">
    <cfRule type="cellIs" dxfId="1" priority="20" operator="equal">
      <formula>"verified fact"</formula>
    </cfRule>
  </conditionalFormatting>
  <conditionalFormatting sqref="C25">
    <cfRule type="cellIs" dxfId="2" priority="21" operator="equal">
      <formula>"missing evidence"</formula>
    </cfRule>
  </conditionalFormatting>
  <conditionalFormatting sqref="C26">
    <cfRule type="cellIs" dxfId="2" priority="22" operator="equal">
      <formula>"missing evidence"</formula>
    </cfRule>
  </conditionalFormatting>
  <conditionalFormatting sqref="C27">
    <cfRule type="cellIs" dxfId="2" priority="23" operator="equal">
      <formula>"missing evidence"</formula>
    </cfRule>
  </conditionalFormatting>
  <conditionalFormatting sqref="C28">
    <cfRule type="cellIs" dxfId="2" priority="24" operator="equal">
      <formula>"missing evidence"</formula>
    </cfRule>
  </conditionalFormatting>
  <conditionalFormatting sqref="C29">
    <cfRule type="cellIs" dxfId="2" priority="25" operator="equal">
      <formula>"missing evidence"</formula>
    </cfRule>
  </conditionalFormatting>
  <conditionalFormatting sqref="C30">
    <cfRule type="cellIs" dxfId="2" priority="26" operator="equal">
      <formula>"missing evidence"</formula>
    </cfRule>
  </conditionalFormatting>
  <conditionalFormatting sqref="C31">
    <cfRule type="cellIs" dxfId="2" priority="27" operator="equal">
      <formula>"missing evidence"</formula>
    </cfRule>
  </conditionalFormatting>
  <conditionalFormatting sqref="C32">
    <cfRule type="cellIs" dxfId="1" priority="28" operator="equal">
      <formula>"verified fact"</formula>
    </cfRule>
  </conditionalFormatting>
  <conditionalFormatting sqref="C33">
    <cfRule type="cellIs" dxfId="2" priority="29" operator="equal">
      <formula>"missing evidence"</formula>
    </cfRule>
  </conditionalFormatting>
  <conditionalFormatting sqref="C34">
    <cfRule type="cellIs" dxfId="2" priority="30" operator="equal">
      <formula>"missing evidence"</formula>
    </cfRule>
  </conditionalFormatting>
  <conditionalFormatting sqref="C35">
    <cfRule type="cellIs" dxfId="3" priority="31" operator="equal">
      <formula>"explicit modelling assumption"</formula>
    </cfRule>
  </conditionalFormatting>
  <conditionalFormatting sqref="C36">
    <cfRule type="cellIs" dxfId="3" priority="32" operator="equal">
      <formula>"explicit modelling assumption"</formula>
    </cfRule>
  </conditionalFormatting>
  <conditionalFormatting sqref="C37">
    <cfRule type="cellIs" dxfId="3" priority="33" operator="equal">
      <formula>"explicit modelling assumption"</formula>
    </cfRule>
  </conditionalFormatting>
  <conditionalFormatting sqref="C38">
    <cfRule type="cellIs" dxfId="3" priority="34" operator="equal">
      <formula>"explicit modelling assumption"</formula>
    </cfRule>
  </conditionalFormatting>
  <conditionalFormatting sqref="C39">
    <cfRule type="cellIs" dxfId="3" priority="35" operator="equal">
      <formula>"explicit modelling assumption"</formula>
    </cfRule>
  </conditionalFormatting>
  <conditionalFormatting sqref="C40">
    <cfRule type="cellIs" dxfId="3" priority="36" operator="equal">
      <formula>"explicit modelling assumption"</formula>
    </cfRule>
  </conditionalFormatting>
  <conditionalFormatting sqref="C5">
    <cfRule type="cellIs" dxfId="2" priority="1" operator="equal">
      <formula>"missing evidence"</formula>
    </cfRule>
  </conditionalFormatting>
  <conditionalFormatting sqref="C6">
    <cfRule type="cellIs" dxfId="2" priority="2" operator="equal">
      <formula>"missing evidence"</formula>
    </cfRule>
  </conditionalFormatting>
  <conditionalFormatting sqref="C7">
    <cfRule type="cellIs" dxfId="2" priority="3" operator="equal">
      <formula>"missing evidence"</formula>
    </cfRule>
  </conditionalFormatting>
  <conditionalFormatting sqref="C8">
    <cfRule type="cellIs" dxfId="2" priority="4" operator="equal">
      <formula>"missing evidence"</formula>
    </cfRule>
  </conditionalFormatting>
  <conditionalFormatting sqref="C9">
    <cfRule type="cellIs" dxfId="1" priority="5" operator="equal">
      <formula>"verified fact"</formula>
    </cfRule>
  </conditionalFormatting>
  <pageMargins left="0.3" right="0.3" top="0.4" bottom="0.4" header="0.3" footer="0.3"/>
  <pageSetup paperSize="9" scale="85" orientation="landscape"/>
  <headerFooter>
    <oddFooter>&amp;LHistorical gap review&amp;RPage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3C5658"/>
  </sheetPr>
  <dimension ref="A1:H9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22.7109375" customWidth="1"/>
    <col min="3" max="3" width="15.7109375" customWidth="1"/>
    <col min="4" max="7" width="22.7109375" customWidth="1"/>
    <col min="8" max="8" width="90.7109375" customWidth="1"/>
  </cols>
  <sheetData>
    <row r="1" spans="1:8" ht="9" customHeight="1"/>
    <row r="2" spans="1:8" ht="42" customHeight="1">
      <c r="A2" s="1" t="s">
        <v>903</v>
      </c>
      <c r="B2" s="1"/>
      <c r="C2" s="1"/>
      <c r="D2" s="1"/>
      <c r="E2" s="1"/>
      <c r="F2" s="1"/>
      <c r="G2" s="8"/>
      <c r="H2" s="8"/>
    </row>
    <row r="3" spans="1:8" ht="30" customHeight="1">
      <c r="A3" s="2" t="s">
        <v>125</v>
      </c>
      <c r="B3" s="2"/>
      <c r="C3" s="2"/>
      <c r="D3" s="2"/>
      <c r="E3" s="2"/>
      <c r="F3" s="2"/>
      <c r="G3" s="8"/>
      <c r="H3" s="8"/>
    </row>
    <row r="4" spans="1:8" ht="34" customHeight="1">
      <c r="A4" s="5" t="s">
        <v>904</v>
      </c>
      <c r="B4" s="5" t="s">
        <v>343</v>
      </c>
      <c r="C4" s="5" t="s">
        <v>354</v>
      </c>
      <c r="D4" s="5" t="s">
        <v>905</v>
      </c>
      <c r="E4" s="5" t="s">
        <v>906</v>
      </c>
      <c r="F4" s="5" t="s">
        <v>355</v>
      </c>
      <c r="G4" s="5" t="s">
        <v>360</v>
      </c>
      <c r="H4" s="5" t="s">
        <v>122</v>
      </c>
    </row>
    <row r="5" spans="1:8" ht="40" customHeight="1">
      <c r="A5" s="6" t="s">
        <v>907</v>
      </c>
      <c r="B5" s="7" t="s">
        <v>908</v>
      </c>
      <c r="C5" s="23">
        <v>1</v>
      </c>
      <c r="D5" s="25">
        <v>0</v>
      </c>
      <c r="E5" s="25">
        <v>0</v>
      </c>
      <c r="F5" s="9">
        <v>13442.849</v>
      </c>
      <c r="G5" s="9">
        <v>1874.341</v>
      </c>
      <c r="H5" s="7" t="s">
        <v>909</v>
      </c>
    </row>
    <row r="6" spans="1:8" ht="40" customHeight="1">
      <c r="A6" s="3" t="s">
        <v>907</v>
      </c>
      <c r="B6" s="4" t="s">
        <v>908</v>
      </c>
      <c r="C6" s="24">
        <v>2</v>
      </c>
      <c r="D6" s="26">
        <v>0</v>
      </c>
      <c r="E6" s="26">
        <v>0</v>
      </c>
      <c r="F6" s="10">
        <v>13442.849</v>
      </c>
      <c r="G6" s="10">
        <v>1874.341</v>
      </c>
      <c r="H6" s="4" t="s">
        <v>909</v>
      </c>
    </row>
    <row r="7" spans="1:8" ht="40" customHeight="1">
      <c r="A7" s="6" t="s">
        <v>907</v>
      </c>
      <c r="B7" s="7" t="s">
        <v>908</v>
      </c>
      <c r="C7" s="23">
        <v>3</v>
      </c>
      <c r="D7" s="25">
        <v>0</v>
      </c>
      <c r="E7" s="25">
        <v>0</v>
      </c>
      <c r="F7" s="9">
        <v>13442.849</v>
      </c>
      <c r="G7" s="9">
        <v>1874.341</v>
      </c>
      <c r="H7" s="7" t="s">
        <v>909</v>
      </c>
    </row>
    <row r="8" spans="1:8" ht="40" customHeight="1">
      <c r="A8" s="3" t="s">
        <v>907</v>
      </c>
      <c r="B8" s="4" t="s">
        <v>908</v>
      </c>
      <c r="C8" s="24">
        <v>4</v>
      </c>
      <c r="D8" s="26">
        <v>0</v>
      </c>
      <c r="E8" s="26">
        <v>0</v>
      </c>
      <c r="F8" s="10">
        <v>13442.849</v>
      </c>
      <c r="G8" s="10">
        <v>1874.341</v>
      </c>
      <c r="H8" s="4" t="s">
        <v>909</v>
      </c>
    </row>
    <row r="9" spans="1:8" ht="40" customHeight="1">
      <c r="A9" s="6" t="s">
        <v>907</v>
      </c>
      <c r="B9" s="7" t="s">
        <v>908</v>
      </c>
      <c r="C9" s="23">
        <v>5</v>
      </c>
      <c r="D9" s="25">
        <v>0</v>
      </c>
      <c r="E9" s="25">
        <v>0</v>
      </c>
      <c r="F9" s="9">
        <v>13442.849</v>
      </c>
      <c r="G9" s="9">
        <v>1874.341</v>
      </c>
      <c r="H9" s="7" t="s">
        <v>909</v>
      </c>
    </row>
    <row r="10" spans="1:8" ht="40" customHeight="1">
      <c r="A10" s="3" t="s">
        <v>907</v>
      </c>
      <c r="B10" s="4" t="s">
        <v>908</v>
      </c>
      <c r="C10" s="24">
        <v>1</v>
      </c>
      <c r="D10" s="26">
        <v>0</v>
      </c>
      <c r="E10" s="26">
        <v>-0.01</v>
      </c>
      <c r="F10" s="10">
        <v>13442.849</v>
      </c>
      <c r="G10" s="10">
        <v>1739.91251</v>
      </c>
      <c r="H10" s="4" t="s">
        <v>909</v>
      </c>
    </row>
    <row r="11" spans="1:8" ht="40" customHeight="1">
      <c r="A11" s="6" t="s">
        <v>907</v>
      </c>
      <c r="B11" s="7" t="s">
        <v>908</v>
      </c>
      <c r="C11" s="23">
        <v>2</v>
      </c>
      <c r="D11" s="25">
        <v>0</v>
      </c>
      <c r="E11" s="25">
        <v>-0.01</v>
      </c>
      <c r="F11" s="9">
        <v>13442.849</v>
      </c>
      <c r="G11" s="9">
        <v>1739.91251</v>
      </c>
      <c r="H11" s="7" t="s">
        <v>909</v>
      </c>
    </row>
    <row r="12" spans="1:8" ht="40" customHeight="1">
      <c r="A12" s="3" t="s">
        <v>907</v>
      </c>
      <c r="B12" s="4" t="s">
        <v>908</v>
      </c>
      <c r="C12" s="24">
        <v>3</v>
      </c>
      <c r="D12" s="26">
        <v>0</v>
      </c>
      <c r="E12" s="26">
        <v>-0.01</v>
      </c>
      <c r="F12" s="10">
        <v>13442.849</v>
      </c>
      <c r="G12" s="10">
        <v>1739.91251</v>
      </c>
      <c r="H12" s="4" t="s">
        <v>909</v>
      </c>
    </row>
    <row r="13" spans="1:8" ht="40" customHeight="1">
      <c r="A13" s="6" t="s">
        <v>907</v>
      </c>
      <c r="B13" s="7" t="s">
        <v>908</v>
      </c>
      <c r="C13" s="23">
        <v>4</v>
      </c>
      <c r="D13" s="25">
        <v>0</v>
      </c>
      <c r="E13" s="25">
        <v>-0.01</v>
      </c>
      <c r="F13" s="9">
        <v>13442.849</v>
      </c>
      <c r="G13" s="9">
        <v>1739.91251</v>
      </c>
      <c r="H13" s="7" t="s">
        <v>909</v>
      </c>
    </row>
    <row r="14" spans="1:8" ht="40" customHeight="1">
      <c r="A14" s="3" t="s">
        <v>907</v>
      </c>
      <c r="B14" s="4" t="s">
        <v>908</v>
      </c>
      <c r="C14" s="24">
        <v>5</v>
      </c>
      <c r="D14" s="26">
        <v>0</v>
      </c>
      <c r="E14" s="26">
        <v>-0.01</v>
      </c>
      <c r="F14" s="10">
        <v>13442.849</v>
      </c>
      <c r="G14" s="10">
        <v>1739.91251</v>
      </c>
      <c r="H14" s="4" t="s">
        <v>909</v>
      </c>
    </row>
    <row r="15" spans="1:8" ht="40" customHeight="1">
      <c r="A15" s="6" t="s">
        <v>907</v>
      </c>
      <c r="B15" s="7" t="s">
        <v>908</v>
      </c>
      <c r="C15" s="23">
        <v>1</v>
      </c>
      <c r="D15" s="25">
        <v>0</v>
      </c>
      <c r="E15" s="25">
        <v>-0.02</v>
      </c>
      <c r="F15" s="9">
        <v>13442.849</v>
      </c>
      <c r="G15" s="9">
        <v>1605.48402</v>
      </c>
      <c r="H15" s="7" t="s">
        <v>909</v>
      </c>
    </row>
    <row r="16" spans="1:8" ht="40" customHeight="1">
      <c r="A16" s="3" t="s">
        <v>907</v>
      </c>
      <c r="B16" s="4" t="s">
        <v>908</v>
      </c>
      <c r="C16" s="24">
        <v>2</v>
      </c>
      <c r="D16" s="26">
        <v>0</v>
      </c>
      <c r="E16" s="26">
        <v>-0.02</v>
      </c>
      <c r="F16" s="10">
        <v>13442.849</v>
      </c>
      <c r="G16" s="10">
        <v>1605.48402</v>
      </c>
      <c r="H16" s="4" t="s">
        <v>909</v>
      </c>
    </row>
    <row r="17" spans="1:8" ht="40" customHeight="1">
      <c r="A17" s="6" t="s">
        <v>907</v>
      </c>
      <c r="B17" s="7" t="s">
        <v>908</v>
      </c>
      <c r="C17" s="23">
        <v>3</v>
      </c>
      <c r="D17" s="25">
        <v>0</v>
      </c>
      <c r="E17" s="25">
        <v>-0.02</v>
      </c>
      <c r="F17" s="9">
        <v>13442.849</v>
      </c>
      <c r="G17" s="9">
        <v>1605.48402</v>
      </c>
      <c r="H17" s="7" t="s">
        <v>909</v>
      </c>
    </row>
    <row r="18" spans="1:8" ht="40" customHeight="1">
      <c r="A18" s="3" t="s">
        <v>907</v>
      </c>
      <c r="B18" s="4" t="s">
        <v>908</v>
      </c>
      <c r="C18" s="24">
        <v>4</v>
      </c>
      <c r="D18" s="26">
        <v>0</v>
      </c>
      <c r="E18" s="26">
        <v>-0.02</v>
      </c>
      <c r="F18" s="10">
        <v>13442.849</v>
      </c>
      <c r="G18" s="10">
        <v>1605.48402</v>
      </c>
      <c r="H18" s="4" t="s">
        <v>909</v>
      </c>
    </row>
    <row r="19" spans="1:8" ht="40" customHeight="1">
      <c r="A19" s="6" t="s">
        <v>907</v>
      </c>
      <c r="B19" s="7" t="s">
        <v>908</v>
      </c>
      <c r="C19" s="23">
        <v>5</v>
      </c>
      <c r="D19" s="25">
        <v>0</v>
      </c>
      <c r="E19" s="25">
        <v>-0.02</v>
      </c>
      <c r="F19" s="9">
        <v>13442.849</v>
      </c>
      <c r="G19" s="9">
        <v>1605.48402</v>
      </c>
      <c r="H19" s="7" t="s">
        <v>909</v>
      </c>
    </row>
    <row r="20" spans="1:8" ht="40" customHeight="1">
      <c r="A20" s="3" t="s">
        <v>907</v>
      </c>
      <c r="B20" s="4" t="s">
        <v>908</v>
      </c>
      <c r="C20" s="24">
        <v>1</v>
      </c>
      <c r="D20" s="26">
        <v>-0.05</v>
      </c>
      <c r="E20" s="26">
        <v>0</v>
      </c>
      <c r="F20" s="10">
        <v>12770.70655</v>
      </c>
      <c r="G20" s="10">
        <v>1780.62395</v>
      </c>
      <c r="H20" s="4" t="s">
        <v>909</v>
      </c>
    </row>
    <row r="21" spans="1:8" ht="40" customHeight="1">
      <c r="A21" s="6" t="s">
        <v>907</v>
      </c>
      <c r="B21" s="7" t="s">
        <v>908</v>
      </c>
      <c r="C21" s="23">
        <v>2</v>
      </c>
      <c r="D21" s="25">
        <v>-0.05</v>
      </c>
      <c r="E21" s="25">
        <v>0</v>
      </c>
      <c r="F21" s="9">
        <v>12132.1712225</v>
      </c>
      <c r="G21" s="9">
        <v>1691.5927525</v>
      </c>
      <c r="H21" s="7" t="s">
        <v>909</v>
      </c>
    </row>
    <row r="22" spans="1:8" ht="40" customHeight="1">
      <c r="A22" s="3" t="s">
        <v>907</v>
      </c>
      <c r="B22" s="4" t="s">
        <v>908</v>
      </c>
      <c r="C22" s="24">
        <v>3</v>
      </c>
      <c r="D22" s="26">
        <v>-0.05</v>
      </c>
      <c r="E22" s="26">
        <v>0</v>
      </c>
      <c r="F22" s="10">
        <v>11525.562661375</v>
      </c>
      <c r="G22" s="10">
        <v>1607.013114875</v>
      </c>
      <c r="H22" s="4" t="s">
        <v>909</v>
      </c>
    </row>
    <row r="23" spans="1:8" ht="40" customHeight="1">
      <c r="A23" s="6" t="s">
        <v>907</v>
      </c>
      <c r="B23" s="7" t="s">
        <v>908</v>
      </c>
      <c r="C23" s="23">
        <v>4</v>
      </c>
      <c r="D23" s="25">
        <v>-0.05</v>
      </c>
      <c r="E23" s="25">
        <v>0</v>
      </c>
      <c r="F23" s="9">
        <v>10949.28452830625</v>
      </c>
      <c r="G23" s="9">
        <v>1526.66245913125</v>
      </c>
      <c r="H23" s="7" t="s">
        <v>909</v>
      </c>
    </row>
    <row r="24" spans="1:8" ht="40" customHeight="1">
      <c r="A24" s="3" t="s">
        <v>907</v>
      </c>
      <c r="B24" s="4" t="s">
        <v>908</v>
      </c>
      <c r="C24" s="24">
        <v>5</v>
      </c>
      <c r="D24" s="26">
        <v>-0.05</v>
      </c>
      <c r="E24" s="26">
        <v>0</v>
      </c>
      <c r="F24" s="10">
        <v>10401.82030189094</v>
      </c>
      <c r="G24" s="10">
        <v>1450.329336174687</v>
      </c>
      <c r="H24" s="4" t="s">
        <v>909</v>
      </c>
    </row>
    <row r="25" spans="1:8" ht="40" customHeight="1">
      <c r="A25" s="6" t="s">
        <v>907</v>
      </c>
      <c r="B25" s="7" t="s">
        <v>908</v>
      </c>
      <c r="C25" s="23">
        <v>1</v>
      </c>
      <c r="D25" s="25">
        <v>-0.05</v>
      </c>
      <c r="E25" s="25">
        <v>-0.01</v>
      </c>
      <c r="F25" s="9">
        <v>12770.70655</v>
      </c>
      <c r="G25" s="9">
        <v>1652.9168845</v>
      </c>
      <c r="H25" s="7" t="s">
        <v>909</v>
      </c>
    </row>
    <row r="26" spans="1:8" ht="40" customHeight="1">
      <c r="A26" s="3" t="s">
        <v>907</v>
      </c>
      <c r="B26" s="4" t="s">
        <v>908</v>
      </c>
      <c r="C26" s="24">
        <v>2</v>
      </c>
      <c r="D26" s="26">
        <v>-0.05</v>
      </c>
      <c r="E26" s="26">
        <v>-0.01</v>
      </c>
      <c r="F26" s="10">
        <v>12132.1712225</v>
      </c>
      <c r="G26" s="10">
        <v>1570.271040275</v>
      </c>
      <c r="H26" s="4" t="s">
        <v>909</v>
      </c>
    </row>
    <row r="27" spans="1:8" ht="40" customHeight="1">
      <c r="A27" s="6" t="s">
        <v>907</v>
      </c>
      <c r="B27" s="7" t="s">
        <v>908</v>
      </c>
      <c r="C27" s="23">
        <v>3</v>
      </c>
      <c r="D27" s="25">
        <v>-0.05</v>
      </c>
      <c r="E27" s="25">
        <v>-0.01</v>
      </c>
      <c r="F27" s="9">
        <v>11525.562661375</v>
      </c>
      <c r="G27" s="9">
        <v>1491.75748826125</v>
      </c>
      <c r="H27" s="7" t="s">
        <v>909</v>
      </c>
    </row>
    <row r="28" spans="1:8" ht="40" customHeight="1">
      <c r="A28" s="3" t="s">
        <v>907</v>
      </c>
      <c r="B28" s="4" t="s">
        <v>908</v>
      </c>
      <c r="C28" s="24">
        <v>4</v>
      </c>
      <c r="D28" s="26">
        <v>-0.05</v>
      </c>
      <c r="E28" s="26">
        <v>-0.01</v>
      </c>
      <c r="F28" s="10">
        <v>10949.28452830625</v>
      </c>
      <c r="G28" s="10">
        <v>1417.169613848187</v>
      </c>
      <c r="H28" s="4" t="s">
        <v>909</v>
      </c>
    </row>
    <row r="29" spans="1:8" ht="40" customHeight="1">
      <c r="A29" s="6" t="s">
        <v>907</v>
      </c>
      <c r="B29" s="7" t="s">
        <v>908</v>
      </c>
      <c r="C29" s="23">
        <v>5</v>
      </c>
      <c r="D29" s="25">
        <v>-0.05</v>
      </c>
      <c r="E29" s="25">
        <v>-0.01</v>
      </c>
      <c r="F29" s="9">
        <v>10401.82030189094</v>
      </c>
      <c r="G29" s="9">
        <v>1346.311133155778</v>
      </c>
      <c r="H29" s="7" t="s">
        <v>909</v>
      </c>
    </row>
    <row r="30" spans="1:8" ht="40" customHeight="1">
      <c r="A30" s="3" t="s">
        <v>907</v>
      </c>
      <c r="B30" s="4" t="s">
        <v>908</v>
      </c>
      <c r="C30" s="24">
        <v>1</v>
      </c>
      <c r="D30" s="26">
        <v>-0.05</v>
      </c>
      <c r="E30" s="26">
        <v>-0.02</v>
      </c>
      <c r="F30" s="10">
        <v>12770.70655</v>
      </c>
      <c r="G30" s="10">
        <v>1525.209819</v>
      </c>
      <c r="H30" s="4" t="s">
        <v>909</v>
      </c>
    </row>
    <row r="31" spans="1:8" ht="40" customHeight="1">
      <c r="A31" s="6" t="s">
        <v>907</v>
      </c>
      <c r="B31" s="7" t="s">
        <v>908</v>
      </c>
      <c r="C31" s="23">
        <v>2</v>
      </c>
      <c r="D31" s="25">
        <v>-0.05</v>
      </c>
      <c r="E31" s="25">
        <v>-0.02</v>
      </c>
      <c r="F31" s="9">
        <v>12132.1712225</v>
      </c>
      <c r="G31" s="9">
        <v>1448.94932805</v>
      </c>
      <c r="H31" s="7" t="s">
        <v>909</v>
      </c>
    </row>
    <row r="32" spans="1:8" ht="40" customHeight="1">
      <c r="A32" s="3" t="s">
        <v>907</v>
      </c>
      <c r="B32" s="4" t="s">
        <v>908</v>
      </c>
      <c r="C32" s="24">
        <v>3</v>
      </c>
      <c r="D32" s="26">
        <v>-0.05</v>
      </c>
      <c r="E32" s="26">
        <v>-0.02</v>
      </c>
      <c r="F32" s="10">
        <v>11525.562661375</v>
      </c>
      <c r="G32" s="10">
        <v>1376.5018616475</v>
      </c>
      <c r="H32" s="4" t="s">
        <v>909</v>
      </c>
    </row>
    <row r="33" spans="1:8" ht="40" customHeight="1">
      <c r="A33" s="6" t="s">
        <v>907</v>
      </c>
      <c r="B33" s="7" t="s">
        <v>908</v>
      </c>
      <c r="C33" s="23">
        <v>4</v>
      </c>
      <c r="D33" s="25">
        <v>-0.05</v>
      </c>
      <c r="E33" s="25">
        <v>-0.02</v>
      </c>
      <c r="F33" s="9">
        <v>10949.28452830625</v>
      </c>
      <c r="G33" s="9">
        <v>1307.676768565125</v>
      </c>
      <c r="H33" s="7" t="s">
        <v>909</v>
      </c>
    </row>
    <row r="34" spans="1:8" ht="40" customHeight="1">
      <c r="A34" s="3" t="s">
        <v>907</v>
      </c>
      <c r="B34" s="4" t="s">
        <v>908</v>
      </c>
      <c r="C34" s="24">
        <v>5</v>
      </c>
      <c r="D34" s="26">
        <v>-0.05</v>
      </c>
      <c r="E34" s="26">
        <v>-0.02</v>
      </c>
      <c r="F34" s="10">
        <v>10401.82030189094</v>
      </c>
      <c r="G34" s="10">
        <v>1242.292930136869</v>
      </c>
      <c r="H34" s="4" t="s">
        <v>909</v>
      </c>
    </row>
    <row r="35" spans="1:8" ht="40" customHeight="1">
      <c r="A35" s="6" t="s">
        <v>907</v>
      </c>
      <c r="B35" s="7" t="s">
        <v>908</v>
      </c>
      <c r="C35" s="23">
        <v>1</v>
      </c>
      <c r="D35" s="25">
        <v>-0.1</v>
      </c>
      <c r="E35" s="25">
        <v>0</v>
      </c>
      <c r="F35" s="9">
        <v>12098.5641</v>
      </c>
      <c r="G35" s="9">
        <v>1686.9069</v>
      </c>
      <c r="H35" s="7" t="s">
        <v>909</v>
      </c>
    </row>
    <row r="36" spans="1:8" ht="40" customHeight="1">
      <c r="A36" s="3" t="s">
        <v>907</v>
      </c>
      <c r="B36" s="4" t="s">
        <v>908</v>
      </c>
      <c r="C36" s="24">
        <v>2</v>
      </c>
      <c r="D36" s="26">
        <v>-0.1</v>
      </c>
      <c r="E36" s="26">
        <v>0</v>
      </c>
      <c r="F36" s="10">
        <v>10888.70769</v>
      </c>
      <c r="G36" s="10">
        <v>1518.21621</v>
      </c>
      <c r="H36" s="4" t="s">
        <v>909</v>
      </c>
    </row>
    <row r="37" spans="1:8" ht="40" customHeight="1">
      <c r="A37" s="6" t="s">
        <v>907</v>
      </c>
      <c r="B37" s="7" t="s">
        <v>908</v>
      </c>
      <c r="C37" s="23">
        <v>3</v>
      </c>
      <c r="D37" s="25">
        <v>-0.1</v>
      </c>
      <c r="E37" s="25">
        <v>0</v>
      </c>
      <c r="F37" s="9">
        <v>9799.836921000002</v>
      </c>
      <c r="G37" s="9">
        <v>1366.394589</v>
      </c>
      <c r="H37" s="7" t="s">
        <v>909</v>
      </c>
    </row>
    <row r="38" spans="1:8" ht="40" customHeight="1">
      <c r="A38" s="3" t="s">
        <v>907</v>
      </c>
      <c r="B38" s="4" t="s">
        <v>908</v>
      </c>
      <c r="C38" s="24">
        <v>4</v>
      </c>
      <c r="D38" s="26">
        <v>-0.1</v>
      </c>
      <c r="E38" s="26">
        <v>0</v>
      </c>
      <c r="F38" s="10">
        <v>8819.8532289</v>
      </c>
      <c r="G38" s="10">
        <v>1229.7551301</v>
      </c>
      <c r="H38" s="4" t="s">
        <v>909</v>
      </c>
    </row>
    <row r="39" spans="1:8" ht="40" customHeight="1">
      <c r="A39" s="6" t="s">
        <v>907</v>
      </c>
      <c r="B39" s="7" t="s">
        <v>908</v>
      </c>
      <c r="C39" s="23">
        <v>5</v>
      </c>
      <c r="D39" s="25">
        <v>-0.1</v>
      </c>
      <c r="E39" s="25">
        <v>0</v>
      </c>
      <c r="F39" s="9">
        <v>7937.867906010001</v>
      </c>
      <c r="G39" s="9">
        <v>1106.77961709</v>
      </c>
      <c r="H39" s="7" t="s">
        <v>909</v>
      </c>
    </row>
    <row r="40" spans="1:8" ht="40" customHeight="1">
      <c r="A40" s="3" t="s">
        <v>907</v>
      </c>
      <c r="B40" s="4" t="s">
        <v>908</v>
      </c>
      <c r="C40" s="24">
        <v>1</v>
      </c>
      <c r="D40" s="26">
        <v>-0.1</v>
      </c>
      <c r="E40" s="26">
        <v>-0.01</v>
      </c>
      <c r="F40" s="10">
        <v>12098.5641</v>
      </c>
      <c r="G40" s="10">
        <v>1565.921259</v>
      </c>
      <c r="H40" s="4" t="s">
        <v>909</v>
      </c>
    </row>
    <row r="41" spans="1:8" ht="40" customHeight="1">
      <c r="A41" s="6" t="s">
        <v>907</v>
      </c>
      <c r="B41" s="7" t="s">
        <v>908</v>
      </c>
      <c r="C41" s="23">
        <v>2</v>
      </c>
      <c r="D41" s="25">
        <v>-0.1</v>
      </c>
      <c r="E41" s="25">
        <v>-0.01</v>
      </c>
      <c r="F41" s="9">
        <v>10888.70769</v>
      </c>
      <c r="G41" s="9">
        <v>1409.3291331</v>
      </c>
      <c r="H41" s="7" t="s">
        <v>909</v>
      </c>
    </row>
    <row r="42" spans="1:8" ht="40" customHeight="1">
      <c r="A42" s="3" t="s">
        <v>907</v>
      </c>
      <c r="B42" s="4" t="s">
        <v>908</v>
      </c>
      <c r="C42" s="24">
        <v>3</v>
      </c>
      <c r="D42" s="26">
        <v>-0.1</v>
      </c>
      <c r="E42" s="26">
        <v>-0.01</v>
      </c>
      <c r="F42" s="10">
        <v>9799.836921000002</v>
      </c>
      <c r="G42" s="10">
        <v>1268.39621979</v>
      </c>
      <c r="H42" s="4" t="s">
        <v>909</v>
      </c>
    </row>
    <row r="43" spans="1:8" ht="40" customHeight="1">
      <c r="A43" s="6" t="s">
        <v>907</v>
      </c>
      <c r="B43" s="7" t="s">
        <v>908</v>
      </c>
      <c r="C43" s="23">
        <v>4</v>
      </c>
      <c r="D43" s="25">
        <v>-0.1</v>
      </c>
      <c r="E43" s="25">
        <v>-0.01</v>
      </c>
      <c r="F43" s="9">
        <v>8819.8532289</v>
      </c>
      <c r="G43" s="9">
        <v>1141.556597811</v>
      </c>
      <c r="H43" s="7" t="s">
        <v>909</v>
      </c>
    </row>
    <row r="44" spans="1:8" ht="40" customHeight="1">
      <c r="A44" s="3" t="s">
        <v>907</v>
      </c>
      <c r="B44" s="4" t="s">
        <v>908</v>
      </c>
      <c r="C44" s="24">
        <v>5</v>
      </c>
      <c r="D44" s="26">
        <v>-0.1</v>
      </c>
      <c r="E44" s="26">
        <v>-0.01</v>
      </c>
      <c r="F44" s="10">
        <v>7937.867906010001</v>
      </c>
      <c r="G44" s="10">
        <v>1027.4009380299</v>
      </c>
      <c r="H44" s="4" t="s">
        <v>909</v>
      </c>
    </row>
    <row r="45" spans="1:8" ht="40" customHeight="1">
      <c r="A45" s="6" t="s">
        <v>907</v>
      </c>
      <c r="B45" s="7" t="s">
        <v>908</v>
      </c>
      <c r="C45" s="23">
        <v>1</v>
      </c>
      <c r="D45" s="25">
        <v>-0.1</v>
      </c>
      <c r="E45" s="25">
        <v>-0.02</v>
      </c>
      <c r="F45" s="9">
        <v>12098.5641</v>
      </c>
      <c r="G45" s="9">
        <v>1444.935618</v>
      </c>
      <c r="H45" s="7" t="s">
        <v>909</v>
      </c>
    </row>
    <row r="46" spans="1:8" ht="40" customHeight="1">
      <c r="A46" s="3" t="s">
        <v>907</v>
      </c>
      <c r="B46" s="4" t="s">
        <v>908</v>
      </c>
      <c r="C46" s="24">
        <v>2</v>
      </c>
      <c r="D46" s="26">
        <v>-0.1</v>
      </c>
      <c r="E46" s="26">
        <v>-0.02</v>
      </c>
      <c r="F46" s="10">
        <v>10888.70769</v>
      </c>
      <c r="G46" s="10">
        <v>1300.4420562</v>
      </c>
      <c r="H46" s="4" t="s">
        <v>909</v>
      </c>
    </row>
    <row r="47" spans="1:8" ht="40" customHeight="1">
      <c r="A47" s="6" t="s">
        <v>907</v>
      </c>
      <c r="B47" s="7" t="s">
        <v>908</v>
      </c>
      <c r="C47" s="23">
        <v>3</v>
      </c>
      <c r="D47" s="25">
        <v>-0.1</v>
      </c>
      <c r="E47" s="25">
        <v>-0.02</v>
      </c>
      <c r="F47" s="9">
        <v>9799.836921000002</v>
      </c>
      <c r="G47" s="9">
        <v>1170.39785058</v>
      </c>
      <c r="H47" s="7" t="s">
        <v>909</v>
      </c>
    </row>
    <row r="48" spans="1:8" ht="40" customHeight="1">
      <c r="A48" s="3" t="s">
        <v>907</v>
      </c>
      <c r="B48" s="4" t="s">
        <v>908</v>
      </c>
      <c r="C48" s="24">
        <v>4</v>
      </c>
      <c r="D48" s="26">
        <v>-0.1</v>
      </c>
      <c r="E48" s="26">
        <v>-0.02</v>
      </c>
      <c r="F48" s="10">
        <v>8819.8532289</v>
      </c>
      <c r="G48" s="10">
        <v>1053.358065522</v>
      </c>
      <c r="H48" s="4" t="s">
        <v>909</v>
      </c>
    </row>
    <row r="49" spans="1:8" ht="40" customHeight="1">
      <c r="A49" s="6" t="s">
        <v>907</v>
      </c>
      <c r="B49" s="7" t="s">
        <v>908</v>
      </c>
      <c r="C49" s="23">
        <v>5</v>
      </c>
      <c r="D49" s="25">
        <v>-0.1</v>
      </c>
      <c r="E49" s="25">
        <v>-0.02</v>
      </c>
      <c r="F49" s="9">
        <v>7937.867906010001</v>
      </c>
      <c r="G49" s="9">
        <v>948.0222589698001</v>
      </c>
      <c r="H49" s="7" t="s">
        <v>909</v>
      </c>
    </row>
    <row r="50" spans="1:8" ht="40" customHeight="1">
      <c r="A50" s="3" t="s">
        <v>907</v>
      </c>
      <c r="B50" s="4" t="s">
        <v>910</v>
      </c>
      <c r="C50" s="24">
        <v>1</v>
      </c>
      <c r="D50" s="26">
        <v>0</v>
      </c>
      <c r="E50" s="26">
        <v>0</v>
      </c>
      <c r="F50" s="10">
        <v>7988</v>
      </c>
      <c r="G50" s="10">
        <v>305</v>
      </c>
      <c r="H50" s="4" t="s">
        <v>909</v>
      </c>
    </row>
    <row r="51" spans="1:8" ht="40" customHeight="1">
      <c r="A51" s="6" t="s">
        <v>907</v>
      </c>
      <c r="B51" s="7" t="s">
        <v>910</v>
      </c>
      <c r="C51" s="23">
        <v>2</v>
      </c>
      <c r="D51" s="25">
        <v>0</v>
      </c>
      <c r="E51" s="25">
        <v>0</v>
      </c>
      <c r="F51" s="9">
        <v>7988</v>
      </c>
      <c r="G51" s="9">
        <v>305</v>
      </c>
      <c r="H51" s="7" t="s">
        <v>909</v>
      </c>
    </row>
    <row r="52" spans="1:8" ht="40" customHeight="1">
      <c r="A52" s="3" t="s">
        <v>907</v>
      </c>
      <c r="B52" s="4" t="s">
        <v>910</v>
      </c>
      <c r="C52" s="24">
        <v>3</v>
      </c>
      <c r="D52" s="26">
        <v>0</v>
      </c>
      <c r="E52" s="26">
        <v>0</v>
      </c>
      <c r="F52" s="10">
        <v>7988</v>
      </c>
      <c r="G52" s="10">
        <v>305</v>
      </c>
      <c r="H52" s="4" t="s">
        <v>909</v>
      </c>
    </row>
    <row r="53" spans="1:8" ht="40" customHeight="1">
      <c r="A53" s="6" t="s">
        <v>907</v>
      </c>
      <c r="B53" s="7" t="s">
        <v>910</v>
      </c>
      <c r="C53" s="23">
        <v>4</v>
      </c>
      <c r="D53" s="25">
        <v>0</v>
      </c>
      <c r="E53" s="25">
        <v>0</v>
      </c>
      <c r="F53" s="9">
        <v>7988</v>
      </c>
      <c r="G53" s="9">
        <v>305</v>
      </c>
      <c r="H53" s="7" t="s">
        <v>909</v>
      </c>
    </row>
    <row r="54" spans="1:8" ht="40" customHeight="1">
      <c r="A54" s="3" t="s">
        <v>907</v>
      </c>
      <c r="B54" s="4" t="s">
        <v>910</v>
      </c>
      <c r="C54" s="24">
        <v>5</v>
      </c>
      <c r="D54" s="26">
        <v>0</v>
      </c>
      <c r="E54" s="26">
        <v>0</v>
      </c>
      <c r="F54" s="10">
        <v>7988</v>
      </c>
      <c r="G54" s="10">
        <v>305</v>
      </c>
      <c r="H54" s="4" t="s">
        <v>909</v>
      </c>
    </row>
    <row r="55" spans="1:8" ht="40" customHeight="1">
      <c r="A55" s="6" t="s">
        <v>907</v>
      </c>
      <c r="B55" s="7" t="s">
        <v>910</v>
      </c>
      <c r="C55" s="23">
        <v>1</v>
      </c>
      <c r="D55" s="25">
        <v>0</v>
      </c>
      <c r="E55" s="25">
        <v>-0.01</v>
      </c>
      <c r="F55" s="9">
        <v>7988</v>
      </c>
      <c r="G55" s="9">
        <v>225.12</v>
      </c>
      <c r="H55" s="7" t="s">
        <v>909</v>
      </c>
    </row>
    <row r="56" spans="1:8" ht="40" customHeight="1">
      <c r="A56" s="3" t="s">
        <v>907</v>
      </c>
      <c r="B56" s="4" t="s">
        <v>910</v>
      </c>
      <c r="C56" s="24">
        <v>2</v>
      </c>
      <c r="D56" s="26">
        <v>0</v>
      </c>
      <c r="E56" s="26">
        <v>-0.01</v>
      </c>
      <c r="F56" s="10">
        <v>7988</v>
      </c>
      <c r="G56" s="10">
        <v>225.12</v>
      </c>
      <c r="H56" s="4" t="s">
        <v>909</v>
      </c>
    </row>
    <row r="57" spans="1:8" ht="40" customHeight="1">
      <c r="A57" s="6" t="s">
        <v>907</v>
      </c>
      <c r="B57" s="7" t="s">
        <v>910</v>
      </c>
      <c r="C57" s="23">
        <v>3</v>
      </c>
      <c r="D57" s="25">
        <v>0</v>
      </c>
      <c r="E57" s="25">
        <v>-0.01</v>
      </c>
      <c r="F57" s="9">
        <v>7988</v>
      </c>
      <c r="G57" s="9">
        <v>225.12</v>
      </c>
      <c r="H57" s="7" t="s">
        <v>909</v>
      </c>
    </row>
    <row r="58" spans="1:8" ht="40" customHeight="1">
      <c r="A58" s="3" t="s">
        <v>907</v>
      </c>
      <c r="B58" s="4" t="s">
        <v>910</v>
      </c>
      <c r="C58" s="24">
        <v>4</v>
      </c>
      <c r="D58" s="26">
        <v>0</v>
      </c>
      <c r="E58" s="26">
        <v>-0.01</v>
      </c>
      <c r="F58" s="10">
        <v>7988</v>
      </c>
      <c r="G58" s="10">
        <v>225.12</v>
      </c>
      <c r="H58" s="4" t="s">
        <v>909</v>
      </c>
    </row>
    <row r="59" spans="1:8" ht="40" customHeight="1">
      <c r="A59" s="6" t="s">
        <v>907</v>
      </c>
      <c r="B59" s="7" t="s">
        <v>910</v>
      </c>
      <c r="C59" s="23">
        <v>5</v>
      </c>
      <c r="D59" s="25">
        <v>0</v>
      </c>
      <c r="E59" s="25">
        <v>-0.01</v>
      </c>
      <c r="F59" s="9">
        <v>7988</v>
      </c>
      <c r="G59" s="9">
        <v>225.12</v>
      </c>
      <c r="H59" s="7" t="s">
        <v>909</v>
      </c>
    </row>
    <row r="60" spans="1:8" ht="40" customHeight="1">
      <c r="A60" s="3" t="s">
        <v>907</v>
      </c>
      <c r="B60" s="4" t="s">
        <v>910</v>
      </c>
      <c r="C60" s="24">
        <v>1</v>
      </c>
      <c r="D60" s="26">
        <v>0</v>
      </c>
      <c r="E60" s="26">
        <v>-0.02</v>
      </c>
      <c r="F60" s="10">
        <v>7988</v>
      </c>
      <c r="G60" s="10">
        <v>145.24</v>
      </c>
      <c r="H60" s="4" t="s">
        <v>909</v>
      </c>
    </row>
    <row r="61" spans="1:8" ht="40" customHeight="1">
      <c r="A61" s="6" t="s">
        <v>907</v>
      </c>
      <c r="B61" s="7" t="s">
        <v>910</v>
      </c>
      <c r="C61" s="23">
        <v>2</v>
      </c>
      <c r="D61" s="25">
        <v>0</v>
      </c>
      <c r="E61" s="25">
        <v>-0.02</v>
      </c>
      <c r="F61" s="9">
        <v>7988</v>
      </c>
      <c r="G61" s="9">
        <v>145.24</v>
      </c>
      <c r="H61" s="7" t="s">
        <v>909</v>
      </c>
    </row>
    <row r="62" spans="1:8" ht="40" customHeight="1">
      <c r="A62" s="3" t="s">
        <v>907</v>
      </c>
      <c r="B62" s="4" t="s">
        <v>910</v>
      </c>
      <c r="C62" s="24">
        <v>3</v>
      </c>
      <c r="D62" s="26">
        <v>0</v>
      </c>
      <c r="E62" s="26">
        <v>-0.02</v>
      </c>
      <c r="F62" s="10">
        <v>7988</v>
      </c>
      <c r="G62" s="10">
        <v>145.24</v>
      </c>
      <c r="H62" s="4" t="s">
        <v>909</v>
      </c>
    </row>
    <row r="63" spans="1:8" ht="40" customHeight="1">
      <c r="A63" s="6" t="s">
        <v>907</v>
      </c>
      <c r="B63" s="7" t="s">
        <v>910</v>
      </c>
      <c r="C63" s="23">
        <v>4</v>
      </c>
      <c r="D63" s="25">
        <v>0</v>
      </c>
      <c r="E63" s="25">
        <v>-0.02</v>
      </c>
      <c r="F63" s="9">
        <v>7988</v>
      </c>
      <c r="G63" s="9">
        <v>145.24</v>
      </c>
      <c r="H63" s="7" t="s">
        <v>909</v>
      </c>
    </row>
    <row r="64" spans="1:8" ht="40" customHeight="1">
      <c r="A64" s="3" t="s">
        <v>907</v>
      </c>
      <c r="B64" s="4" t="s">
        <v>910</v>
      </c>
      <c r="C64" s="24">
        <v>5</v>
      </c>
      <c r="D64" s="26">
        <v>0</v>
      </c>
      <c r="E64" s="26">
        <v>-0.02</v>
      </c>
      <c r="F64" s="10">
        <v>7988</v>
      </c>
      <c r="G64" s="10">
        <v>145.24</v>
      </c>
      <c r="H64" s="4" t="s">
        <v>909</v>
      </c>
    </row>
    <row r="65" spans="1:8" ht="40" customHeight="1">
      <c r="A65" s="6" t="s">
        <v>907</v>
      </c>
      <c r="B65" s="7" t="s">
        <v>910</v>
      </c>
      <c r="C65" s="23">
        <v>1</v>
      </c>
      <c r="D65" s="25">
        <v>-0.05</v>
      </c>
      <c r="E65" s="25">
        <v>0</v>
      </c>
      <c r="F65" s="9">
        <v>7588.599999999999</v>
      </c>
      <c r="G65" s="9">
        <v>289.75</v>
      </c>
      <c r="H65" s="7" t="s">
        <v>909</v>
      </c>
    </row>
    <row r="66" spans="1:8" ht="40" customHeight="1">
      <c r="A66" s="3" t="s">
        <v>907</v>
      </c>
      <c r="B66" s="4" t="s">
        <v>910</v>
      </c>
      <c r="C66" s="24">
        <v>2</v>
      </c>
      <c r="D66" s="26">
        <v>-0.05</v>
      </c>
      <c r="E66" s="26">
        <v>0</v>
      </c>
      <c r="F66" s="10">
        <v>7209.17</v>
      </c>
      <c r="G66" s="10">
        <v>275.2625</v>
      </c>
      <c r="H66" s="4" t="s">
        <v>909</v>
      </c>
    </row>
    <row r="67" spans="1:8" ht="40" customHeight="1">
      <c r="A67" s="6" t="s">
        <v>907</v>
      </c>
      <c r="B67" s="7" t="s">
        <v>910</v>
      </c>
      <c r="C67" s="23">
        <v>3</v>
      </c>
      <c r="D67" s="25">
        <v>-0.05</v>
      </c>
      <c r="E67" s="25">
        <v>0</v>
      </c>
      <c r="F67" s="9">
        <v>6848.711499999999</v>
      </c>
      <c r="G67" s="9">
        <v>261.499375</v>
      </c>
      <c r="H67" s="7" t="s">
        <v>909</v>
      </c>
    </row>
    <row r="68" spans="1:8" ht="40" customHeight="1">
      <c r="A68" s="3" t="s">
        <v>907</v>
      </c>
      <c r="B68" s="4" t="s">
        <v>910</v>
      </c>
      <c r="C68" s="24">
        <v>4</v>
      </c>
      <c r="D68" s="26">
        <v>-0.05</v>
      </c>
      <c r="E68" s="26">
        <v>0</v>
      </c>
      <c r="F68" s="10">
        <v>6506.275924999999</v>
      </c>
      <c r="G68" s="10">
        <v>248.42440625</v>
      </c>
      <c r="H68" s="4" t="s">
        <v>909</v>
      </c>
    </row>
    <row r="69" spans="1:8" ht="40" customHeight="1">
      <c r="A69" s="6" t="s">
        <v>907</v>
      </c>
      <c r="B69" s="7" t="s">
        <v>910</v>
      </c>
      <c r="C69" s="23">
        <v>5</v>
      </c>
      <c r="D69" s="25">
        <v>-0.05</v>
      </c>
      <c r="E69" s="25">
        <v>0</v>
      </c>
      <c r="F69" s="9">
        <v>6180.962128749999</v>
      </c>
      <c r="G69" s="9">
        <v>236.0031859374999</v>
      </c>
      <c r="H69" s="7" t="s">
        <v>909</v>
      </c>
    </row>
    <row r="70" spans="1:8" ht="40" customHeight="1">
      <c r="A70" s="3" t="s">
        <v>907</v>
      </c>
      <c r="B70" s="4" t="s">
        <v>910</v>
      </c>
      <c r="C70" s="24">
        <v>1</v>
      </c>
      <c r="D70" s="26">
        <v>-0.05</v>
      </c>
      <c r="E70" s="26">
        <v>-0.01</v>
      </c>
      <c r="F70" s="10">
        <v>7588.599999999999</v>
      </c>
      <c r="G70" s="10">
        <v>213.864</v>
      </c>
      <c r="H70" s="4" t="s">
        <v>909</v>
      </c>
    </row>
    <row r="71" spans="1:8" ht="40" customHeight="1">
      <c r="A71" s="6" t="s">
        <v>907</v>
      </c>
      <c r="B71" s="7" t="s">
        <v>910</v>
      </c>
      <c r="C71" s="23">
        <v>2</v>
      </c>
      <c r="D71" s="25">
        <v>-0.05</v>
      </c>
      <c r="E71" s="25">
        <v>-0.01</v>
      </c>
      <c r="F71" s="9">
        <v>7209.17</v>
      </c>
      <c r="G71" s="9">
        <v>203.1708</v>
      </c>
      <c r="H71" s="7" t="s">
        <v>909</v>
      </c>
    </row>
    <row r="72" spans="1:8" ht="40" customHeight="1">
      <c r="A72" s="3" t="s">
        <v>907</v>
      </c>
      <c r="B72" s="4" t="s">
        <v>910</v>
      </c>
      <c r="C72" s="24">
        <v>3</v>
      </c>
      <c r="D72" s="26">
        <v>-0.05</v>
      </c>
      <c r="E72" s="26">
        <v>-0.01</v>
      </c>
      <c r="F72" s="10">
        <v>6848.711499999999</v>
      </c>
      <c r="G72" s="10">
        <v>193.01226</v>
      </c>
      <c r="H72" s="4" t="s">
        <v>909</v>
      </c>
    </row>
    <row r="73" spans="1:8" ht="40" customHeight="1">
      <c r="A73" s="6" t="s">
        <v>907</v>
      </c>
      <c r="B73" s="7" t="s">
        <v>910</v>
      </c>
      <c r="C73" s="23">
        <v>4</v>
      </c>
      <c r="D73" s="25">
        <v>-0.05</v>
      </c>
      <c r="E73" s="25">
        <v>-0.01</v>
      </c>
      <c r="F73" s="9">
        <v>6506.275924999999</v>
      </c>
      <c r="G73" s="9">
        <v>183.361647</v>
      </c>
      <c r="H73" s="7" t="s">
        <v>909</v>
      </c>
    </row>
    <row r="74" spans="1:8" ht="40" customHeight="1">
      <c r="A74" s="3" t="s">
        <v>907</v>
      </c>
      <c r="B74" s="4" t="s">
        <v>910</v>
      </c>
      <c r="C74" s="24">
        <v>5</v>
      </c>
      <c r="D74" s="26">
        <v>-0.05</v>
      </c>
      <c r="E74" s="26">
        <v>-0.01</v>
      </c>
      <c r="F74" s="10">
        <v>6180.962128749999</v>
      </c>
      <c r="G74" s="10">
        <v>174.19356465</v>
      </c>
      <c r="H74" s="4" t="s">
        <v>909</v>
      </c>
    </row>
    <row r="75" spans="1:8" ht="40" customHeight="1">
      <c r="A75" s="6" t="s">
        <v>907</v>
      </c>
      <c r="B75" s="7" t="s">
        <v>910</v>
      </c>
      <c r="C75" s="23">
        <v>1</v>
      </c>
      <c r="D75" s="25">
        <v>-0.05</v>
      </c>
      <c r="E75" s="25">
        <v>-0.02</v>
      </c>
      <c r="F75" s="9">
        <v>7588.599999999999</v>
      </c>
      <c r="G75" s="9">
        <v>137.978</v>
      </c>
      <c r="H75" s="7" t="s">
        <v>909</v>
      </c>
    </row>
    <row r="76" spans="1:8" ht="40" customHeight="1">
      <c r="A76" s="3" t="s">
        <v>907</v>
      </c>
      <c r="B76" s="4" t="s">
        <v>910</v>
      </c>
      <c r="C76" s="24">
        <v>2</v>
      </c>
      <c r="D76" s="26">
        <v>-0.05</v>
      </c>
      <c r="E76" s="26">
        <v>-0.02</v>
      </c>
      <c r="F76" s="10">
        <v>7209.17</v>
      </c>
      <c r="G76" s="10">
        <v>131.0791</v>
      </c>
      <c r="H76" s="4" t="s">
        <v>909</v>
      </c>
    </row>
    <row r="77" spans="1:8" ht="40" customHeight="1">
      <c r="A77" s="6" t="s">
        <v>907</v>
      </c>
      <c r="B77" s="7" t="s">
        <v>910</v>
      </c>
      <c r="C77" s="23">
        <v>3</v>
      </c>
      <c r="D77" s="25">
        <v>-0.05</v>
      </c>
      <c r="E77" s="25">
        <v>-0.02</v>
      </c>
      <c r="F77" s="9">
        <v>6848.711499999999</v>
      </c>
      <c r="G77" s="9">
        <v>124.525145</v>
      </c>
      <c r="H77" s="7" t="s">
        <v>909</v>
      </c>
    </row>
    <row r="78" spans="1:8" ht="40" customHeight="1">
      <c r="A78" s="3" t="s">
        <v>907</v>
      </c>
      <c r="B78" s="4" t="s">
        <v>910</v>
      </c>
      <c r="C78" s="24">
        <v>4</v>
      </c>
      <c r="D78" s="26">
        <v>-0.05</v>
      </c>
      <c r="E78" s="26">
        <v>-0.02</v>
      </c>
      <c r="F78" s="10">
        <v>6506.275924999999</v>
      </c>
      <c r="G78" s="10">
        <v>118.29888775</v>
      </c>
      <c r="H78" s="4" t="s">
        <v>909</v>
      </c>
    </row>
    <row r="79" spans="1:8" ht="40" customHeight="1">
      <c r="A79" s="6" t="s">
        <v>907</v>
      </c>
      <c r="B79" s="7" t="s">
        <v>910</v>
      </c>
      <c r="C79" s="23">
        <v>5</v>
      </c>
      <c r="D79" s="25">
        <v>-0.05</v>
      </c>
      <c r="E79" s="25">
        <v>-0.02</v>
      </c>
      <c r="F79" s="9">
        <v>6180.962128749999</v>
      </c>
      <c r="G79" s="9">
        <v>112.3839433625</v>
      </c>
      <c r="H79" s="7" t="s">
        <v>909</v>
      </c>
    </row>
    <row r="80" spans="1:8" ht="40" customHeight="1">
      <c r="A80" s="3" t="s">
        <v>907</v>
      </c>
      <c r="B80" s="4" t="s">
        <v>910</v>
      </c>
      <c r="C80" s="24">
        <v>1</v>
      </c>
      <c r="D80" s="26">
        <v>-0.1</v>
      </c>
      <c r="E80" s="26">
        <v>0</v>
      </c>
      <c r="F80" s="10">
        <v>7189.2</v>
      </c>
      <c r="G80" s="10">
        <v>274.5</v>
      </c>
      <c r="H80" s="4" t="s">
        <v>909</v>
      </c>
    </row>
    <row r="81" spans="1:8" ht="40" customHeight="1">
      <c r="A81" s="6" t="s">
        <v>907</v>
      </c>
      <c r="B81" s="7" t="s">
        <v>910</v>
      </c>
      <c r="C81" s="23">
        <v>2</v>
      </c>
      <c r="D81" s="25">
        <v>-0.1</v>
      </c>
      <c r="E81" s="25">
        <v>0</v>
      </c>
      <c r="F81" s="9">
        <v>6470.280000000001</v>
      </c>
      <c r="G81" s="9">
        <v>247.05</v>
      </c>
      <c r="H81" s="7" t="s">
        <v>909</v>
      </c>
    </row>
    <row r="82" spans="1:8" ht="40" customHeight="1">
      <c r="A82" s="3" t="s">
        <v>907</v>
      </c>
      <c r="B82" s="4" t="s">
        <v>910</v>
      </c>
      <c r="C82" s="24">
        <v>3</v>
      </c>
      <c r="D82" s="26">
        <v>-0.1</v>
      </c>
      <c r="E82" s="26">
        <v>0</v>
      </c>
      <c r="F82" s="10">
        <v>5823.252</v>
      </c>
      <c r="G82" s="10">
        <v>222.345</v>
      </c>
      <c r="H82" s="4" t="s">
        <v>909</v>
      </c>
    </row>
    <row r="83" spans="1:8" ht="40" customHeight="1">
      <c r="A83" s="6" t="s">
        <v>907</v>
      </c>
      <c r="B83" s="7" t="s">
        <v>910</v>
      </c>
      <c r="C83" s="23">
        <v>4</v>
      </c>
      <c r="D83" s="25">
        <v>-0.1</v>
      </c>
      <c r="E83" s="25">
        <v>0</v>
      </c>
      <c r="F83" s="9">
        <v>5240.9268</v>
      </c>
      <c r="G83" s="9">
        <v>200.1105</v>
      </c>
      <c r="H83" s="7" t="s">
        <v>909</v>
      </c>
    </row>
    <row r="84" spans="1:8" ht="40" customHeight="1">
      <c r="A84" s="3" t="s">
        <v>907</v>
      </c>
      <c r="B84" s="4" t="s">
        <v>910</v>
      </c>
      <c r="C84" s="24">
        <v>5</v>
      </c>
      <c r="D84" s="26">
        <v>-0.1</v>
      </c>
      <c r="E84" s="26">
        <v>0</v>
      </c>
      <c r="F84" s="10">
        <v>4716.83412</v>
      </c>
      <c r="G84" s="10">
        <v>180.09945</v>
      </c>
      <c r="H84" s="4" t="s">
        <v>909</v>
      </c>
    </row>
    <row r="85" spans="1:8" ht="40" customHeight="1">
      <c r="A85" s="6" t="s">
        <v>907</v>
      </c>
      <c r="B85" s="7" t="s">
        <v>910</v>
      </c>
      <c r="C85" s="23">
        <v>1</v>
      </c>
      <c r="D85" s="25">
        <v>-0.1</v>
      </c>
      <c r="E85" s="25">
        <v>-0.01</v>
      </c>
      <c r="F85" s="9">
        <v>7189.2</v>
      </c>
      <c r="G85" s="9">
        <v>202.608</v>
      </c>
      <c r="H85" s="7" t="s">
        <v>909</v>
      </c>
    </row>
    <row r="86" spans="1:8" ht="40" customHeight="1">
      <c r="A86" s="3" t="s">
        <v>907</v>
      </c>
      <c r="B86" s="4" t="s">
        <v>910</v>
      </c>
      <c r="C86" s="24">
        <v>2</v>
      </c>
      <c r="D86" s="26">
        <v>-0.1</v>
      </c>
      <c r="E86" s="26">
        <v>-0.01</v>
      </c>
      <c r="F86" s="10">
        <v>6470.280000000001</v>
      </c>
      <c r="G86" s="10">
        <v>182.3472</v>
      </c>
      <c r="H86" s="4" t="s">
        <v>909</v>
      </c>
    </row>
    <row r="87" spans="1:8" ht="40" customHeight="1">
      <c r="A87" s="6" t="s">
        <v>907</v>
      </c>
      <c r="B87" s="7" t="s">
        <v>910</v>
      </c>
      <c r="C87" s="23">
        <v>3</v>
      </c>
      <c r="D87" s="25">
        <v>-0.1</v>
      </c>
      <c r="E87" s="25">
        <v>-0.01</v>
      </c>
      <c r="F87" s="9">
        <v>5823.252</v>
      </c>
      <c r="G87" s="9">
        <v>164.11248</v>
      </c>
      <c r="H87" s="7" t="s">
        <v>909</v>
      </c>
    </row>
    <row r="88" spans="1:8" ht="40" customHeight="1">
      <c r="A88" s="3" t="s">
        <v>907</v>
      </c>
      <c r="B88" s="4" t="s">
        <v>910</v>
      </c>
      <c r="C88" s="24">
        <v>4</v>
      </c>
      <c r="D88" s="26">
        <v>-0.1</v>
      </c>
      <c r="E88" s="26">
        <v>-0.01</v>
      </c>
      <c r="F88" s="10">
        <v>5240.9268</v>
      </c>
      <c r="G88" s="10">
        <v>147.701232</v>
      </c>
      <c r="H88" s="4" t="s">
        <v>909</v>
      </c>
    </row>
    <row r="89" spans="1:8" ht="40" customHeight="1">
      <c r="A89" s="6" t="s">
        <v>907</v>
      </c>
      <c r="B89" s="7" t="s">
        <v>910</v>
      </c>
      <c r="C89" s="23">
        <v>5</v>
      </c>
      <c r="D89" s="25">
        <v>-0.1</v>
      </c>
      <c r="E89" s="25">
        <v>-0.01</v>
      </c>
      <c r="F89" s="9">
        <v>4716.83412</v>
      </c>
      <c r="G89" s="9">
        <v>132.9311088</v>
      </c>
      <c r="H89" s="7" t="s">
        <v>909</v>
      </c>
    </row>
    <row r="90" spans="1:8" ht="40" customHeight="1">
      <c r="A90" s="3" t="s">
        <v>907</v>
      </c>
      <c r="B90" s="4" t="s">
        <v>910</v>
      </c>
      <c r="C90" s="24">
        <v>1</v>
      </c>
      <c r="D90" s="26">
        <v>-0.1</v>
      </c>
      <c r="E90" s="26">
        <v>-0.02</v>
      </c>
      <c r="F90" s="10">
        <v>7189.2</v>
      </c>
      <c r="G90" s="10">
        <v>130.716</v>
      </c>
      <c r="H90" s="4" t="s">
        <v>909</v>
      </c>
    </row>
    <row r="91" spans="1:8" ht="40" customHeight="1">
      <c r="A91" s="6" t="s">
        <v>907</v>
      </c>
      <c r="B91" s="7" t="s">
        <v>910</v>
      </c>
      <c r="C91" s="23">
        <v>2</v>
      </c>
      <c r="D91" s="25">
        <v>-0.1</v>
      </c>
      <c r="E91" s="25">
        <v>-0.02</v>
      </c>
      <c r="F91" s="9">
        <v>6470.280000000001</v>
      </c>
      <c r="G91" s="9">
        <v>117.6444</v>
      </c>
      <c r="H91" s="7" t="s">
        <v>909</v>
      </c>
    </row>
    <row r="92" spans="1:8" ht="40" customHeight="1">
      <c r="A92" s="3" t="s">
        <v>907</v>
      </c>
      <c r="B92" s="4" t="s">
        <v>910</v>
      </c>
      <c r="C92" s="24">
        <v>3</v>
      </c>
      <c r="D92" s="26">
        <v>-0.1</v>
      </c>
      <c r="E92" s="26">
        <v>-0.02</v>
      </c>
      <c r="F92" s="10">
        <v>5823.252</v>
      </c>
      <c r="G92" s="10">
        <v>105.87996</v>
      </c>
      <c r="H92" s="4" t="s">
        <v>909</v>
      </c>
    </row>
    <row r="93" spans="1:8" ht="40" customHeight="1">
      <c r="A93" s="6" t="s">
        <v>907</v>
      </c>
      <c r="B93" s="7" t="s">
        <v>910</v>
      </c>
      <c r="C93" s="23">
        <v>4</v>
      </c>
      <c r="D93" s="25">
        <v>-0.1</v>
      </c>
      <c r="E93" s="25">
        <v>-0.02</v>
      </c>
      <c r="F93" s="9">
        <v>5240.9268</v>
      </c>
      <c r="G93" s="9">
        <v>95.29196400000001</v>
      </c>
      <c r="H93" s="7" t="s">
        <v>909</v>
      </c>
    </row>
    <row r="94" spans="1:8" ht="40" customHeight="1">
      <c r="A94" s="3" t="s">
        <v>907</v>
      </c>
      <c r="B94" s="4" t="s">
        <v>910</v>
      </c>
      <c r="C94" s="24">
        <v>5</v>
      </c>
      <c r="D94" s="26">
        <v>-0.1</v>
      </c>
      <c r="E94" s="26">
        <v>-0.02</v>
      </c>
      <c r="F94" s="10">
        <v>4716.83412</v>
      </c>
      <c r="G94" s="10">
        <v>85.7627676</v>
      </c>
      <c r="H94" s="4" t="s">
        <v>909</v>
      </c>
    </row>
  </sheetData>
  <autoFilter ref="A4:H94"/>
  <mergeCells count="2">
    <mergeCell ref="A2:F2"/>
    <mergeCell ref="A3:F3"/>
  </mergeCells>
  <pageMargins left="0.3" right="0.3" top="0.4" bottom="0.4" header="0.3" footer="0.3"/>
  <pageSetup paperSize="9" scale="85" orientation="landscape"/>
  <headerFooter>
    <oddFooter>&amp;LHistorical sensitivities&amp;RPage &amp;P of &amp;N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3C5658"/>
  </sheetPr>
  <dimension ref="A1:C1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3" width="110.7109375" customWidth="1"/>
  </cols>
  <sheetData>
    <row r="1" spans="1:3" ht="9" customHeight="1"/>
    <row r="2" spans="1:3" ht="42" customHeight="1">
      <c r="A2" s="1" t="s">
        <v>911</v>
      </c>
      <c r="B2" s="1"/>
      <c r="C2" s="1"/>
    </row>
    <row r="3" spans="1:3" ht="30" customHeight="1">
      <c r="A3" s="2" t="s">
        <v>125</v>
      </c>
      <c r="B3" s="2"/>
      <c r="C3" s="2"/>
    </row>
    <row r="4" spans="1:3" ht="34" customHeight="1">
      <c r="A4" s="5" t="s">
        <v>912</v>
      </c>
      <c r="B4" s="5" t="s">
        <v>111</v>
      </c>
      <c r="C4" s="5" t="s">
        <v>913</v>
      </c>
    </row>
    <row r="5" spans="1:3" ht="40" customHeight="1">
      <c r="A5" s="6" t="s">
        <v>542</v>
      </c>
      <c r="B5" s="7" t="s">
        <v>543</v>
      </c>
      <c r="C5" s="7" t="s">
        <v>545</v>
      </c>
    </row>
    <row r="6" spans="1:3" ht="40" customHeight="1">
      <c r="A6" s="3" t="s">
        <v>549</v>
      </c>
      <c r="B6" s="4" t="s">
        <v>550</v>
      </c>
      <c r="C6" s="4" t="s">
        <v>551</v>
      </c>
    </row>
    <row r="7" spans="1:3" ht="40" customHeight="1">
      <c r="A7" s="6" t="s">
        <v>561</v>
      </c>
      <c r="B7" s="7" t="s">
        <v>562</v>
      </c>
      <c r="C7" s="7" t="s">
        <v>563</v>
      </c>
    </row>
    <row r="8" spans="1:3" ht="70" customHeight="1">
      <c r="A8" s="3" t="s">
        <v>552</v>
      </c>
      <c r="B8" s="4" t="s">
        <v>553</v>
      </c>
      <c r="C8" s="4" t="s">
        <v>554</v>
      </c>
    </row>
    <row r="9" spans="1:3" ht="100" customHeight="1">
      <c r="A9" s="6" t="s">
        <v>558</v>
      </c>
      <c r="B9" s="7" t="s">
        <v>559</v>
      </c>
      <c r="C9" s="7" t="s">
        <v>560</v>
      </c>
    </row>
    <row r="10" spans="1:3" ht="85" customHeight="1">
      <c r="A10" s="3" t="s">
        <v>555</v>
      </c>
      <c r="B10" s="4" t="s">
        <v>556</v>
      </c>
      <c r="C10" s="4" t="s">
        <v>557</v>
      </c>
    </row>
  </sheetData>
  <autoFilter ref="A4:C10"/>
  <mergeCells count="2">
    <mergeCell ref="A2:C2"/>
    <mergeCell ref="A3:C3"/>
  </mergeCells>
  <pageMargins left="0.3" right="0.3" top="0.4" bottom="0.4" header="0.3" footer="0.3"/>
  <pageSetup paperSize="9" scale="85" orientation="landscape"/>
  <headerFooter>
    <oddFooter>&amp;LHistorical assumptions&amp;RPage &amp;P of &amp;N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3C5658"/>
  </sheetPr>
  <dimension ref="A1:E2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0.7109375" customWidth="1"/>
    <col min="2" max="2" width="70.7109375" customWidth="1"/>
    <col min="3" max="3" width="22.7109375" customWidth="1"/>
    <col min="4" max="4" width="30.7109375" customWidth="1"/>
    <col min="5" max="5" width="90.7109375" customWidth="1"/>
  </cols>
  <sheetData>
    <row r="1" spans="1:5" ht="9" customHeight="1"/>
    <row r="2" spans="1:5" ht="42" customHeight="1">
      <c r="A2" s="1" t="s">
        <v>914</v>
      </c>
      <c r="B2" s="1"/>
      <c r="C2" s="1"/>
      <c r="D2" s="1"/>
      <c r="E2" s="1"/>
    </row>
    <row r="3" spans="1:5" ht="30" customHeight="1">
      <c r="A3" s="2" t="s">
        <v>125</v>
      </c>
      <c r="B3" s="2"/>
      <c r="C3" s="2"/>
      <c r="D3" s="2"/>
      <c r="E3" s="2"/>
    </row>
    <row r="4" spans="1:5" ht="34" customHeight="1">
      <c r="A4" s="5" t="s">
        <v>904</v>
      </c>
      <c r="B4" s="5" t="s">
        <v>14</v>
      </c>
      <c r="C4" s="5" t="s">
        <v>111</v>
      </c>
      <c r="D4" s="5" t="s">
        <v>783</v>
      </c>
      <c r="E4" s="5" t="s">
        <v>786</v>
      </c>
    </row>
    <row r="5" spans="1:5" ht="40" customHeight="1">
      <c r="A5" s="6" t="s">
        <v>915</v>
      </c>
      <c r="B5" s="7" t="s">
        <v>916</v>
      </c>
      <c r="C5" s="9">
        <v>50</v>
      </c>
      <c r="D5" s="7" t="s">
        <v>917</v>
      </c>
      <c r="E5" s="7" t="s">
        <v>918</v>
      </c>
    </row>
    <row r="6" spans="1:5" ht="40" customHeight="1">
      <c r="A6" s="3" t="s">
        <v>915</v>
      </c>
      <c r="B6" s="4" t="s">
        <v>919</v>
      </c>
      <c r="C6" s="10">
        <v>60.00000000000001</v>
      </c>
      <c r="D6" s="4" t="s">
        <v>917</v>
      </c>
      <c r="E6" s="4" t="s">
        <v>918</v>
      </c>
    </row>
    <row r="7" spans="1:5" ht="40" customHeight="1">
      <c r="A7" s="6" t="s">
        <v>915</v>
      </c>
      <c r="B7" s="7" t="s">
        <v>920</v>
      </c>
      <c r="C7" s="9">
        <v>70</v>
      </c>
      <c r="D7" s="7" t="s">
        <v>917</v>
      </c>
      <c r="E7" s="7" t="s">
        <v>918</v>
      </c>
    </row>
    <row r="8" spans="1:5" ht="40" customHeight="1">
      <c r="A8" s="3" t="s">
        <v>915</v>
      </c>
      <c r="B8" s="4" t="s">
        <v>921</v>
      </c>
      <c r="C8" s="10">
        <v>70</v>
      </c>
      <c r="D8" s="4" t="s">
        <v>917</v>
      </c>
      <c r="E8" s="4" t="s">
        <v>918</v>
      </c>
    </row>
    <row r="9" spans="1:5" ht="40" customHeight="1">
      <c r="A9" s="6" t="s">
        <v>915</v>
      </c>
      <c r="B9" s="7" t="s">
        <v>922</v>
      </c>
      <c r="C9" s="9">
        <v>80</v>
      </c>
      <c r="D9" s="7" t="s">
        <v>917</v>
      </c>
      <c r="E9" s="7" t="s">
        <v>918</v>
      </c>
    </row>
    <row r="10" spans="1:5" ht="40" customHeight="1">
      <c r="A10" s="3" t="s">
        <v>915</v>
      </c>
      <c r="B10" s="4" t="s">
        <v>923</v>
      </c>
      <c r="C10" s="10">
        <v>90.00000000000001</v>
      </c>
      <c r="D10" s="4" t="s">
        <v>917</v>
      </c>
      <c r="E10" s="4" t="s">
        <v>918</v>
      </c>
    </row>
    <row r="11" spans="1:5" ht="40" customHeight="1">
      <c r="A11" s="6" t="s">
        <v>915</v>
      </c>
      <c r="B11" s="7" t="s">
        <v>924</v>
      </c>
      <c r="C11" s="9">
        <v>90</v>
      </c>
      <c r="D11" s="7" t="s">
        <v>917</v>
      </c>
      <c r="E11" s="7" t="s">
        <v>918</v>
      </c>
    </row>
    <row r="12" spans="1:5" ht="40" customHeight="1">
      <c r="A12" s="3" t="s">
        <v>915</v>
      </c>
      <c r="B12" s="4" t="s">
        <v>925</v>
      </c>
      <c r="C12" s="10">
        <v>99.99999999999999</v>
      </c>
      <c r="D12" s="4" t="s">
        <v>917</v>
      </c>
      <c r="E12" s="4" t="s">
        <v>918</v>
      </c>
    </row>
    <row r="13" spans="1:5" ht="40" customHeight="1">
      <c r="A13" s="6" t="s">
        <v>915</v>
      </c>
      <c r="B13" s="7" t="s">
        <v>926</v>
      </c>
      <c r="C13" s="9">
        <v>110</v>
      </c>
      <c r="D13" s="7" t="s">
        <v>917</v>
      </c>
      <c r="E13" s="7" t="s">
        <v>918</v>
      </c>
    </row>
    <row r="14" spans="1:5" ht="25" customHeight="1">
      <c r="A14" s="3" t="s">
        <v>927</v>
      </c>
      <c r="B14" s="4" t="s">
        <v>928</v>
      </c>
      <c r="C14" s="10">
        <v>1010.10101010101</v>
      </c>
      <c r="D14" s="4" t="s">
        <v>67</v>
      </c>
      <c r="E14" s="4" t="s">
        <v>929</v>
      </c>
    </row>
    <row r="15" spans="1:5" ht="25" customHeight="1">
      <c r="A15" s="6" t="s">
        <v>927</v>
      </c>
      <c r="B15" s="7" t="s">
        <v>930</v>
      </c>
      <c r="C15" s="9">
        <v>1020.408163265306</v>
      </c>
      <c r="D15" s="7" t="s">
        <v>67</v>
      </c>
      <c r="E15" s="7" t="s">
        <v>929</v>
      </c>
    </row>
    <row r="16" spans="1:5" ht="25" customHeight="1">
      <c r="A16" s="3" t="s">
        <v>927</v>
      </c>
      <c r="B16" s="4" t="s">
        <v>931</v>
      </c>
      <c r="C16" s="10">
        <v>1030.927835051546</v>
      </c>
      <c r="D16" s="4" t="s">
        <v>67</v>
      </c>
      <c r="E16" s="4" t="s">
        <v>929</v>
      </c>
    </row>
    <row r="17" spans="1:5" ht="40" customHeight="1">
      <c r="A17" s="6" t="s">
        <v>932</v>
      </c>
      <c r="B17" s="7" t="s">
        <v>933</v>
      </c>
      <c r="C17" s="9">
        <v>-175</v>
      </c>
      <c r="D17" s="7" t="s">
        <v>934</v>
      </c>
      <c r="E17" s="7" t="s">
        <v>935</v>
      </c>
    </row>
    <row r="18" spans="1:5" ht="40" customHeight="1">
      <c r="A18" s="3" t="s">
        <v>932</v>
      </c>
      <c r="B18" s="4" t="s">
        <v>936</v>
      </c>
      <c r="C18" s="10">
        <v>-350</v>
      </c>
      <c r="D18" s="4" t="s">
        <v>934</v>
      </c>
      <c r="E18" s="4" t="s">
        <v>935</v>
      </c>
    </row>
    <row r="19" spans="1:5" ht="40" customHeight="1">
      <c r="A19" s="6" t="s">
        <v>932</v>
      </c>
      <c r="B19" s="7" t="s">
        <v>937</v>
      </c>
      <c r="C19" s="9">
        <v>-175</v>
      </c>
      <c r="D19" s="7" t="s">
        <v>934</v>
      </c>
      <c r="E19" s="7" t="s">
        <v>935</v>
      </c>
    </row>
    <row r="20" spans="1:5" ht="40" customHeight="1">
      <c r="A20" s="3" t="s">
        <v>932</v>
      </c>
      <c r="B20" s="4" t="s">
        <v>938</v>
      </c>
      <c r="C20" s="10">
        <v>-350</v>
      </c>
      <c r="D20" s="4" t="s">
        <v>934</v>
      </c>
      <c r="E20" s="4" t="s">
        <v>935</v>
      </c>
    </row>
    <row r="21" spans="1:5" ht="40" customHeight="1">
      <c r="A21" s="6" t="s">
        <v>932</v>
      </c>
      <c r="B21" s="7" t="s">
        <v>939</v>
      </c>
      <c r="C21" s="9">
        <v>175</v>
      </c>
      <c r="D21" s="7" t="s">
        <v>934</v>
      </c>
      <c r="E21" s="7" t="s">
        <v>935</v>
      </c>
    </row>
    <row r="22" spans="1:5" ht="40" customHeight="1">
      <c r="A22" s="3" t="s">
        <v>932</v>
      </c>
      <c r="B22" s="4" t="s">
        <v>940</v>
      </c>
      <c r="C22" s="10">
        <v>0</v>
      </c>
      <c r="D22" s="4" t="s">
        <v>934</v>
      </c>
      <c r="E22" s="4" t="s">
        <v>935</v>
      </c>
    </row>
    <row r="23" spans="1:5" ht="40" customHeight="1">
      <c r="A23" s="6" t="s">
        <v>932</v>
      </c>
      <c r="B23" s="7" t="s">
        <v>941</v>
      </c>
      <c r="C23" s="9">
        <v>75</v>
      </c>
      <c r="D23" s="7" t="s">
        <v>934</v>
      </c>
      <c r="E23" s="7" t="s">
        <v>935</v>
      </c>
    </row>
    <row r="24" spans="1:5" ht="40" customHeight="1">
      <c r="A24" s="3" t="s">
        <v>932</v>
      </c>
      <c r="B24" s="4" t="s">
        <v>942</v>
      </c>
      <c r="C24" s="10">
        <v>-100</v>
      </c>
      <c r="D24" s="4" t="s">
        <v>934</v>
      </c>
      <c r="E24" s="4" t="s">
        <v>935</v>
      </c>
    </row>
    <row r="25" spans="1:5" ht="40" customHeight="1">
      <c r="A25" s="6" t="s">
        <v>932</v>
      </c>
      <c r="B25" s="7" t="s">
        <v>943</v>
      </c>
      <c r="C25" s="9">
        <v>262.5</v>
      </c>
      <c r="D25" s="7" t="s">
        <v>934</v>
      </c>
      <c r="E25" s="7" t="s">
        <v>935</v>
      </c>
    </row>
    <row r="26" spans="1:5" ht="40" customHeight="1">
      <c r="A26" s="3" t="s">
        <v>932</v>
      </c>
      <c r="B26" s="4" t="s">
        <v>944</v>
      </c>
      <c r="C26" s="10">
        <v>87.5</v>
      </c>
      <c r="D26" s="4" t="s">
        <v>934</v>
      </c>
      <c r="E26" s="4" t="s">
        <v>935</v>
      </c>
    </row>
    <row r="27" spans="1:5" ht="40" customHeight="1">
      <c r="A27" s="6" t="s">
        <v>932</v>
      </c>
      <c r="B27" s="7" t="s">
        <v>945</v>
      </c>
      <c r="C27" s="9">
        <v>137.5</v>
      </c>
      <c r="D27" s="7" t="s">
        <v>934</v>
      </c>
      <c r="E27" s="7" t="s">
        <v>935</v>
      </c>
    </row>
    <row r="28" spans="1:5" ht="40" customHeight="1">
      <c r="A28" s="3" t="s">
        <v>932</v>
      </c>
      <c r="B28" s="4" t="s">
        <v>946</v>
      </c>
      <c r="C28" s="10">
        <v>-37.5</v>
      </c>
      <c r="D28" s="4" t="s">
        <v>934</v>
      </c>
      <c r="E28" s="4" t="s">
        <v>935</v>
      </c>
    </row>
  </sheetData>
  <autoFilter ref="A4:E28"/>
  <mergeCells count="2">
    <mergeCell ref="A2:E2"/>
    <mergeCell ref="A3:E3"/>
  </mergeCells>
  <pageMargins left="0.3" right="0.3" top="0.4" bottom="0.4" header="0.3" footer="0.3"/>
  <pageSetup paperSize="9" scale="85" orientation="landscape"/>
  <headerFooter>
    <oddFooter>&amp;LFunding unit sensitivities&amp;RPage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53</vt:i4>
      </vt:variant>
    </vt:vector>
  </HeadingPairs>
  <TitlesOfParts>
    <vt:vector size="80" baseType="lpstr">
      <vt:lpstr>Contents</vt:lpstr>
      <vt:lpstr>Summary</vt:lpstr>
      <vt:lpstr>Itemised funding</vt:lpstr>
      <vt:lpstr>Timing and capacity</vt:lpstr>
      <vt:lpstr>Model checks</vt:lpstr>
      <vt:lpstr>Joint credit stress</vt:lpstr>
      <vt:lpstr>Illustrative bond risk</vt:lpstr>
      <vt:lpstr>Assumptions</vt:lpstr>
      <vt:lpstr>Sources Uses</vt:lpstr>
      <vt:lpstr>Opening Bridge</vt:lpstr>
      <vt:lpstr>Operations</vt:lpstr>
      <vt:lpstr>Liquidity</vt:lpstr>
      <vt:lpstr>Debt Schedule</vt:lpstr>
      <vt:lpstr>Scenarios</vt:lpstr>
      <vt:lpstr>Quarterly</vt:lpstr>
      <vt:lpstr>Capacity</vt:lpstr>
      <vt:lpstr>Capacity Grid</vt:lpstr>
      <vt:lpstr>Sensitivity</vt:lpstr>
      <vt:lpstr>Reverse Stress</vt:lpstr>
      <vt:lpstr>Checks</vt:lpstr>
      <vt:lpstr>Evidence</vt:lpstr>
      <vt:lpstr>Sources</vt:lpstr>
      <vt:lpstr>Historical calculations</vt:lpstr>
      <vt:lpstr>Historical gap review</vt:lpstr>
      <vt:lpstr>Historical sensitivities</vt:lpstr>
      <vt:lpstr>Historical assumptions</vt:lpstr>
      <vt:lpstr>Funding unit sensitivities</vt:lpstr>
      <vt:lpstr>Assumptions!Print_Area</vt:lpstr>
      <vt:lpstr>'Capacity Grid'!Print_Area</vt:lpstr>
      <vt:lpstr>Capacity!Print_Area</vt:lpstr>
      <vt:lpstr>Checks!Print_Area</vt:lpstr>
      <vt:lpstr>Contents!Print_Area</vt:lpstr>
      <vt:lpstr>'Debt Schedule'!Print_Area</vt:lpstr>
      <vt:lpstr>Evidence!Print_Area</vt:lpstr>
      <vt:lpstr>'Funding unit sensitivities'!Print_Area</vt:lpstr>
      <vt:lpstr>'Historical assumptions'!Print_Area</vt:lpstr>
      <vt:lpstr>'Historical calculations'!Print_Area</vt:lpstr>
      <vt:lpstr>'Historical gap review'!Print_Area</vt:lpstr>
      <vt:lpstr>'Historical sensitivities'!Print_Area</vt:lpstr>
      <vt:lpstr>'Illustrative bond risk'!Print_Area</vt:lpstr>
      <vt:lpstr>'Itemised funding'!Print_Area</vt:lpstr>
      <vt:lpstr>'Joint credit stress'!Print_Area</vt:lpstr>
      <vt:lpstr>Liquidity!Print_Area</vt:lpstr>
      <vt:lpstr>'Model checks'!Print_Area</vt:lpstr>
      <vt:lpstr>'Opening Bridge'!Print_Area</vt:lpstr>
      <vt:lpstr>Operations!Print_Area</vt:lpstr>
      <vt:lpstr>Quarterly!Print_Area</vt:lpstr>
      <vt:lpstr>'Reverse Stress'!Print_Area</vt:lpstr>
      <vt:lpstr>Scenarios!Print_Area</vt:lpstr>
      <vt:lpstr>Sensitivity!Print_Area</vt:lpstr>
      <vt:lpstr>'Sources Uses'!Print_Area</vt:lpstr>
      <vt:lpstr>Sources!Print_Area</vt:lpstr>
      <vt:lpstr>Summary!Print_Area</vt:lpstr>
      <vt:lpstr>'Timing and capacity'!Print_Area</vt:lpstr>
      <vt:lpstr>Assumptions!Print_Titles</vt:lpstr>
      <vt:lpstr>'Capacity Grid'!Print_Titles</vt:lpstr>
      <vt:lpstr>Capacity!Print_Titles</vt:lpstr>
      <vt:lpstr>Checks!Print_Titles</vt:lpstr>
      <vt:lpstr>Contents!Print_Titles</vt:lpstr>
      <vt:lpstr>'Debt Schedule'!Print_Titles</vt:lpstr>
      <vt:lpstr>Evidence!Print_Titles</vt:lpstr>
      <vt:lpstr>'Funding unit sensitivities'!Print_Titles</vt:lpstr>
      <vt:lpstr>'Historical assumptions'!Print_Titles</vt:lpstr>
      <vt:lpstr>'Historical calculations'!Print_Titles</vt:lpstr>
      <vt:lpstr>'Historical gap review'!Print_Titles</vt:lpstr>
      <vt:lpstr>'Historical sensitivities'!Print_Titles</vt:lpstr>
      <vt:lpstr>'Illustrative bond risk'!Print_Titles</vt:lpstr>
      <vt:lpstr>'Itemised funding'!Print_Titles</vt:lpstr>
      <vt:lpstr>'Joint credit stress'!Print_Titles</vt:lpstr>
      <vt:lpstr>Liquidity!Print_Titles</vt:lpstr>
      <vt:lpstr>'Model checks'!Print_Titles</vt:lpstr>
      <vt:lpstr>'Opening Bridge'!Print_Titles</vt:lpstr>
      <vt:lpstr>Operations!Print_Titles</vt:lpstr>
      <vt:lpstr>Quarterly!Print_Titles</vt:lpstr>
      <vt:lpstr>'Reverse Stress'!Print_Titles</vt:lpstr>
      <vt:lpstr>Scenarios!Print_Titles</vt:lpstr>
      <vt:lpstr>Sensitivity!Print_Titles</vt:lpstr>
      <vt:lpstr>'Sources Uses'!Print_Titles</vt:lpstr>
      <vt:lpstr>Sources!Print_Titles</vt:lpstr>
      <vt:lpstr>'Timing and capacity'!Print_Titles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2026-10-11T04:42:21Z</dcterms:created>
  <dcterms:modified xsi:type="dcterms:W3CDTF">2026-10-11T04:42:21Z</dcterms:modified>
</cp:coreProperties>
</file>